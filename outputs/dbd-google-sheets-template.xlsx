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649554508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a1b5f5dc8934cda"/>
    <x:sheet xmlns:r="http://schemas.openxmlformats.org/officeDocument/2006/relationships" name="Leads" sheetId="2" r:id="Rbaa74289053642db"/>
    <x:sheet xmlns:r="http://schemas.openxmlformats.org/officeDocument/2006/relationships" name="Answers_Raw" sheetId="3" r:id="R5c564e578d8f4637"/>
    <x:sheet xmlns:r="http://schemas.openxmlformats.org/officeDocument/2006/relationships" name="Scores_And_Diagnosis" sheetId="4" r:id="Rb28dc4d9206b4e05"/>
    <x:sheet xmlns:r="http://schemas.openxmlformats.org/officeDocument/2006/relationships" name="Automation_Log" sheetId="5" r:id="R64322ff8d54d4193"/>
    <x:sheet xmlns:r="http://schemas.openxmlformats.org/officeDocument/2006/relationships" name="Sales_Notes" sheetId="6" r:id="Ra9012189166d4b98"/>
    <x:sheet xmlns:r="http://schemas.openxmlformats.org/officeDocument/2006/relationships" name="Manual_WhatsApp" sheetId="7" r:id="R7ad14eb09343465d"/>
    <x:sheet xmlns:r="http://schemas.openxmlformats.org/officeDocument/2006/relationships" name="Question_Bank" sheetId="8" r:id="Ra23136447da94e55"/>
    <x:sheet xmlns:r="http://schemas.openxmlformats.org/officeDocument/2006/relationships" name="Lookup_Statuses" sheetId="9" r:id="R5d88cfd9287e40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b/>
      <x:sz val="10"/>
      <x:color rgb="FFFFFF"/>
      <x:name val="Carlito"/>
    </x:font>
    <x:font>
      <x:sz val="10"/>
      <x:color rgb="0F172A"/>
      <x:name val="Carlito"/>
    </x:font>
    <x:font>
      <x:i/>
      <x:sz val="11"/>
      <x:color rgb="47556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0F172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3601f723e4087" /><Relationship Type="http://schemas.openxmlformats.org/officeDocument/2006/relationships/theme" Target="/xl/theme/theme1.xml" Id="R3bf4110b353942ec" /><Relationship Type="http://schemas.openxmlformats.org/officeDocument/2006/relationships/sharedStrings" Target="/xl/sharedStrings.xml" Id="R007c4f17af944ff2" /><Relationship Type="http://schemas.openxmlformats.org/officeDocument/2006/relationships/worksheet" Target="/xl/worksheets/sheet1.xml" Id="R7a1b5f5dc8934cda" /><Relationship Type="http://schemas.openxmlformats.org/officeDocument/2006/relationships/worksheet" Target="/xl/worksheets/sheet2.xml" Id="Rbaa74289053642db" /><Relationship Type="http://schemas.openxmlformats.org/officeDocument/2006/relationships/worksheet" Target="/xl/worksheets/sheet3.xml" Id="R5c564e578d8f4637" /><Relationship Type="http://schemas.openxmlformats.org/officeDocument/2006/relationships/worksheet" Target="/xl/worksheets/sheet4.xml" Id="Rb28dc4d9206b4e05" /><Relationship Type="http://schemas.openxmlformats.org/officeDocument/2006/relationships/worksheet" Target="/xl/worksheets/sheet5.xml" Id="R64322ff8d54d4193" /><Relationship Type="http://schemas.openxmlformats.org/officeDocument/2006/relationships/worksheet" Target="/xl/worksheets/sheet6.xml" Id="Ra9012189166d4b98" /><Relationship Type="http://schemas.openxmlformats.org/officeDocument/2006/relationships/worksheet" Target="/xl/worksheets/sheet7.xml" Id="R7ad14eb09343465d" /><Relationship Type="http://schemas.openxmlformats.org/officeDocument/2006/relationships/worksheet" Target="/xl/worksheets/sheet8.xml" Id="Ra23136447da94e55" /><Relationship Type="http://schemas.openxmlformats.org/officeDocument/2006/relationships/worksheet" Target="/xl/worksheets/sheet9.xml" Id="R5d88cfd9287e40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45000076293945" hidden="0" customWidth="1"/>
    <x:col min="2" max="2" width="61.369998931884766" hidden="0" customWidth="1"/>
  </x:cols>
  <x:sheetData>
    <x:row r="1" ht="19.200000762939453" hidden="0" customHeight="1">
      <x:c r="A1" s="4" t="str">
        <x:v>DBD Google Sheets Template</x:v>
      </x:c>
    </x:row>
    <x:row r="2"/>
    <x:row r="3" ht="15" hidden="0" customHeight="1">
      <x:c r="A3" s="9" t="str">
        <x:v>Section</x:v>
      </x:c>
      <x:c r="B3" s="9" t="str">
        <x:v>Details</x:v>
      </x:c>
    </x:row>
    <x:row r="4" ht="15" hidden="0" customHeight="1">
      <x:c r="A4" s="12" t="str">
        <x:v>Required tabs</x:v>
      </x:c>
      <x:c r="B4" s="12" t="str">
        <x:v>Leads | Answers_Raw | Scores_And_Diagnosis | Automation_Log</x:v>
      </x:c>
    </x:row>
    <x:row r="5" ht="15" hidden="0" customHeight="1">
      <x:c r="A5" s="12" t="str">
        <x:v>Recommended tabs</x:v>
      </x:c>
      <x:c r="B5" s="12" t="str">
        <x:v>Question_Bank | Lookup_Statuses | Sales_Notes | Manual_WhatsApp | Instructions</x:v>
      </x:c>
    </x:row>
    <x:row r="6" ht="15" hidden="0" customHeight="1">
      <x:c r="A6" s="12" t="str">
        <x:v>Leads</x:v>
      </x:c>
      <x:c r="B6" s="12" t="str">
        <x:v>Main CRM view for your sales and operations team</x:v>
      </x:c>
    </x:row>
    <x:row r="7" ht="15" hidden="0" customHeight="1">
      <x:c r="A7" s="12" t="str">
        <x:v>Answers_Raw</x:v>
      </x:c>
      <x:c r="B7" s="12" t="str">
        <x:v>Exact user answers stored with raw payload</x:v>
      </x:c>
    </x:row>
    <x:row r="8" ht="15" hidden="0" customHeight="1">
      <x:c r="A8" s="12" t="str">
        <x:v>Scores_And_Diagnosis</x:v>
      </x:c>
      <x:c r="B8" s="12" t="str">
        <x:v>Server-side analysis and recommendation output</x:v>
      </x:c>
    </x:row>
    <x:row r="9" ht="15" hidden="0" customHeight="1">
      <x:c r="A9" s="12" t="str">
        <x:v>Automation_Log</x:v>
      </x:c>
      <x:c r="B9" s="12" t="str">
        <x:v>WhatsApp and automation event tracking</x:v>
      </x:c>
    </x:row>
    <x:row r="10" ht="15" hidden="0" customHeight="1">
      <x:c r="A10" s="12" t="str">
        <x:v>Manual_WhatsApp</x:v>
      </x:c>
      <x:c r="B10" s="12" t="str">
        <x:v>Ready-made manual WhatsApp messages and click-to-send links</x:v>
      </x:c>
    </x:row>
    <x:row r="11" ht="15" hidden="0" customHeight="1">
      <x:c r="A11" s="12" t="str">
        <x:v>Question_Bank</x:v>
      </x:c>
      <x:c r="B11" s="12" t="str">
        <x:v>Reference sheet for all questions and possible answers</x:v>
      </x:c>
    </x:row>
    <x:row r="12" ht="15" hidden="0" customHeight="1">
      <x:c r="A12" s="12" t="str">
        <x:v>Important note</x:v>
      </x:c>
      <x:c r="B12" s="12" t="str">
        <x:v>Do not rename the 4 required tabs used by the backend</x:v>
      </x:c>
    </x:row>
    <x:row r="13" ht="15" hidden="0" customHeight="1">
      <x:c r="A13" s="12" t="str">
        <x:v>Google Sheet setup guide</x:v>
      </x:c>
      <x:c r="B13" s="12" t="str">
        <x:v>See GOOGLE-SHEET-BLUEPRINT.md in the project root</x:v>
      </x:c>
    </x:row>
    <x:row r="14" ht="15" hidden="0" customHeight="1">
      <x:c r="A14" s="9" t="str">
        <x:v>Status endpoint</x:v>
      </x:c>
      <x:c r="B14" s="9" t="str">
        <x:v>/api/backend/status</x:v>
      </x:c>
    </x:row>
    <x:row r="15" ht="15" hidden="0" customHeight="1">
      <x:c r="A15" s="12" t="str">
        <x:v>Submit endpoint</x:v>
      </x:c>
      <x:c r="B15" s="12" t="str">
        <x:v>/api/assessment/submit</x:v>
      </x:c>
    </x:row>
    <x:row r="16" ht="15" hidden="0" customHeight="1">
      <x:c r="A16" s="12" t="str">
        <x:v>Report endpoint</x:v>
      </x:c>
      <x:c r="B16" s="12" t="str">
        <x:v>/api/report/register</x:v>
      </x:c>
    </x:row>
    <x:row r="17" ht="15" hidden="0" customHeight="1">
      <x:c r="A17" s="12" t="str">
        <x:v>Webhook endpoint</x:v>
      </x:c>
      <x:c r="B17" s="12" t="str">
        <x:v>/api/webhooks/whatsapp-status</x:v>
      </x:c>
    </x:row>
    <x:row r="18" ht="15" hidden="0" customHeight="1">
      <x:c r="A18" s="12" t="str">
        <x:v>Best usage</x:v>
      </x:c>
      <x:c r="B18" s="12" t="str">
        <x:v>Import this workbook to Google Sheets, then connect Netlify env vars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380000114440918" hidden="0" customWidth="1"/>
    <x:col min="2" max="2" width="11.170000076293945" hidden="0" customWidth="1"/>
    <x:col min="3" max="3" width="12.520000457763672" hidden="0" customWidth="1"/>
    <x:col min="4" max="4" width="4.849999904632568" hidden="0" customWidth="1"/>
    <x:col min="5" max="5" width="9.020000457763672" hidden="0" customWidth="1"/>
    <x:col min="6" max="6" width="8.880000114440918" hidden="0" customWidth="1"/>
    <x:col min="7" max="7" width="10.229999542236328" hidden="0" customWidth="1"/>
    <x:col min="8" max="8" width="14.9399995803833" hidden="0" customWidth="1"/>
    <x:col min="9" max="9" width="12.920000076293945" hidden="0" customWidth="1"/>
    <x:col min="10" max="10" width="5.650000095367432" hidden="0" customWidth="1"/>
    <x:col min="11" max="11" width="2.559999942779541" hidden="0" customWidth="1"/>
    <x:col min="12" max="12" width="11.039999961853027" hidden="0" customWidth="1"/>
    <x:col min="13" max="13" width="15.75" hidden="0" customWidth="1"/>
    <x:col min="14" max="14" width="11.4399995803833" hidden="0" customWidth="1"/>
    <x:col min="15" max="15" width="16.149999618530273" hidden="0" customWidth="1"/>
    <x:col min="16" max="16" width="7.940000057220459" hidden="0" customWidth="1"/>
    <x:col min="17" max="17" width="8.609999656677246" hidden="0" customWidth="1"/>
    <x:col min="18" max="18" width="4.309999942779541" hidden="0" customWidth="1"/>
    <x:col min="19" max="19" width="11.979999542236328" hidden="0" customWidth="1"/>
    <x:col min="20" max="20" width="9.829999923706055" hidden="0" customWidth="1"/>
    <x:col min="21" max="21" width="19.920000076293945" hidden="0" customWidth="1"/>
    <x:col min="22" max="22" width="17.770000457763672" hidden="0" customWidth="1"/>
    <x:col min="23" max="23" width="11.569999694824219" hidden="0" customWidth="1"/>
    <x:col min="24" max="24" width="8.880000114440918" hidden="0" customWidth="1"/>
    <x:col min="25" max="25" width="10.359999656677246" hidden="0" customWidth="1"/>
    <x:col min="26" max="26" width="7.940000057220459" hidden="0" customWidth="1"/>
    <x:col min="27" max="27" width="6.730000019073486" hidden="0" customWidth="1"/>
    <x:col min="28" max="28" width="2.9600000381469727" hidden="0" customWidth="1"/>
    <x:col min="29" max="29" width="13.1899995803833" hidden="0" customWidth="1"/>
    <x:col min="30" max="30" width="5.110000133514404" hidden="0" customWidth="1"/>
    <x:col min="31" max="31" width="9.829999923706055" hidden="0" customWidth="1"/>
    <x:col min="32" max="32" width="12.380000114440918" hidden="0" customWidth="1"/>
    <x:col min="33" max="33" width="9.020000457763672" hidden="0" customWidth="1"/>
    <x:col min="34" max="34" width="12.789999961853027" hidden="0" customWidth="1"/>
    <x:col min="35" max="35" width="12.25" hidden="0" customWidth="1"/>
    <x:col min="36" max="36" width="7.400000095367432" hidden="0" customWidth="1"/>
    <x:col min="37" max="37" width="12.380000114440918" hidden="0" customWidth="1"/>
    <x:col min="38" max="38" width="4.309999942779541" hidden="0" customWidth="1"/>
    <x:col min="39" max="39" width="7.670000076293945" hidden="0" customWidth="1"/>
    <x:col min="40" max="40" width="6.730000019073486" hidden="0" customWidth="1"/>
    <x:col min="41" max="41" width="4.980000019073486" hidden="0" customWidth="1"/>
    <x:col min="42" max="42" width="4.039999961853027" hidden="0" customWidth="1"/>
    <x:col min="43" max="43" width="12.380000114440918" hidden="0" customWidth="1"/>
    <x:col min="44" max="44" width="12.789999961853027" hidden="0" customWidth="1"/>
    <x:col min="45" max="45" width="10.229999542236328" hidden="0" customWidth="1"/>
    <x:col min="46" max="46" width="8.609999656677246" hidden="0" customWidth="1"/>
    <x:col min="47" max="47" width="10.09000015258789" hidden="0" customWidth="1"/>
    <x:col min="48" max="48" width="9.829999923706055" hidden="0" customWidth="1"/>
    <x:col min="49" max="49" width="9.5600004196167" hidden="0" customWidth="1"/>
    <x:col min="50" max="50" width="10.630000114440918" hidden="0" customWidth="1"/>
    <x:col min="51" max="51" width="16.549999237060547" hidden="0" customWidth="1"/>
    <x:col min="52" max="52" width="23.420000076293945" hidden="0" customWidth="1"/>
    <x:col min="53" max="53" width="24.09000015258789" hidden="0" customWidth="1"/>
    <x:col min="54" max="54" width="18.84000015258789" hidden="0" customWidth="1"/>
    <x:col min="55" max="55" width="20.459999084472656" hidden="0" customWidth="1"/>
    <x:col min="56" max="56" width="19.110000610351562" hidden="0" customWidth="1"/>
    <x:col min="57" max="57" width="20.729999542236328" hidden="0" customWidth="1"/>
    <x:col min="58" max="58" width="23.149999618530273" hidden="0" customWidth="1"/>
    <x:col min="59" max="59" width="24.760000228881836" hidden="0" customWidth="1"/>
    <x:col min="60" max="60" width="10.899999618530273" hidden="0" customWidth="1"/>
    <x:col min="61" max="61" width="9.960000038146973" hidden="0" customWidth="1"/>
    <x:col min="62" max="62" width="12.649999618530273" hidden="0" customWidth="1"/>
    <x:col min="63" max="63" width="15.75" hidden="0" customWidth="1"/>
    <x:col min="64" max="64" width="9.020000457763672" hidden="0" customWidth="1"/>
    <x:col min="65" max="65" width="4.710000038146973" hidden="0" customWidth="1"/>
    <x:col min="66" max="66" width="11.3100004196167" hidden="0" customWidth="1"/>
    <x:col min="67" max="67" width="13.0600004196167" hidden="0" customWidth="1"/>
    <x:col min="68" max="68" width="2.9600000381469727" hidden="0" customWidth="1"/>
    <x:col min="69" max="69" width="10.770000457763672" hidden="0" customWidth="1"/>
  </x:cols>
  <x:sheetData>
    <x:row r="1" ht="15" hidden="0" customHeight="1">
      <x:c r="A1" s="9" t="str">
        <x:v>lead_id</x:v>
      </x:c>
      <x:c r="B1" s="9" t="str">
        <x:v>created_at_utc</x:v>
      </x:c>
      <x:c r="C1" s="9" t="str">
        <x:v>created_at_cairo</x:v>
      </x:c>
      <x:c r="D1" s="9" t="str">
        <x:v>source</x:v>
      </x:c>
      <x:c r="E1" s="9" t="str">
        <x:v>app_version</x:v>
      </x:c>
      <x:c r="F1" s="9" t="str">
        <x:v>clinic_name</x:v>
      </x:c>
      <x:c r="G1" s="9" t="str">
        <x:v>person_name</x:v>
      </x:c>
      <x:c r="H1" s="9" t="str">
        <x:v>person_role_display</x:v>
      </x:c>
      <x:c r="I1" s="9" t="str">
        <x:v>person_role_json</x:v>
      </x:c>
      <x:c r="J1" s="9" t="str">
        <x:v>country</x:v>
      </x:c>
      <x:c r="K1" s="9" t="str">
        <x:v>city</x:v>
      </x:c>
      <x:c r="L1" s="9" t="str">
        <x:v>city_is_custom</x:v>
      </x:c>
      <x:c r="M1" s="9" t="str">
        <x:v>phone_country_code</x:v>
      </x:c>
      <x:c r="N1" s="9" t="str">
        <x:v>phone_number</x:v>
      </x:c>
      <x:c r="O1" s="9" t="str">
        <x:v>phone_whatsapp_full</x:v>
      </x:c>
      <x:c r="P1" s="9" t="str">
        <x:v>clinic_type</x:v>
      </x:c>
      <x:c r="Q1" s="9" t="str">
        <x:v>clinic_years</x:v>
      </x:c>
      <x:c r="R1" s="9" t="str">
        <x:v>chairs</x:v>
      </x:c>
      <x:c r="S1" s="9" t="str">
        <x:v>services_display</x:v>
      </x:c>
      <x:c r="T1" s="9" t="str">
        <x:v>services_json</x:v>
      </x:c>
      <x:c r="U1" s="9" t="str">
        <x:v>primary_challenge_display</x:v>
      </x:c>
      <x:c r="V1" s="9" t="str">
        <x:v>primary_challenge_json</x:v>
      </x:c>
      <x:c r="W1" s="9" t="str">
        <x:v>marketing_plan</x:v>
      </x:c>
      <x:c r="X1" s="9" t="str">
        <x:v>lead_source</x:v>
      </x:c>
      <x:c r="Y1" s="9" t="str">
        <x:v>marketing_roi</x:v>
      </x:c>
      <x:c r="Z1" s="9" t="str">
        <x:v>scheduling</x:v>
      </x:c>
      <x:c r="AA1" s="9" t="str">
        <x:v>no_show</x:v>
      </x:c>
      <x:c r="AB1" s="9" t="str">
        <x:v>kpis</x:v>
      </x:c>
      <x:c r="AC1" s="9" t="str">
        <x:v>monthly_revenue</x:v>
      </x:c>
      <x:c r="AD1" s="9" t="str">
        <x:v>budget</x:v>
      </x:c>
      <x:c r="AE1" s="9" t="str">
        <x:v>fin_challenge</x:v>
      </x:c>
      <x:c r="AF1" s="9" t="str">
        <x:v>case_acceptance</x:v>
      </x:c>
      <x:c r="AG1" s="9" t="str">
        <x:v>installments</x:v>
      </x:c>
      <x:c r="AH1" s="9" t="str">
        <x:v>insurance_model</x:v>
      </x:c>
      <x:c r="AI1" s="9" t="str">
        <x:v>gulf_pricing_mix</x:v>
      </x:c>
      <x:c r="AJ1" s="9" t="str">
        <x:v>team_size</x:v>
      </x:c>
      <x:c r="AK1" s="9" t="str">
        <x:v>delegation_layer</x:v>
      </x:c>
      <x:c r="AL1" s="9" t="str">
        <x:v>vision</x:v>
      </x:c>
      <x:c r="AM1" s="9" t="str">
        <x:v>leadership</x:v>
      </x:c>
      <x:c r="AN1" s="9" t="str">
        <x:v>feedback</x:v>
      </x:c>
      <x:c r="AO1" s="9" t="str">
        <x:v>loyalty</x:v>
      </x:c>
      <x:c r="AP1" s="9" t="str">
        <x:v>notes</x:v>
      </x:c>
      <x:c r="AQ1" s="9" t="str">
        <x:v>marketing_score</x:v>
      </x:c>
      <x:c r="AR1" s="9" t="str">
        <x:v>operations_score</x:v>
      </x:c>
      <x:c r="AS1" s="9" t="str">
        <x:v>finance_score</x:v>
      </x:c>
      <x:c r="AT1" s="9" t="str">
        <x:v>team_score</x:v>
      </x:c>
      <x:c r="AU1" s="9" t="str">
        <x:v>patient_score</x:v>
      </x:c>
      <x:c r="AV1" s="9" t="str">
        <x:v>overall_score</x:v>
      </x:c>
      <x:c r="AW1" s="9" t="str">
        <x:v>weakest_key</x:v>
      </x:c>
      <x:c r="AX1" s="9" t="str">
        <x:v>weakest_label</x:v>
      </x:c>
      <x:c r="AY1" s="9" t="str">
        <x:v>diagnosis_explanation</x:v>
      </x:c>
      <x:c r="AZ1" s="9" t="str">
        <x:v>support_recommendation_title</x:v>
      </x:c>
      <x:c r="BA1" s="9" t="str">
        <x:v>support_recommendation_body</x:v>
      </x:c>
      <x:c r="BB1" s="9" t="str">
        <x:v>recommended_course_id</x:v>
      </x:c>
      <x:c r="BC1" s="9" t="str">
        <x:v>recommended_course_title</x:v>
      </x:c>
      <x:c r="BD1" s="9" t="str">
        <x:v>recommended_bundle_id</x:v>
      </x:c>
      <x:c r="BE1" s="9" t="str">
        <x:v>recommended_bundle_title</x:v>
      </x:c>
      <x:c r="BF1" s="9" t="str">
        <x:v>recommended_consultation_id</x:v>
      </x:c>
      <x:c r="BG1" s="9" t="str">
        <x:v>recommended_consultation_title</x:v>
      </x:c>
      <x:c r="BH1" s="9" t="str">
        <x:v>report_pdf_url</x:v>
      </x:c>
      <x:c r="BI1" s="9" t="str">
        <x:v>report_status</x:v>
      </x:c>
      <x:c r="BJ1" s="9" t="str">
        <x:v>whatsapp_status</x:v>
      </x:c>
      <x:c r="BK1" s="9" t="str">
        <x:v>first_followup_status</x:v>
      </x:c>
      <x:c r="BL1" s="9" t="str">
        <x:v>sales_status</x:v>
      </x:c>
      <x:c r="BM1" s="9" t="str">
        <x:v>owner</x:v>
      </x:c>
      <x:c r="BN1" s="9" t="str">
        <x:v>last_contact_at</x:v>
      </x:c>
      <x:c r="BO1" s="9" t="str">
        <x:v>next_followup_at</x:v>
      </x:c>
      <x:c r="BP1" s="9" t="str">
        <x:v>tags</x:v>
      </x:c>
      <x:c r="BQ1" s="9" t="str">
        <x:v>internal_notes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380000114440918" hidden="0" customWidth="1"/>
    <x:col min="2" max="2" width="9.829999923706055" hidden="0" customWidth="1"/>
    <x:col min="3" max="3" width="8.880000114440918" hidden="0" customWidth="1"/>
    <x:col min="4" max="4" width="10.229999542236328" hidden="0" customWidth="1"/>
    <x:col min="5" max="5" width="8.880000114440918" hidden="0" customWidth="1"/>
    <x:col min="6" max="6" width="5.650000095367432" hidden="0" customWidth="1"/>
    <x:col min="7" max="7" width="2.559999942779541" hidden="0" customWidth="1"/>
    <x:col min="8" max="8" width="15.75" hidden="0" customWidth="1"/>
    <x:col min="9" max="9" width="11.4399995803833" hidden="0" customWidth="1"/>
    <x:col min="10" max="10" width="7.940000057220459" hidden="0" customWidth="1"/>
    <x:col min="11" max="11" width="8.609999656677246" hidden="0" customWidth="1"/>
    <x:col min="12" max="12" width="4.309999942779541" hidden="0" customWidth="1"/>
    <x:col min="13" max="13" width="5.920000076293945" hidden="0" customWidth="1"/>
    <x:col min="14" max="14" width="13.729999542236328" hidden="0" customWidth="1"/>
    <x:col min="15" max="15" width="11.569999694824219" hidden="0" customWidth="1"/>
    <x:col min="16" max="16" width="8.880000114440918" hidden="0" customWidth="1"/>
    <x:col min="17" max="17" width="10.359999656677246" hidden="0" customWidth="1"/>
    <x:col min="18" max="18" width="7.940000057220459" hidden="0" customWidth="1"/>
    <x:col min="19" max="19" width="6.730000019073486" hidden="0" customWidth="1"/>
    <x:col min="20" max="20" width="2.9600000381469727" hidden="0" customWidth="1"/>
    <x:col min="21" max="21" width="13.1899995803833" hidden="0" customWidth="1"/>
    <x:col min="22" max="22" width="5.110000133514404" hidden="0" customWidth="1"/>
    <x:col min="23" max="23" width="9.829999923706055" hidden="0" customWidth="1"/>
    <x:col min="24" max="24" width="12.380000114440918" hidden="0" customWidth="1"/>
    <x:col min="25" max="25" width="9.020000457763672" hidden="0" customWidth="1"/>
    <x:col min="26" max="26" width="12.789999961853027" hidden="0" customWidth="1"/>
    <x:col min="27" max="27" width="12.25" hidden="0" customWidth="1"/>
    <x:col min="28" max="28" width="7.400000095367432" hidden="0" customWidth="1"/>
    <x:col min="29" max="29" width="12.380000114440918" hidden="0" customWidth="1"/>
    <x:col min="30" max="30" width="4.309999942779541" hidden="0" customWidth="1"/>
    <x:col min="31" max="31" width="7.670000076293945" hidden="0" customWidth="1"/>
    <x:col min="32" max="32" width="6.730000019073486" hidden="0" customWidth="1"/>
    <x:col min="33" max="33" width="4.980000019073486" hidden="0" customWidth="1"/>
    <x:col min="34" max="34" width="4.039999961853027" hidden="0" customWidth="1"/>
    <x:col min="35" max="35" width="13.59000015258789" hidden="0" customWidth="1"/>
  </x:cols>
  <x:sheetData>
    <x:row r="1" ht="15" hidden="0" customHeight="1">
      <x:c r="A1" s="9" t="str">
        <x:v>lead_id</x:v>
      </x:c>
      <x:c r="B1" s="9" t="str">
        <x:v>submitted_at</x:v>
      </x:c>
      <x:c r="C1" s="9" t="str">
        <x:v>clinic_name</x:v>
      </x:c>
      <x:c r="D1" s="9" t="str">
        <x:v>person_name</x:v>
      </x:c>
      <x:c r="E1" s="9" t="str">
        <x:v>person_role</x:v>
      </x:c>
      <x:c r="F1" s="9" t="str">
        <x:v>country</x:v>
      </x:c>
      <x:c r="G1" s="9" t="str">
        <x:v>city</x:v>
      </x:c>
      <x:c r="H1" s="9" t="str">
        <x:v>phone_country_code</x:v>
      </x:c>
      <x:c r="I1" s="9" t="str">
        <x:v>phone_number</x:v>
      </x:c>
      <x:c r="J1" s="9" t="str">
        <x:v>clinic_type</x:v>
      </x:c>
      <x:c r="K1" s="9" t="str">
        <x:v>clinic_years</x:v>
      </x:c>
      <x:c r="L1" s="9" t="str">
        <x:v>chairs</x:v>
      </x:c>
      <x:c r="M1" s="9" t="str">
        <x:v>services</x:v>
      </x:c>
      <x:c r="N1" s="9" t="str">
        <x:v>primary_challenge</x:v>
      </x:c>
      <x:c r="O1" s="9" t="str">
        <x:v>marketing_plan</x:v>
      </x:c>
      <x:c r="P1" s="9" t="str">
        <x:v>lead_source</x:v>
      </x:c>
      <x:c r="Q1" s="9" t="str">
        <x:v>marketing_roi</x:v>
      </x:c>
      <x:c r="R1" s="9" t="str">
        <x:v>scheduling</x:v>
      </x:c>
      <x:c r="S1" s="9" t="str">
        <x:v>no_show</x:v>
      </x:c>
      <x:c r="T1" s="9" t="str">
        <x:v>kpis</x:v>
      </x:c>
      <x:c r="U1" s="9" t="str">
        <x:v>monthly_revenue</x:v>
      </x:c>
      <x:c r="V1" s="9" t="str">
        <x:v>budget</x:v>
      </x:c>
      <x:c r="W1" s="9" t="str">
        <x:v>fin_challenge</x:v>
      </x:c>
      <x:c r="X1" s="9" t="str">
        <x:v>case_acceptance</x:v>
      </x:c>
      <x:c r="Y1" s="9" t="str">
        <x:v>installments</x:v>
      </x:c>
      <x:c r="Z1" s="9" t="str">
        <x:v>insurance_model</x:v>
      </x:c>
      <x:c r="AA1" s="9" t="str">
        <x:v>gulf_pricing_mix</x:v>
      </x:c>
      <x:c r="AB1" s="9" t="str">
        <x:v>team_size</x:v>
      </x:c>
      <x:c r="AC1" s="9" t="str">
        <x:v>delegation_layer</x:v>
      </x:c>
      <x:c r="AD1" s="9" t="str">
        <x:v>vision</x:v>
      </x:c>
      <x:c r="AE1" s="9" t="str">
        <x:v>leadership</x:v>
      </x:c>
      <x:c r="AF1" s="9" t="str">
        <x:v>feedback</x:v>
      </x:c>
      <x:c r="AG1" s="9" t="str">
        <x:v>loyalty</x:v>
      </x:c>
      <x:c r="AH1" s="9" t="str">
        <x:v>notes</x:v>
      </x:c>
      <x:c r="AI1" s="9" t="str">
        <x:v>raw_payload_json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380000114440918" hidden="0" customWidth="1"/>
    <x:col min="2" max="2" width="12.380000114440918" hidden="0" customWidth="1"/>
    <x:col min="3" max="3" width="12.789999961853027" hidden="0" customWidth="1"/>
    <x:col min="4" max="4" width="10.229999542236328" hidden="0" customWidth="1"/>
    <x:col min="5" max="5" width="8.609999656677246" hidden="0" customWidth="1"/>
    <x:col min="6" max="6" width="10.09000015258789" hidden="0" customWidth="1"/>
    <x:col min="7" max="7" width="9.829999923706055" hidden="0" customWidth="1"/>
    <x:col min="8" max="8" width="9.5600004196167" hidden="0" customWidth="1"/>
    <x:col min="9" max="9" width="10.630000114440918" hidden="0" customWidth="1"/>
    <x:col min="10" max="10" width="16.549999237060547" hidden="0" customWidth="1"/>
    <x:col min="11" max="11" width="19.25" hidden="0" customWidth="1"/>
    <x:col min="12" max="12" width="15.34000015258789" hidden="0" customWidth="1"/>
    <x:col min="13" max="13" width="16.549999237060547" hidden="0" customWidth="1"/>
    <x:col min="14" max="14" width="23.420000076293945" hidden="0" customWidth="1"/>
    <x:col min="15" max="15" width="24.09000015258789" hidden="0" customWidth="1"/>
    <x:col min="16" max="16" width="20.59000015258789" hidden="0" customWidth="1"/>
    <x:col min="17" max="17" width="20.860000610351562" hidden="0" customWidth="1"/>
    <x:col min="18" max="18" width="24.899999618530273" hidden="0" customWidth="1"/>
  </x:cols>
  <x:sheetData>
    <x:row r="1" ht="15" hidden="0" customHeight="1">
      <x:c r="A1" s="9" t="str">
        <x:v>lead_id</x:v>
      </x:c>
      <x:c r="B1" s="9" t="str">
        <x:v>marketing_score</x:v>
      </x:c>
      <x:c r="C1" s="9" t="str">
        <x:v>operations_score</x:v>
      </x:c>
      <x:c r="D1" s="9" t="str">
        <x:v>finance_score</x:v>
      </x:c>
      <x:c r="E1" s="9" t="str">
        <x:v>team_score</x:v>
      </x:c>
      <x:c r="F1" s="9" t="str">
        <x:v>patient_score</x:v>
      </x:c>
      <x:c r="G1" s="9" t="str">
        <x:v>overall_score</x:v>
      </x:c>
      <x:c r="H1" s="9" t="str">
        <x:v>weakest_key</x:v>
      </x:c>
      <x:c r="I1" s="9" t="str">
        <x:v>weakest_label</x:v>
      </x:c>
      <x:c r="J1" s="9" t="str">
        <x:v>diagnosis_explanation</x:v>
      </x:c>
      <x:c r="K1" s="9" t="str">
        <x:v>clinic_context_notes_json</x:v>
      </x:c>
      <x:c r="L1" s="9" t="str">
        <x:v>execution_plan_json</x:v>
      </x:c>
      <x:c r="M1" s="9" t="str">
        <x:v>free_action_plan_json</x:v>
      </x:c>
      <x:c r="N1" s="9" t="str">
        <x:v>support_recommendation_title</x:v>
      </x:c>
      <x:c r="O1" s="9" t="str">
        <x:v>support_recommendation_body</x:v>
      </x:c>
      <x:c r="P1" s="9" t="str">
        <x:v>recommended_course_json</x:v>
      </x:c>
      <x:c r="Q1" s="9" t="str">
        <x:v>recommended_bundle_json</x:v>
      </x:c>
      <x:c r="R1" s="9" t="str">
        <x:v>recommended_consultation_json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440000057220459" hidden="0" customWidth="1"/>
    <x:col min="2" max="2" width="5.380000114440918" hidden="0" customWidth="1"/>
    <x:col min="3" max="3" width="8.34000015258789" hidden="0" customWidth="1"/>
    <x:col min="4" max="4" width="5.789999961853027" hidden="0" customWidth="1"/>
    <x:col min="5" max="5" width="11.84000015258789" hidden="0" customWidth="1"/>
    <x:col min="6" max="6" width="9.829999923706055" hidden="0" customWidth="1"/>
    <x:col min="7" max="7" width="4.440000057220459" hidden="0" customWidth="1"/>
    <x:col min="8" max="8" width="15.880000114440918" hidden="0" customWidth="1"/>
    <x:col min="9" max="9" width="7.940000057220459" hidden="0" customWidth="1"/>
    <x:col min="10" max="10" width="5.519999980926514" hidden="0" customWidth="1"/>
    <x:col min="11" max="11" width="11.039999961853027" hidden="0" customWidth="1"/>
  </x:cols>
  <x:sheetData>
    <x:row r="1" ht="15" hidden="0" customHeight="1">
      <x:c r="A1" s="9" t="str">
        <x:v>log_id</x:v>
      </x:c>
      <x:c r="B1" s="9" t="str">
        <x:v>lead_id</x:v>
      </x:c>
      <x:c r="C1" s="9" t="str">
        <x:v>event_type</x:v>
      </x:c>
      <x:c r="D1" s="9" t="str">
        <x:v>channel</x:v>
      </x:c>
      <x:c r="E1" s="9" t="str">
        <x:v>template_name</x:v>
      </x:c>
      <x:c r="F1" s="9" t="str">
        <x:v>payload_json</x:v>
      </x:c>
      <x:c r="G1" s="9" t="str">
        <x:v>status</x:v>
      </x:c>
      <x:c r="H1" s="9" t="str">
        <x:v>provider_message_id</x:v>
      </x:c>
      <x:c r="I1" s="9" t="str">
        <x:v>created_at</x:v>
      </x:c>
      <x:c r="J1" s="9" t="str">
        <x:v>sent_at</x:v>
      </x:c>
      <x:c r="K1" s="9" t="str">
        <x:v>error_message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.93000030517578" hidden="0" customWidth="1"/>
    <x:col min="2" max="2" width="5.380000114440918" hidden="0" customWidth="1"/>
    <x:col min="3" max="3" width="7" hidden="0" customWidth="1"/>
    <x:col min="4" max="4" width="10.229999542236328" hidden="0" customWidth="1"/>
    <x:col min="5" max="5" width="8.880000114440918" hidden="0" customWidth="1"/>
    <x:col min="6" max="6" width="3.359999895095825" hidden="0" customWidth="1"/>
    <x:col min="7" max="7" width="7.940000057220459" hidden="0" customWidth="1"/>
  </x:cols>
  <x:sheetData>
    <x:row r="1" ht="15" hidden="0" customHeight="1">
      <x:c r="A1" s="9" t="str">
        <x:v>note_id</x:v>
      </x:c>
      <x:c r="B1" s="9" t="str">
        <x:v>lead_id</x:v>
      </x:c>
      <x:c r="C1" s="9" t="str">
        <x:v>sales_rep</x:v>
      </x:c>
      <x:c r="D1" s="9" t="str">
        <x:v>status_before</x:v>
      </x:c>
      <x:c r="E1" s="9" t="str">
        <x:v>status_after</x:v>
      </x:c>
      <x:c r="F1" s="9" t="str">
        <x:v>note</x:v>
      </x:c>
      <x:c r="G1" s="9" t="str">
        <x:v>created_at</x:v>
      </x:c>
    </x:row>
    <x:row r="2" ht="15" hidden="0" customHeight="1">
      <x:c r="A2" s="13" t="str">
        <x:v>Manual sales follow-up notes can be added here by your team.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.44999694824219" hidden="0" customWidth="1"/>
    <x:col min="2" max="2" width="8.880000114440918" hidden="0" customWidth="1"/>
    <x:col min="3" max="3" width="10.229999542236328" hidden="0" customWidth="1"/>
    <x:col min="4" max="4" width="16.149999618530273" hidden="0" customWidth="1"/>
    <x:col min="5" max="5" width="9.829999923706055" hidden="0" customWidth="1"/>
    <x:col min="6" max="6" width="10.630000114440918" hidden="0" customWidth="1"/>
    <x:col min="7" max="7" width="20.459999084472656" hidden="0" customWidth="1"/>
    <x:col min="8" max="8" width="20.729999542236328" hidden="0" customWidth="1"/>
    <x:col min="9" max="9" width="24.760000228881836" hidden="0" customWidth="1"/>
    <x:col min="10" max="10" width="10.899999618530273" hidden="0" customWidth="1"/>
    <x:col min="11" max="11" width="8.210000038146973" hidden="0" customWidth="1"/>
    <x:col min="12" max="12" width="5.25" hidden="0" customWidth="1"/>
    <x:col min="13" max="13" width="8.210000038146973" hidden="0" customWidth="1"/>
    <x:col min="14" max="14" width="5.25" hidden="0" customWidth="1"/>
    <x:col min="15" max="15" width="8.210000038146973" hidden="0" customWidth="1"/>
    <x:col min="16" max="16" width="5.25" hidden="0" customWidth="1"/>
  </x:cols>
  <x:sheetData>
    <x:row r="1" ht="15" hidden="0" customHeight="1">
      <x:c r="A1" s="9" t="str">
        <x:v>lead_id</x:v>
      </x:c>
      <x:c r="B1" s="9" t="str">
        <x:v>clinic_name</x:v>
      </x:c>
      <x:c r="C1" s="9" t="str">
        <x:v>person_name</x:v>
      </x:c>
      <x:c r="D1" s="9" t="str">
        <x:v>phone_whatsapp_full</x:v>
      </x:c>
      <x:c r="E1" s="9" t="str">
        <x:v>overall_score</x:v>
      </x:c>
      <x:c r="F1" s="9" t="str">
        <x:v>weakest_label</x:v>
      </x:c>
      <x:c r="G1" s="9" t="str">
        <x:v>recommended_course_title</x:v>
      </x:c>
      <x:c r="H1" s="9" t="str">
        <x:v>recommended_bundle_title</x:v>
      </x:c>
      <x:c r="I1" s="9" t="str">
        <x:v>recommended_consultation_title</x:v>
      </x:c>
      <x:c r="J1" s="9" t="str">
        <x:v>report_pdf_url</x:v>
      </x:c>
      <x:c r="K1" s="9" t="str">
        <x:v>message_1</x:v>
      </x:c>
      <x:c r="L1" s="9" t="str">
        <x:v>send_1</x:v>
      </x:c>
      <x:c r="M1" s="9" t="str">
        <x:v>message_2</x:v>
      </x:c>
      <x:c r="N1" s="9" t="str">
        <x:v>send_2</x:v>
      </x:c>
      <x:c r="O1" s="9" t="str">
        <x:v>message_3</x:v>
      </x:c>
      <x:c r="P1" s="9" t="str">
        <x:v>send_3</x:v>
      </x:c>
    </x:row>
    <x:row r="2" ht="15" hidden="0" customHeight="1">
      <x:c r="A2" s="12" t="str">
        <x:f>IF(Leads!A2="","",Leads!A2)</x:f>
      </x:c>
      <x:c r="B2" s="12" t="str">
        <x:f>IF(Leads!F2="","",Leads!F2)</x:f>
      </x:c>
      <x:c r="C2" s="12" t="str">
        <x:f>IF(Leads!G2="","",Leads!G2)</x:f>
      </x:c>
      <x:c r="D2" s="12" t="str">
        <x:f>IF(Leads!O2="","",Leads!O2)</x:f>
      </x:c>
      <x:c r="E2" s="12" t="str">
        <x:f>IF(Leads!AV2="","",Leads!AV2)</x:f>
      </x:c>
      <x:c r="F2" s="12" t="str">
        <x:f>IF(Leads!AX2="","",Leads!AX2)</x:f>
      </x:c>
      <x:c r="G2" s="12" t="str">
        <x:f>IF(Leads!BC2="","",Leads!BC2)</x:f>
      </x:c>
      <x:c r="H2" s="12" t="str">
        <x:f>IF(Leads!BE2="","",Leads!BE2)</x:f>
      </x:c>
      <x:c r="I2" s="12" t="str">
        <x:f>IF(Leads!BG2="","",Leads!BG2)</x:f>
      </x:c>
      <x:c r="J2" s="12" t="str">
        <x:f>IF(Leads!BH2="","",Leads!BH2)</x:f>
      </x:c>
      <x:c r="K2" s="12" t="str">
        <x:f>IF(A2="","","مرحبًا "&amp;C2&amp;CHAR(10)&amp;CHAR(10)&amp;"شكرًا لإتمام تقييم DBD الخاص بعيادة "&amp;B2&amp;"."&amp;CHAR(10)&amp;"نتيجتكم الحالية: "&amp;E2&amp;"%."&amp;CHAR(10)&amp;"أولوية التحسين الأولى: "&amp;F2&amp;"."&amp;IF(J2&lt;&gt;"",CHAR(10)&amp;CHAR(10)&amp;"رابط التقرير: "&amp;J2,"")&amp;CHAR(10)&amp;CHAR(10)&amp;"إذا أحببت، يمكننا مساعدتك في فهم التقرير وتحديد أفضل خطوة تالية لعيادتكم.")</x:f>
      </x:c>
      <x:c r="L2" s="12" t="str">
        <x:f>IF(D2="","",HYPERLINK("https://wa.me/"&amp;REGEXREPLACE(D2,"[^\d]","")&amp;"?text="&amp;ENCODEURL(K2),"واتساب 1"))</x:f>
      </x:c>
      <x:c r="M2" s="12" t="str">
        <x:f>IF(A2="","","مرحبًا "&amp;C2&amp;CHAR(10)&amp;CHAR(10)&amp;"بناءً على نتيجة تقييم عيادة "&amp;B2&amp;"، فإن الترشيح الأقوى لكم الآن هو: "&amp;G2&amp;"."&amp;CHAR(10)&amp;"هذا الخيار يساعدكم في معالجة أكبر فجوة حالية بشكل عملي ومباشر."&amp;IF(J2&lt;&gt;"",CHAR(10)&amp;CHAR(10)&amp;"رابط التقرير: "&amp;J2,"")&amp;CHAR(10)&amp;CHAR(10)&amp;"إذا رغبت، يمكننا توضيح لماذا هذا الكورس هو الأنسب لكم الآن.")</x:f>
      </x:c>
      <x:c r="N2" s="12" t="str">
        <x:f>IF(D2="","",HYPERLINK("https://wa.me/"&amp;REGEXREPLACE(D2,"[^\d]","")&amp;"?text="&amp;ENCODEURL(M2),"واتساب 2"))</x:f>
      </x:c>
      <x:c r="O2" s="12" t="str">
        <x:f>IF(A2="","","مرحبًا "&amp;C2&amp;CHAR(10)&amp;CHAR(10)&amp;"إذا كانت التحديات لديكم تحتاج حلًا أشمل، فالبرنامج الكامل المناسب لكم هو: "&amp;H2&amp;"."&amp;IF(I2&lt;&gt;"",CHAR(10)&amp;"كما يمكنكم أيضًا حجز: "&amp;I2&amp;".","")&amp;IF(J2&lt;&gt;"",CHAR(10)&amp;CHAR(10)&amp;"رابط التقرير: "&amp;J2,"")&amp;CHAR(10)&amp;CHAR(10)&amp;"يسعدنا مساعدتكم في اختيار المسار الأنسب حسب وضع العيادة الحالي.")</x:f>
      </x:c>
      <x:c r="P2" s="12" t="str">
        <x:f>IF(D2="","",HYPERLINK("https://wa.me/"&amp;REGEXREPLACE(D2,"[^\d]","")&amp;"?text="&amp;ENCODEURL(O2),"واتساب 3"))</x:f>
      </x:c>
    </x:row>
    <x:row r="3" ht="15" hidden="0" customHeight="1">
      <x:c r="A3" s="12" t="str">
        <x:f>IF(Leads!A3="","",Leads!A3)</x:f>
      </x:c>
      <x:c r="B3" s="12" t="str">
        <x:f>IF(Leads!F3="","",Leads!F3)</x:f>
      </x:c>
      <x:c r="C3" s="12" t="str">
        <x:f>IF(Leads!G3="","",Leads!G3)</x:f>
      </x:c>
      <x:c r="D3" s="12" t="str">
        <x:f>IF(Leads!O3="","",Leads!O3)</x:f>
      </x:c>
      <x:c r="E3" s="12" t="str">
        <x:f>IF(Leads!AV3="","",Leads!AV3)</x:f>
      </x:c>
      <x:c r="F3" s="12" t="str">
        <x:f>IF(Leads!AX3="","",Leads!AX3)</x:f>
      </x:c>
      <x:c r="G3" s="12" t="str">
        <x:f>IF(Leads!BC3="","",Leads!BC3)</x:f>
      </x:c>
      <x:c r="H3" s="12" t="str">
        <x:f>IF(Leads!BE3="","",Leads!BE3)</x:f>
      </x:c>
      <x:c r="I3" s="12" t="str">
        <x:f>IF(Leads!BG3="","",Leads!BG3)</x:f>
      </x:c>
      <x:c r="J3" s="12" t="str">
        <x:f>IF(Leads!BH3="","",Leads!BH3)</x:f>
      </x:c>
      <x:c r="K3" s="12" t="str">
        <x:f>IF(A3="","","مرحبًا "&amp;C3&amp;CHAR(10)&amp;CHAR(10)&amp;"شكرًا لإتمام تقييم DBD الخاص بعيادة "&amp;B3&amp;"."&amp;CHAR(10)&amp;"نتيجتكم الحالية: "&amp;E3&amp;"%."&amp;CHAR(10)&amp;"أولوية التحسين الأولى: "&amp;F3&amp;"."&amp;IF(J3&lt;&gt;"",CHAR(10)&amp;CHAR(10)&amp;"رابط التقرير: "&amp;J3,"")&amp;CHAR(10)&amp;CHAR(10)&amp;"إذا أحببت، يمكننا مساعدتك في فهم التقرير وتحديد أفضل خطوة تالية لعيادتكم.")</x:f>
      </x:c>
      <x:c r="L3" s="12" t="str">
        <x:f>IF(D3="","",HYPERLINK("https://wa.me/"&amp;REGEXREPLACE(D3,"[^\d]","")&amp;"?text="&amp;ENCODEURL(K3),"واتساب 1"))</x:f>
      </x:c>
      <x:c r="M3" s="12" t="str">
        <x:f>IF(A3="","","مرحبًا "&amp;C3&amp;CHAR(10)&amp;CHAR(10)&amp;"بناءً على نتيجة تقييم عيادة "&amp;B3&amp;"، فإن الترشيح الأقوى لكم الآن هو: "&amp;G3&amp;"."&amp;CHAR(10)&amp;"هذا الخيار يساعدكم في معالجة أكبر فجوة حالية بشكل عملي ومباشر."&amp;IF(J3&lt;&gt;"",CHAR(10)&amp;CHAR(10)&amp;"رابط التقرير: "&amp;J3,"")&amp;CHAR(10)&amp;CHAR(10)&amp;"إذا رغبت، يمكننا توضيح لماذا هذا الكورس هو الأنسب لكم الآن.")</x:f>
      </x:c>
      <x:c r="N3" s="12" t="str">
        <x:f>IF(D3="","",HYPERLINK("https://wa.me/"&amp;REGEXREPLACE(D3,"[^\d]","")&amp;"?text="&amp;ENCODEURL(M3),"واتساب 2"))</x:f>
      </x:c>
      <x:c r="O3" s="12" t="str">
        <x:f>IF(A3="","","مرحبًا "&amp;C3&amp;CHAR(10)&amp;CHAR(10)&amp;"إذا كانت التحديات لديكم تحتاج حلًا أشمل، فالبرنامج الكامل المناسب لكم هو: "&amp;H3&amp;"."&amp;IF(I3&lt;&gt;"",CHAR(10)&amp;"كما يمكنكم أيضًا حجز: "&amp;I3&amp;".","")&amp;IF(J3&lt;&gt;"",CHAR(10)&amp;CHAR(10)&amp;"رابط التقرير: "&amp;J3,"")&amp;CHAR(10)&amp;CHAR(10)&amp;"يسعدنا مساعدتكم في اختيار المسار الأنسب حسب وضع العيادة الحالي.")</x:f>
      </x:c>
      <x:c r="P3" s="12" t="str">
        <x:f>IF(D3="","",HYPERLINK("https://wa.me/"&amp;REGEXREPLACE(D3,"[^\d]","")&amp;"?text="&amp;ENCODEURL(O3),"واتساب 3"))</x:f>
      </x:c>
    </x:row>
    <x:row r="4" ht="15" hidden="0" customHeight="1">
      <x:c r="A4" s="12" t="str">
        <x:f>IF(Leads!A4="","",Leads!A4)</x:f>
      </x:c>
      <x:c r="B4" s="12" t="str">
        <x:f>IF(Leads!F4="","",Leads!F4)</x:f>
      </x:c>
      <x:c r="C4" s="12" t="str">
        <x:f>IF(Leads!G4="","",Leads!G4)</x:f>
      </x:c>
      <x:c r="D4" s="12" t="str">
        <x:f>IF(Leads!O4="","",Leads!O4)</x:f>
      </x:c>
      <x:c r="E4" s="12" t="str">
        <x:f>IF(Leads!AV4="","",Leads!AV4)</x:f>
      </x:c>
      <x:c r="F4" s="12" t="str">
        <x:f>IF(Leads!AX4="","",Leads!AX4)</x:f>
      </x:c>
      <x:c r="G4" s="12" t="str">
        <x:f>IF(Leads!BC4="","",Leads!BC4)</x:f>
      </x:c>
      <x:c r="H4" s="12" t="str">
        <x:f>IF(Leads!BE4="","",Leads!BE4)</x:f>
      </x:c>
      <x:c r="I4" s="12" t="str">
        <x:f>IF(Leads!BG4="","",Leads!BG4)</x:f>
      </x:c>
      <x:c r="J4" s="12" t="str">
        <x:f>IF(Leads!BH4="","",Leads!BH4)</x:f>
      </x:c>
      <x:c r="K4" s="12" t="str">
        <x:f>IF(A4="","","مرحبًا "&amp;C4&amp;CHAR(10)&amp;CHAR(10)&amp;"شكرًا لإتمام تقييم DBD الخاص بعيادة "&amp;B4&amp;"."&amp;CHAR(10)&amp;"نتيجتكم الحالية: "&amp;E4&amp;"%."&amp;CHAR(10)&amp;"أولوية التحسين الأولى: "&amp;F4&amp;"."&amp;IF(J4&lt;&gt;"",CHAR(10)&amp;CHAR(10)&amp;"رابط التقرير: "&amp;J4,"")&amp;CHAR(10)&amp;CHAR(10)&amp;"إذا أحببت، يمكننا مساعدتك في فهم التقرير وتحديد أفضل خطوة تالية لعيادتكم.")</x:f>
      </x:c>
      <x:c r="L4" s="12" t="str">
        <x:f>IF(D4="","",HYPERLINK("https://wa.me/"&amp;REGEXREPLACE(D4,"[^\d]","")&amp;"?text="&amp;ENCODEURL(K4),"واتساب 1"))</x:f>
      </x:c>
      <x:c r="M4" s="12" t="str">
        <x:f>IF(A4="","","مرحبًا "&amp;C4&amp;CHAR(10)&amp;CHAR(10)&amp;"بناءً على نتيجة تقييم عيادة "&amp;B4&amp;"، فإن الترشيح الأقوى لكم الآن هو: "&amp;G4&amp;"."&amp;CHAR(10)&amp;"هذا الخيار يساعدكم في معالجة أكبر فجوة حالية بشكل عملي ومباشر."&amp;IF(J4&lt;&gt;"",CHAR(10)&amp;CHAR(10)&amp;"رابط التقرير: "&amp;J4,"")&amp;CHAR(10)&amp;CHAR(10)&amp;"إذا رغبت، يمكننا توضيح لماذا هذا الكورس هو الأنسب لكم الآن.")</x:f>
      </x:c>
      <x:c r="N4" s="12" t="str">
        <x:f>IF(D4="","",HYPERLINK("https://wa.me/"&amp;REGEXREPLACE(D4,"[^\d]","")&amp;"?text="&amp;ENCODEURL(M4),"واتساب 2"))</x:f>
      </x:c>
      <x:c r="O4" s="12" t="str">
        <x:f>IF(A4="","","مرحبًا "&amp;C4&amp;CHAR(10)&amp;CHAR(10)&amp;"إذا كانت التحديات لديكم تحتاج حلًا أشمل، فالبرنامج الكامل المناسب لكم هو: "&amp;H4&amp;"."&amp;IF(I4&lt;&gt;"",CHAR(10)&amp;"كما يمكنكم أيضًا حجز: "&amp;I4&amp;".","")&amp;IF(J4&lt;&gt;"",CHAR(10)&amp;CHAR(10)&amp;"رابط التقرير: "&amp;J4,"")&amp;CHAR(10)&amp;CHAR(10)&amp;"يسعدنا مساعدتكم في اختيار المسار الأنسب حسب وضع العيادة الحالي.")</x:f>
      </x:c>
      <x:c r="P4" s="12" t="str">
        <x:f>IF(D4="","",HYPERLINK("https://wa.me/"&amp;REGEXREPLACE(D4,"[^\d]","")&amp;"?text="&amp;ENCODEURL(O4),"واتساب 3"))</x:f>
      </x:c>
    </x:row>
    <x:row r="5" ht="15" hidden="0" customHeight="1">
      <x:c r="A5" s="12" t="str">
        <x:f>IF(Leads!A5="","",Leads!A5)</x:f>
      </x:c>
      <x:c r="B5" s="12" t="str">
        <x:f>IF(Leads!F5="","",Leads!F5)</x:f>
      </x:c>
      <x:c r="C5" s="12" t="str">
        <x:f>IF(Leads!G5="","",Leads!G5)</x:f>
      </x:c>
      <x:c r="D5" s="12" t="str">
        <x:f>IF(Leads!O5="","",Leads!O5)</x:f>
      </x:c>
      <x:c r="E5" s="12" t="str">
        <x:f>IF(Leads!AV5="","",Leads!AV5)</x:f>
      </x:c>
      <x:c r="F5" s="12" t="str">
        <x:f>IF(Leads!AX5="","",Leads!AX5)</x:f>
      </x:c>
      <x:c r="G5" s="12" t="str">
        <x:f>IF(Leads!BC5="","",Leads!BC5)</x:f>
      </x:c>
      <x:c r="H5" s="12" t="str">
        <x:f>IF(Leads!BE5="","",Leads!BE5)</x:f>
      </x:c>
      <x:c r="I5" s="12" t="str">
        <x:f>IF(Leads!BG5="","",Leads!BG5)</x:f>
      </x:c>
      <x:c r="J5" s="12" t="str">
        <x:f>IF(Leads!BH5="","",Leads!BH5)</x:f>
      </x:c>
      <x:c r="K5" s="12" t="str">
        <x:f>IF(A5="","","مرحبًا "&amp;C5&amp;CHAR(10)&amp;CHAR(10)&amp;"شكرًا لإتمام تقييم DBD الخاص بعيادة "&amp;B5&amp;"."&amp;CHAR(10)&amp;"نتيجتكم الحالية: "&amp;E5&amp;"%."&amp;CHAR(10)&amp;"أولوية التحسين الأولى: "&amp;F5&amp;"."&amp;IF(J5&lt;&gt;"",CHAR(10)&amp;CHAR(10)&amp;"رابط التقرير: "&amp;J5,"")&amp;CHAR(10)&amp;CHAR(10)&amp;"إذا أحببت، يمكننا مساعدتك في فهم التقرير وتحديد أفضل خطوة تالية لعيادتكم.")</x:f>
      </x:c>
      <x:c r="L5" s="12" t="str">
        <x:f>IF(D5="","",HYPERLINK("https://wa.me/"&amp;REGEXREPLACE(D5,"[^\d]","")&amp;"?text="&amp;ENCODEURL(K5),"واتساب 1"))</x:f>
      </x:c>
      <x:c r="M5" s="12" t="str">
        <x:f>IF(A5="","","مرحبًا "&amp;C5&amp;CHAR(10)&amp;CHAR(10)&amp;"بناءً على نتيجة تقييم عيادة "&amp;B5&amp;"، فإن الترشيح الأقوى لكم الآن هو: "&amp;G5&amp;"."&amp;CHAR(10)&amp;"هذا الخيار يساعدكم في معالجة أكبر فجوة حالية بشكل عملي ومباشر."&amp;IF(J5&lt;&gt;"",CHAR(10)&amp;CHAR(10)&amp;"رابط التقرير: "&amp;J5,"")&amp;CHAR(10)&amp;CHAR(10)&amp;"إذا رغبت، يمكننا توضيح لماذا هذا الكورس هو الأنسب لكم الآن.")</x:f>
      </x:c>
      <x:c r="N5" s="12" t="str">
        <x:f>IF(D5="","",HYPERLINK("https://wa.me/"&amp;REGEXREPLACE(D5,"[^\d]","")&amp;"?text="&amp;ENCODEURL(M5),"واتساب 2"))</x:f>
      </x:c>
      <x:c r="O5" s="12" t="str">
        <x:f>IF(A5="","","مرحبًا "&amp;C5&amp;CHAR(10)&amp;CHAR(10)&amp;"إذا كانت التحديات لديكم تحتاج حلًا أشمل، فالبرنامج الكامل المناسب لكم هو: "&amp;H5&amp;"."&amp;IF(I5&lt;&gt;"",CHAR(10)&amp;"كما يمكنكم أيضًا حجز: "&amp;I5&amp;".","")&amp;IF(J5&lt;&gt;"",CHAR(10)&amp;CHAR(10)&amp;"رابط التقرير: "&amp;J5,"")&amp;CHAR(10)&amp;CHAR(10)&amp;"يسعدنا مساعدتكم في اختيار المسار الأنسب حسب وضع العيادة الحالي.")</x:f>
      </x:c>
      <x:c r="P5" s="12" t="str">
        <x:f>IF(D5="","",HYPERLINK("https://wa.me/"&amp;REGEXREPLACE(D5,"[^\d]","")&amp;"?text="&amp;ENCODEURL(O5),"واتساب 3"))</x:f>
      </x:c>
    </x:row>
    <x:row r="6" ht="15" hidden="0" customHeight="1">
      <x:c r="A6" s="12" t="str">
        <x:f>IF(Leads!A6="","",Leads!A6)</x:f>
      </x:c>
      <x:c r="B6" s="12" t="str">
        <x:f>IF(Leads!F6="","",Leads!F6)</x:f>
      </x:c>
      <x:c r="C6" s="12" t="str">
        <x:f>IF(Leads!G6="","",Leads!G6)</x:f>
      </x:c>
      <x:c r="D6" s="12" t="str">
        <x:f>IF(Leads!O6="","",Leads!O6)</x:f>
      </x:c>
      <x:c r="E6" s="12" t="str">
        <x:f>IF(Leads!AV6="","",Leads!AV6)</x:f>
      </x:c>
      <x:c r="F6" s="12" t="str">
        <x:f>IF(Leads!AX6="","",Leads!AX6)</x:f>
      </x:c>
      <x:c r="G6" s="12" t="str">
        <x:f>IF(Leads!BC6="","",Leads!BC6)</x:f>
      </x:c>
      <x:c r="H6" s="12" t="str">
        <x:f>IF(Leads!BE6="","",Leads!BE6)</x:f>
      </x:c>
      <x:c r="I6" s="12" t="str">
        <x:f>IF(Leads!BG6="","",Leads!BG6)</x:f>
      </x:c>
      <x:c r="J6" s="12" t="str">
        <x:f>IF(Leads!BH6="","",Leads!BH6)</x:f>
      </x:c>
      <x:c r="K6" s="12" t="str">
        <x:f>IF(A6="","","مرحبًا "&amp;C6&amp;CHAR(10)&amp;CHAR(10)&amp;"شكرًا لإتمام تقييم DBD الخاص بعيادة "&amp;B6&amp;"."&amp;CHAR(10)&amp;"نتيجتكم الحالية: "&amp;E6&amp;"%."&amp;CHAR(10)&amp;"أولوية التحسين الأولى: "&amp;F6&amp;"."&amp;IF(J6&lt;&gt;"",CHAR(10)&amp;CHAR(10)&amp;"رابط التقرير: "&amp;J6,"")&amp;CHAR(10)&amp;CHAR(10)&amp;"إذا أحببت، يمكننا مساعدتك في فهم التقرير وتحديد أفضل خطوة تالية لعيادتكم.")</x:f>
      </x:c>
      <x:c r="L6" s="12" t="str">
        <x:f>IF(D6="","",HYPERLINK("https://wa.me/"&amp;REGEXREPLACE(D6,"[^\d]","")&amp;"?text="&amp;ENCODEURL(K6),"واتساب 1"))</x:f>
      </x:c>
      <x:c r="M6" s="12" t="str">
        <x:f>IF(A6="","","مرحبًا "&amp;C6&amp;CHAR(10)&amp;CHAR(10)&amp;"بناءً على نتيجة تقييم عيادة "&amp;B6&amp;"، فإن الترشيح الأقوى لكم الآن هو: "&amp;G6&amp;"."&amp;CHAR(10)&amp;"هذا الخيار يساعدكم في معالجة أكبر فجوة حالية بشكل عملي ومباشر."&amp;IF(J6&lt;&gt;"",CHAR(10)&amp;CHAR(10)&amp;"رابط التقرير: "&amp;J6,"")&amp;CHAR(10)&amp;CHAR(10)&amp;"إذا رغبت، يمكننا توضيح لماذا هذا الكورس هو الأنسب لكم الآن.")</x:f>
      </x:c>
      <x:c r="N6" s="12" t="str">
        <x:f>IF(D6="","",HYPERLINK("https://wa.me/"&amp;REGEXREPLACE(D6,"[^\d]","")&amp;"?text="&amp;ENCODEURL(M6),"واتساب 2"))</x:f>
      </x:c>
      <x:c r="O6" s="12" t="str">
        <x:f>IF(A6="","","مرحبًا "&amp;C6&amp;CHAR(10)&amp;CHAR(10)&amp;"إذا كانت التحديات لديكم تحتاج حلًا أشمل، فالبرنامج الكامل المناسب لكم هو: "&amp;H6&amp;"."&amp;IF(I6&lt;&gt;"",CHAR(10)&amp;"كما يمكنكم أيضًا حجز: "&amp;I6&amp;".","")&amp;IF(J6&lt;&gt;"",CHAR(10)&amp;CHAR(10)&amp;"رابط التقرير: "&amp;J6,"")&amp;CHAR(10)&amp;CHAR(10)&amp;"يسعدنا مساعدتكم في اختيار المسار الأنسب حسب وضع العيادة الحالي.")</x:f>
      </x:c>
      <x:c r="P6" s="12" t="str">
        <x:f>IF(D6="","",HYPERLINK("https://wa.me/"&amp;REGEXREPLACE(D6,"[^\d]","")&amp;"?text="&amp;ENCODEURL(O6),"واتساب 3"))</x:f>
      </x:c>
    </x:row>
    <x:row r="7" ht="15" hidden="0" customHeight="1">
      <x:c r="A7" s="12" t="str">
        <x:f>IF(Leads!A7="","",Leads!A7)</x:f>
      </x:c>
      <x:c r="B7" s="12" t="str">
        <x:f>IF(Leads!F7="","",Leads!F7)</x:f>
      </x:c>
      <x:c r="C7" s="12" t="str">
        <x:f>IF(Leads!G7="","",Leads!G7)</x:f>
      </x:c>
      <x:c r="D7" s="12" t="str">
        <x:f>IF(Leads!O7="","",Leads!O7)</x:f>
      </x:c>
      <x:c r="E7" s="12" t="str">
        <x:f>IF(Leads!AV7="","",Leads!AV7)</x:f>
      </x:c>
      <x:c r="F7" s="12" t="str">
        <x:f>IF(Leads!AX7="","",Leads!AX7)</x:f>
      </x:c>
      <x:c r="G7" s="12" t="str">
        <x:f>IF(Leads!BC7="","",Leads!BC7)</x:f>
      </x:c>
      <x:c r="H7" s="12" t="str">
        <x:f>IF(Leads!BE7="","",Leads!BE7)</x:f>
      </x:c>
      <x:c r="I7" s="12" t="str">
        <x:f>IF(Leads!BG7="","",Leads!BG7)</x:f>
      </x:c>
      <x:c r="J7" s="12" t="str">
        <x:f>IF(Leads!BH7="","",Leads!BH7)</x:f>
      </x:c>
      <x:c r="K7" s="12" t="str">
        <x:f>IF(A7="","","مرحبًا "&amp;C7&amp;CHAR(10)&amp;CHAR(10)&amp;"شكرًا لإتمام تقييم DBD الخاص بعيادة "&amp;B7&amp;"."&amp;CHAR(10)&amp;"نتيجتكم الحالية: "&amp;E7&amp;"%."&amp;CHAR(10)&amp;"أولوية التحسين الأولى: "&amp;F7&amp;"."&amp;IF(J7&lt;&gt;"",CHAR(10)&amp;CHAR(10)&amp;"رابط التقرير: "&amp;J7,"")&amp;CHAR(10)&amp;CHAR(10)&amp;"إذا أحببت، يمكننا مساعدتك في فهم التقرير وتحديد أفضل خطوة تالية لعيادتكم.")</x:f>
      </x:c>
      <x:c r="L7" s="12" t="str">
        <x:f>IF(D7="","",HYPERLINK("https://wa.me/"&amp;REGEXREPLACE(D7,"[^\d]","")&amp;"?text="&amp;ENCODEURL(K7),"واتساب 1"))</x:f>
      </x:c>
      <x:c r="M7" s="12" t="str">
        <x:f>IF(A7="","","مرحبًا "&amp;C7&amp;CHAR(10)&amp;CHAR(10)&amp;"بناءً على نتيجة تقييم عيادة "&amp;B7&amp;"، فإن الترشيح الأقوى لكم الآن هو: "&amp;G7&amp;"."&amp;CHAR(10)&amp;"هذا الخيار يساعدكم في معالجة أكبر فجوة حالية بشكل عملي ومباشر."&amp;IF(J7&lt;&gt;"",CHAR(10)&amp;CHAR(10)&amp;"رابط التقرير: "&amp;J7,"")&amp;CHAR(10)&amp;CHAR(10)&amp;"إذا رغبت، يمكننا توضيح لماذا هذا الكورس هو الأنسب لكم الآن.")</x:f>
      </x:c>
      <x:c r="N7" s="12" t="str">
        <x:f>IF(D7="","",HYPERLINK("https://wa.me/"&amp;REGEXREPLACE(D7,"[^\d]","")&amp;"?text="&amp;ENCODEURL(M7),"واتساب 2"))</x:f>
      </x:c>
      <x:c r="O7" s="12" t="str">
        <x:f>IF(A7="","","مرحبًا "&amp;C7&amp;CHAR(10)&amp;CHAR(10)&amp;"إذا كانت التحديات لديكم تحتاج حلًا أشمل، فالبرنامج الكامل المناسب لكم هو: "&amp;H7&amp;"."&amp;IF(I7&lt;&gt;"",CHAR(10)&amp;"كما يمكنكم أيضًا حجز: "&amp;I7&amp;".","")&amp;IF(J7&lt;&gt;"",CHAR(10)&amp;CHAR(10)&amp;"رابط التقرير: "&amp;J7,"")&amp;CHAR(10)&amp;CHAR(10)&amp;"يسعدنا مساعدتكم في اختيار المسار الأنسب حسب وضع العيادة الحالي.")</x:f>
      </x:c>
      <x:c r="P7" s="12" t="str">
        <x:f>IF(D7="","",HYPERLINK("https://wa.me/"&amp;REGEXREPLACE(D7,"[^\d]","")&amp;"?text="&amp;ENCODEURL(O7),"واتساب 3"))</x:f>
      </x:c>
    </x:row>
    <x:row r="8" ht="15" hidden="0" customHeight="1">
      <x:c r="A8" s="12" t="str">
        <x:f>IF(Leads!A8="","",Leads!A8)</x:f>
      </x:c>
      <x:c r="B8" s="12" t="str">
        <x:f>IF(Leads!F8="","",Leads!F8)</x:f>
      </x:c>
      <x:c r="C8" s="12" t="str">
        <x:f>IF(Leads!G8="","",Leads!G8)</x:f>
      </x:c>
      <x:c r="D8" s="12" t="str">
        <x:f>IF(Leads!O8="","",Leads!O8)</x:f>
      </x:c>
      <x:c r="E8" s="12" t="str">
        <x:f>IF(Leads!AV8="","",Leads!AV8)</x:f>
      </x:c>
      <x:c r="F8" s="12" t="str">
        <x:f>IF(Leads!AX8="","",Leads!AX8)</x:f>
      </x:c>
      <x:c r="G8" s="12" t="str">
        <x:f>IF(Leads!BC8="","",Leads!BC8)</x:f>
      </x:c>
      <x:c r="H8" s="12" t="str">
        <x:f>IF(Leads!BE8="","",Leads!BE8)</x:f>
      </x:c>
      <x:c r="I8" s="12" t="str">
        <x:f>IF(Leads!BG8="","",Leads!BG8)</x:f>
      </x:c>
      <x:c r="J8" s="12" t="str">
        <x:f>IF(Leads!BH8="","",Leads!BH8)</x:f>
      </x:c>
      <x:c r="K8" s="12" t="str">
        <x:f>IF(A8="","","مرحبًا "&amp;C8&amp;CHAR(10)&amp;CHAR(10)&amp;"شكرًا لإتمام تقييم DBD الخاص بعيادة "&amp;B8&amp;"."&amp;CHAR(10)&amp;"نتيجتكم الحالية: "&amp;E8&amp;"%."&amp;CHAR(10)&amp;"أولوية التحسين الأولى: "&amp;F8&amp;"."&amp;IF(J8&lt;&gt;"",CHAR(10)&amp;CHAR(10)&amp;"رابط التقرير: "&amp;J8,"")&amp;CHAR(10)&amp;CHAR(10)&amp;"إذا أحببت، يمكننا مساعدتك في فهم التقرير وتحديد أفضل خطوة تالية لعيادتكم.")</x:f>
      </x:c>
      <x:c r="L8" s="12" t="str">
        <x:f>IF(D8="","",HYPERLINK("https://wa.me/"&amp;REGEXREPLACE(D8,"[^\d]","")&amp;"?text="&amp;ENCODEURL(K8),"واتساب 1"))</x:f>
      </x:c>
      <x:c r="M8" s="12" t="str">
        <x:f>IF(A8="","","مرحبًا "&amp;C8&amp;CHAR(10)&amp;CHAR(10)&amp;"بناءً على نتيجة تقييم عيادة "&amp;B8&amp;"، فإن الترشيح الأقوى لكم الآن هو: "&amp;G8&amp;"."&amp;CHAR(10)&amp;"هذا الخيار يساعدكم في معالجة أكبر فجوة حالية بشكل عملي ومباشر."&amp;IF(J8&lt;&gt;"",CHAR(10)&amp;CHAR(10)&amp;"رابط التقرير: "&amp;J8,"")&amp;CHAR(10)&amp;CHAR(10)&amp;"إذا رغبت، يمكننا توضيح لماذا هذا الكورس هو الأنسب لكم الآن.")</x:f>
      </x:c>
      <x:c r="N8" s="12" t="str">
        <x:f>IF(D8="","",HYPERLINK("https://wa.me/"&amp;REGEXREPLACE(D8,"[^\d]","")&amp;"?text="&amp;ENCODEURL(M8),"واتساب 2"))</x:f>
      </x:c>
      <x:c r="O8" s="12" t="str">
        <x:f>IF(A8="","","مرحبًا "&amp;C8&amp;CHAR(10)&amp;CHAR(10)&amp;"إذا كانت التحديات لديكم تحتاج حلًا أشمل، فالبرنامج الكامل المناسب لكم هو: "&amp;H8&amp;"."&amp;IF(I8&lt;&gt;"",CHAR(10)&amp;"كما يمكنكم أيضًا حجز: "&amp;I8&amp;".","")&amp;IF(J8&lt;&gt;"",CHAR(10)&amp;CHAR(10)&amp;"رابط التقرير: "&amp;J8,"")&amp;CHAR(10)&amp;CHAR(10)&amp;"يسعدنا مساعدتكم في اختيار المسار الأنسب حسب وضع العيادة الحالي.")</x:f>
      </x:c>
      <x:c r="P8" s="12" t="str">
        <x:f>IF(D8="","",HYPERLINK("https://wa.me/"&amp;REGEXREPLACE(D8,"[^\d]","")&amp;"?text="&amp;ENCODEURL(O8),"واتساب 3"))</x:f>
      </x:c>
    </x:row>
    <x:row r="9" ht="15" hidden="0" customHeight="1">
      <x:c r="A9" s="12" t="str">
        <x:f>IF(Leads!A9="","",Leads!A9)</x:f>
      </x:c>
      <x:c r="B9" s="12" t="str">
        <x:f>IF(Leads!F9="","",Leads!F9)</x:f>
      </x:c>
      <x:c r="C9" s="12" t="str">
        <x:f>IF(Leads!G9="","",Leads!G9)</x:f>
      </x:c>
      <x:c r="D9" s="12" t="str">
        <x:f>IF(Leads!O9="","",Leads!O9)</x:f>
      </x:c>
      <x:c r="E9" s="12" t="str">
        <x:f>IF(Leads!AV9="","",Leads!AV9)</x:f>
      </x:c>
      <x:c r="F9" s="12" t="str">
        <x:f>IF(Leads!AX9="","",Leads!AX9)</x:f>
      </x:c>
      <x:c r="G9" s="12" t="str">
        <x:f>IF(Leads!BC9="","",Leads!BC9)</x:f>
      </x:c>
      <x:c r="H9" s="12" t="str">
        <x:f>IF(Leads!BE9="","",Leads!BE9)</x:f>
      </x:c>
      <x:c r="I9" s="12" t="str">
        <x:f>IF(Leads!BG9="","",Leads!BG9)</x:f>
      </x:c>
      <x:c r="J9" s="12" t="str">
        <x:f>IF(Leads!BH9="","",Leads!BH9)</x:f>
      </x:c>
      <x:c r="K9" s="12" t="str">
        <x:f>IF(A9="","","مرحبًا "&amp;C9&amp;CHAR(10)&amp;CHAR(10)&amp;"شكرًا لإتمام تقييم DBD الخاص بعيادة "&amp;B9&amp;"."&amp;CHAR(10)&amp;"نتيجتكم الحالية: "&amp;E9&amp;"%."&amp;CHAR(10)&amp;"أولوية التحسين الأولى: "&amp;F9&amp;"."&amp;IF(J9&lt;&gt;"",CHAR(10)&amp;CHAR(10)&amp;"رابط التقرير: "&amp;J9,"")&amp;CHAR(10)&amp;CHAR(10)&amp;"إذا أحببت، يمكننا مساعدتك في فهم التقرير وتحديد أفضل خطوة تالية لعيادتكم.")</x:f>
      </x:c>
      <x:c r="L9" s="12" t="str">
        <x:f>IF(D9="","",HYPERLINK("https://wa.me/"&amp;REGEXREPLACE(D9,"[^\d]","")&amp;"?text="&amp;ENCODEURL(K9),"واتساب 1"))</x:f>
      </x:c>
      <x:c r="M9" s="12" t="str">
        <x:f>IF(A9="","","مرحبًا "&amp;C9&amp;CHAR(10)&amp;CHAR(10)&amp;"بناءً على نتيجة تقييم عيادة "&amp;B9&amp;"، فإن الترشيح الأقوى لكم الآن هو: "&amp;G9&amp;"."&amp;CHAR(10)&amp;"هذا الخيار يساعدكم في معالجة أكبر فجوة حالية بشكل عملي ومباشر."&amp;IF(J9&lt;&gt;"",CHAR(10)&amp;CHAR(10)&amp;"رابط التقرير: "&amp;J9,"")&amp;CHAR(10)&amp;CHAR(10)&amp;"إذا رغبت، يمكننا توضيح لماذا هذا الكورس هو الأنسب لكم الآن.")</x:f>
      </x:c>
      <x:c r="N9" s="12" t="str">
        <x:f>IF(D9="","",HYPERLINK("https://wa.me/"&amp;REGEXREPLACE(D9,"[^\d]","")&amp;"?text="&amp;ENCODEURL(M9),"واتساب 2"))</x:f>
      </x:c>
      <x:c r="O9" s="12" t="str">
        <x:f>IF(A9="","","مرحبًا "&amp;C9&amp;CHAR(10)&amp;CHAR(10)&amp;"إذا كانت التحديات لديكم تحتاج حلًا أشمل، فالبرنامج الكامل المناسب لكم هو: "&amp;H9&amp;"."&amp;IF(I9&lt;&gt;"",CHAR(10)&amp;"كما يمكنكم أيضًا حجز: "&amp;I9&amp;".","")&amp;IF(J9&lt;&gt;"",CHAR(10)&amp;CHAR(10)&amp;"رابط التقرير: "&amp;J9,"")&amp;CHAR(10)&amp;CHAR(10)&amp;"يسعدنا مساعدتكم في اختيار المسار الأنسب حسب وضع العيادة الحالي.")</x:f>
      </x:c>
      <x:c r="P9" s="12" t="str">
        <x:f>IF(D9="","",HYPERLINK("https://wa.me/"&amp;REGEXREPLACE(D9,"[^\d]","")&amp;"?text="&amp;ENCODEURL(O9),"واتساب 3"))</x:f>
      </x:c>
    </x:row>
    <x:row r="10" ht="15" hidden="0" customHeight="1">
      <x:c r="A10" s="12" t="str">
        <x:f>IF(Leads!A10="","",Leads!A10)</x:f>
      </x:c>
      <x:c r="B10" s="12" t="str">
        <x:f>IF(Leads!F10="","",Leads!F10)</x:f>
      </x:c>
      <x:c r="C10" s="12" t="str">
        <x:f>IF(Leads!G10="","",Leads!G10)</x:f>
      </x:c>
      <x:c r="D10" s="12" t="str">
        <x:f>IF(Leads!O10="","",Leads!O10)</x:f>
      </x:c>
      <x:c r="E10" s="12" t="str">
        <x:f>IF(Leads!AV10="","",Leads!AV10)</x:f>
      </x:c>
      <x:c r="F10" s="12" t="str">
        <x:f>IF(Leads!AX10="","",Leads!AX10)</x:f>
      </x:c>
      <x:c r="G10" s="12" t="str">
        <x:f>IF(Leads!BC10="","",Leads!BC10)</x:f>
      </x:c>
      <x:c r="H10" s="12" t="str">
        <x:f>IF(Leads!BE10="","",Leads!BE10)</x:f>
      </x:c>
      <x:c r="I10" s="12" t="str">
        <x:f>IF(Leads!BG10="","",Leads!BG10)</x:f>
      </x:c>
      <x:c r="J10" s="12" t="str">
        <x:f>IF(Leads!BH10="","",Leads!BH10)</x:f>
      </x:c>
      <x:c r="K10" s="12" t="str">
        <x:f>IF(A10="","","مرحبًا "&amp;C10&amp;CHAR(10)&amp;CHAR(10)&amp;"شكرًا لإتمام تقييم DBD الخاص بعيادة "&amp;B10&amp;"."&amp;CHAR(10)&amp;"نتيجتكم الحالية: "&amp;E10&amp;"%."&amp;CHAR(10)&amp;"أولوية التحسين الأولى: "&amp;F10&amp;"."&amp;IF(J10&lt;&gt;"",CHAR(10)&amp;CHAR(10)&amp;"رابط التقرير: "&amp;J10,"")&amp;CHAR(10)&amp;CHAR(10)&amp;"إذا أحببت، يمكننا مساعدتك في فهم التقرير وتحديد أفضل خطوة تالية لعيادتكم.")</x:f>
      </x:c>
      <x:c r="L10" s="12" t="str">
        <x:f>IF(D10="","",HYPERLINK("https://wa.me/"&amp;REGEXREPLACE(D10,"[^\d]","")&amp;"?text="&amp;ENCODEURL(K10),"واتساب 1"))</x:f>
      </x:c>
      <x:c r="M10" s="12" t="str">
        <x:f>IF(A10="","","مرحبًا "&amp;C10&amp;CHAR(10)&amp;CHAR(10)&amp;"بناءً على نتيجة تقييم عيادة "&amp;B10&amp;"، فإن الترشيح الأقوى لكم الآن هو: "&amp;G10&amp;"."&amp;CHAR(10)&amp;"هذا الخيار يساعدكم في معالجة أكبر فجوة حالية بشكل عملي ومباشر."&amp;IF(J10&lt;&gt;"",CHAR(10)&amp;CHAR(10)&amp;"رابط التقرير: "&amp;J10,"")&amp;CHAR(10)&amp;CHAR(10)&amp;"إذا رغبت، يمكننا توضيح لماذا هذا الكورس هو الأنسب لكم الآن.")</x:f>
      </x:c>
      <x:c r="N10" s="12" t="str">
        <x:f>IF(D10="","",HYPERLINK("https://wa.me/"&amp;REGEXREPLACE(D10,"[^\d]","")&amp;"?text="&amp;ENCODEURL(M10),"واتساب 2"))</x:f>
      </x:c>
      <x:c r="O10" s="12" t="str">
        <x:f>IF(A10="","","مرحبًا "&amp;C10&amp;CHAR(10)&amp;CHAR(10)&amp;"إذا كانت التحديات لديكم تحتاج حلًا أشمل، فالبرنامج الكامل المناسب لكم هو: "&amp;H10&amp;"."&amp;IF(I10&lt;&gt;"",CHAR(10)&amp;"كما يمكنكم أيضًا حجز: "&amp;I10&amp;".","")&amp;IF(J10&lt;&gt;"",CHAR(10)&amp;CHAR(10)&amp;"رابط التقرير: "&amp;J10,"")&amp;CHAR(10)&amp;CHAR(10)&amp;"يسعدنا مساعدتكم في اختيار المسار الأنسب حسب وضع العيادة الحالي.")</x:f>
      </x:c>
      <x:c r="P10" s="12" t="str">
        <x:f>IF(D10="","",HYPERLINK("https://wa.me/"&amp;REGEXREPLACE(D10,"[^\d]","")&amp;"?text="&amp;ENCODEURL(O10),"واتساب 3"))</x:f>
      </x:c>
    </x:row>
    <x:row r="11" ht="15" hidden="0" customHeight="1">
      <x:c r="A11" s="12" t="str">
        <x:f>IF(Leads!A11="","",Leads!A11)</x:f>
      </x:c>
      <x:c r="B11" s="12" t="str">
        <x:f>IF(Leads!F11="","",Leads!F11)</x:f>
      </x:c>
      <x:c r="C11" s="12" t="str">
        <x:f>IF(Leads!G11="","",Leads!G11)</x:f>
      </x:c>
      <x:c r="D11" s="12" t="str">
        <x:f>IF(Leads!O11="","",Leads!O11)</x:f>
      </x:c>
      <x:c r="E11" s="12" t="str">
        <x:f>IF(Leads!AV11="","",Leads!AV11)</x:f>
      </x:c>
      <x:c r="F11" s="12" t="str">
        <x:f>IF(Leads!AX11="","",Leads!AX11)</x:f>
      </x:c>
      <x:c r="G11" s="12" t="str">
        <x:f>IF(Leads!BC11="","",Leads!BC11)</x:f>
      </x:c>
      <x:c r="H11" s="12" t="str">
        <x:f>IF(Leads!BE11="","",Leads!BE11)</x:f>
      </x:c>
      <x:c r="I11" s="12" t="str">
        <x:f>IF(Leads!BG11="","",Leads!BG11)</x:f>
      </x:c>
      <x:c r="J11" s="12" t="str">
        <x:f>IF(Leads!BH11="","",Leads!BH11)</x:f>
      </x:c>
      <x:c r="K11" s="12" t="str">
        <x:f>IF(A11="","","مرحبًا "&amp;C11&amp;CHAR(10)&amp;CHAR(10)&amp;"شكرًا لإتمام تقييم DBD الخاص بعيادة "&amp;B11&amp;"."&amp;CHAR(10)&amp;"نتيجتكم الحالية: "&amp;E11&amp;"%."&amp;CHAR(10)&amp;"أولوية التحسين الأولى: "&amp;F11&amp;"."&amp;IF(J11&lt;&gt;"",CHAR(10)&amp;CHAR(10)&amp;"رابط التقرير: "&amp;J11,"")&amp;CHAR(10)&amp;CHAR(10)&amp;"إذا أحببت، يمكننا مساعدتك في فهم التقرير وتحديد أفضل خطوة تالية لعيادتكم.")</x:f>
      </x:c>
      <x:c r="L11" s="12" t="str">
        <x:f>IF(D11="","",HYPERLINK("https://wa.me/"&amp;REGEXREPLACE(D11,"[^\d]","")&amp;"?text="&amp;ENCODEURL(K11),"واتساب 1"))</x:f>
      </x:c>
      <x:c r="M11" s="12" t="str">
        <x:f>IF(A11="","","مرحبًا "&amp;C11&amp;CHAR(10)&amp;CHAR(10)&amp;"بناءً على نتيجة تقييم عيادة "&amp;B11&amp;"، فإن الترشيح الأقوى لكم الآن هو: "&amp;G11&amp;"."&amp;CHAR(10)&amp;"هذا الخيار يساعدكم في معالجة أكبر فجوة حالية بشكل عملي ومباشر."&amp;IF(J11&lt;&gt;"",CHAR(10)&amp;CHAR(10)&amp;"رابط التقرير: "&amp;J11,"")&amp;CHAR(10)&amp;CHAR(10)&amp;"إذا رغبت، يمكننا توضيح لماذا هذا الكورس هو الأنسب لكم الآن.")</x:f>
      </x:c>
      <x:c r="N11" s="12" t="str">
        <x:f>IF(D11="","",HYPERLINK("https://wa.me/"&amp;REGEXREPLACE(D11,"[^\d]","")&amp;"?text="&amp;ENCODEURL(M11),"واتساب 2"))</x:f>
      </x:c>
      <x:c r="O11" s="12" t="str">
        <x:f>IF(A11="","","مرحبًا "&amp;C11&amp;CHAR(10)&amp;CHAR(10)&amp;"إذا كانت التحديات لديكم تحتاج حلًا أشمل، فالبرنامج الكامل المناسب لكم هو: "&amp;H11&amp;"."&amp;IF(I11&lt;&gt;"",CHAR(10)&amp;"كما يمكنكم أيضًا حجز: "&amp;I11&amp;".","")&amp;IF(J11&lt;&gt;"",CHAR(10)&amp;CHAR(10)&amp;"رابط التقرير: "&amp;J11,"")&amp;CHAR(10)&amp;CHAR(10)&amp;"يسعدنا مساعدتكم في اختيار المسار الأنسب حسب وضع العيادة الحالي.")</x:f>
      </x:c>
      <x:c r="P11" s="12" t="str">
        <x:f>IF(D11="","",HYPERLINK("https://wa.me/"&amp;REGEXREPLACE(D11,"[^\d]","")&amp;"?text="&amp;ENCODEURL(O11),"واتساب 3"))</x:f>
      </x:c>
    </x:row>
    <x:row r="12" ht="15" hidden="0" customHeight="1">
      <x:c r="A12" s="12" t="str">
        <x:f>IF(Leads!A12="","",Leads!A12)</x:f>
      </x:c>
      <x:c r="B12" s="12" t="str">
        <x:f>IF(Leads!F12="","",Leads!F12)</x:f>
      </x:c>
      <x:c r="C12" s="12" t="str">
        <x:f>IF(Leads!G12="","",Leads!G12)</x:f>
      </x:c>
      <x:c r="D12" s="12" t="str">
        <x:f>IF(Leads!O12="","",Leads!O12)</x:f>
      </x:c>
      <x:c r="E12" s="12" t="str">
        <x:f>IF(Leads!AV12="","",Leads!AV12)</x:f>
      </x:c>
      <x:c r="F12" s="12" t="str">
        <x:f>IF(Leads!AX12="","",Leads!AX12)</x:f>
      </x:c>
      <x:c r="G12" s="12" t="str">
        <x:f>IF(Leads!BC12="","",Leads!BC12)</x:f>
      </x:c>
      <x:c r="H12" s="12" t="str">
        <x:f>IF(Leads!BE12="","",Leads!BE12)</x:f>
      </x:c>
      <x:c r="I12" s="12" t="str">
        <x:f>IF(Leads!BG12="","",Leads!BG12)</x:f>
      </x:c>
      <x:c r="J12" s="12" t="str">
        <x:f>IF(Leads!BH12="","",Leads!BH12)</x:f>
      </x:c>
      <x:c r="K12" s="12" t="str">
        <x:f>IF(A12="","","مرحبًا "&amp;C12&amp;CHAR(10)&amp;CHAR(10)&amp;"شكرًا لإتمام تقييم DBD الخاص بعيادة "&amp;B12&amp;"."&amp;CHAR(10)&amp;"نتيجتكم الحالية: "&amp;E12&amp;"%."&amp;CHAR(10)&amp;"أولوية التحسين الأولى: "&amp;F12&amp;"."&amp;IF(J12&lt;&gt;"",CHAR(10)&amp;CHAR(10)&amp;"رابط التقرير: "&amp;J12,"")&amp;CHAR(10)&amp;CHAR(10)&amp;"إذا أحببت، يمكننا مساعدتك في فهم التقرير وتحديد أفضل خطوة تالية لعيادتكم.")</x:f>
      </x:c>
      <x:c r="L12" s="12" t="str">
        <x:f>IF(D12="","",HYPERLINK("https://wa.me/"&amp;REGEXREPLACE(D12,"[^\d]","")&amp;"?text="&amp;ENCODEURL(K12),"واتساب 1"))</x:f>
      </x:c>
      <x:c r="M12" s="12" t="str">
        <x:f>IF(A12="","","مرحبًا "&amp;C12&amp;CHAR(10)&amp;CHAR(10)&amp;"بناءً على نتيجة تقييم عيادة "&amp;B12&amp;"، فإن الترشيح الأقوى لكم الآن هو: "&amp;G12&amp;"."&amp;CHAR(10)&amp;"هذا الخيار يساعدكم في معالجة أكبر فجوة حالية بشكل عملي ومباشر."&amp;IF(J12&lt;&gt;"",CHAR(10)&amp;CHAR(10)&amp;"رابط التقرير: "&amp;J12,"")&amp;CHAR(10)&amp;CHAR(10)&amp;"إذا رغبت، يمكننا توضيح لماذا هذا الكورس هو الأنسب لكم الآن.")</x:f>
      </x:c>
      <x:c r="N12" s="12" t="str">
        <x:f>IF(D12="","",HYPERLINK("https://wa.me/"&amp;REGEXREPLACE(D12,"[^\d]","")&amp;"?text="&amp;ENCODEURL(M12),"واتساب 2"))</x:f>
      </x:c>
      <x:c r="O12" s="12" t="str">
        <x:f>IF(A12="","","مرحبًا "&amp;C12&amp;CHAR(10)&amp;CHAR(10)&amp;"إذا كانت التحديات لديكم تحتاج حلًا أشمل، فالبرنامج الكامل المناسب لكم هو: "&amp;H12&amp;"."&amp;IF(I12&lt;&gt;"",CHAR(10)&amp;"كما يمكنكم أيضًا حجز: "&amp;I12&amp;".","")&amp;IF(J12&lt;&gt;"",CHAR(10)&amp;CHAR(10)&amp;"رابط التقرير: "&amp;J12,"")&amp;CHAR(10)&amp;CHAR(10)&amp;"يسعدنا مساعدتكم في اختيار المسار الأنسب حسب وضع العيادة الحالي.")</x:f>
      </x:c>
      <x:c r="P12" s="12" t="str">
        <x:f>IF(D12="","",HYPERLINK("https://wa.me/"&amp;REGEXREPLACE(D12,"[^\d]","")&amp;"?text="&amp;ENCODEURL(O12),"واتساب 3"))</x:f>
      </x:c>
    </x:row>
    <x:row r="13" ht="15" hidden="0" customHeight="1">
      <x:c r="A13" s="12" t="str">
        <x:f>IF(Leads!A13="","",Leads!A13)</x:f>
      </x:c>
      <x:c r="B13" s="12" t="str">
        <x:f>IF(Leads!F13="","",Leads!F13)</x:f>
      </x:c>
      <x:c r="C13" s="12" t="str">
        <x:f>IF(Leads!G13="","",Leads!G13)</x:f>
      </x:c>
      <x:c r="D13" s="12" t="str">
        <x:f>IF(Leads!O13="","",Leads!O13)</x:f>
      </x:c>
      <x:c r="E13" s="12" t="str">
        <x:f>IF(Leads!AV13="","",Leads!AV13)</x:f>
      </x:c>
      <x:c r="F13" s="12" t="str">
        <x:f>IF(Leads!AX13="","",Leads!AX13)</x:f>
      </x:c>
      <x:c r="G13" s="12" t="str">
        <x:f>IF(Leads!BC13="","",Leads!BC13)</x:f>
      </x:c>
      <x:c r="H13" s="12" t="str">
        <x:f>IF(Leads!BE13="","",Leads!BE13)</x:f>
      </x:c>
      <x:c r="I13" s="12" t="str">
        <x:f>IF(Leads!BG13="","",Leads!BG13)</x:f>
      </x:c>
      <x:c r="J13" s="12" t="str">
        <x:f>IF(Leads!BH13="","",Leads!BH13)</x:f>
      </x:c>
      <x:c r="K13" s="12" t="str">
        <x:f>IF(A13="","","مرحبًا "&amp;C13&amp;CHAR(10)&amp;CHAR(10)&amp;"شكرًا لإتمام تقييم DBD الخاص بعيادة "&amp;B13&amp;"."&amp;CHAR(10)&amp;"نتيجتكم الحالية: "&amp;E13&amp;"%."&amp;CHAR(10)&amp;"أولوية التحسين الأولى: "&amp;F13&amp;"."&amp;IF(J13&lt;&gt;"",CHAR(10)&amp;CHAR(10)&amp;"رابط التقرير: "&amp;J13,"")&amp;CHAR(10)&amp;CHAR(10)&amp;"إذا أحببت، يمكننا مساعدتك في فهم التقرير وتحديد أفضل خطوة تالية لعيادتكم.")</x:f>
      </x:c>
      <x:c r="L13" s="12" t="str">
        <x:f>IF(D13="","",HYPERLINK("https://wa.me/"&amp;REGEXREPLACE(D13,"[^\d]","")&amp;"?text="&amp;ENCODEURL(K13),"واتساب 1"))</x:f>
      </x:c>
      <x:c r="M13" s="12" t="str">
        <x:f>IF(A13="","","مرحبًا "&amp;C13&amp;CHAR(10)&amp;CHAR(10)&amp;"بناءً على نتيجة تقييم عيادة "&amp;B13&amp;"، فإن الترشيح الأقوى لكم الآن هو: "&amp;G13&amp;"."&amp;CHAR(10)&amp;"هذا الخيار يساعدكم في معالجة أكبر فجوة حالية بشكل عملي ومباشر."&amp;IF(J13&lt;&gt;"",CHAR(10)&amp;CHAR(10)&amp;"رابط التقرير: "&amp;J13,"")&amp;CHAR(10)&amp;CHAR(10)&amp;"إذا رغبت، يمكننا توضيح لماذا هذا الكورس هو الأنسب لكم الآن.")</x:f>
      </x:c>
      <x:c r="N13" s="12" t="str">
        <x:f>IF(D13="","",HYPERLINK("https://wa.me/"&amp;REGEXREPLACE(D13,"[^\d]","")&amp;"?text="&amp;ENCODEURL(M13),"واتساب 2"))</x:f>
      </x:c>
      <x:c r="O13" s="12" t="str">
        <x:f>IF(A13="","","مرحبًا "&amp;C13&amp;CHAR(10)&amp;CHAR(10)&amp;"إذا كانت التحديات لديكم تحتاج حلًا أشمل، فالبرنامج الكامل المناسب لكم هو: "&amp;H13&amp;"."&amp;IF(I13&lt;&gt;"",CHAR(10)&amp;"كما يمكنكم أيضًا حجز: "&amp;I13&amp;".","")&amp;IF(J13&lt;&gt;"",CHAR(10)&amp;CHAR(10)&amp;"رابط التقرير: "&amp;J13,"")&amp;CHAR(10)&amp;CHAR(10)&amp;"يسعدنا مساعدتكم في اختيار المسار الأنسب حسب وضع العيادة الحالي.")</x:f>
      </x:c>
      <x:c r="P13" s="12" t="str">
        <x:f>IF(D13="","",HYPERLINK("https://wa.me/"&amp;REGEXREPLACE(D13,"[^\d]","")&amp;"?text="&amp;ENCODEURL(O13),"واتساب 3"))</x:f>
      </x:c>
    </x:row>
    <x:row r="14" ht="15" hidden="0" customHeight="1">
      <x:c r="A14" s="12" t="str">
        <x:f>IF(Leads!A14="","",Leads!A14)</x:f>
      </x:c>
      <x:c r="B14" s="12" t="str">
        <x:f>IF(Leads!F14="","",Leads!F14)</x:f>
      </x:c>
      <x:c r="C14" s="12" t="str">
        <x:f>IF(Leads!G14="","",Leads!G14)</x:f>
      </x:c>
      <x:c r="D14" s="12" t="str">
        <x:f>IF(Leads!O14="","",Leads!O14)</x:f>
      </x:c>
      <x:c r="E14" s="12" t="str">
        <x:f>IF(Leads!AV14="","",Leads!AV14)</x:f>
      </x:c>
      <x:c r="F14" s="12" t="str">
        <x:f>IF(Leads!AX14="","",Leads!AX14)</x:f>
      </x:c>
      <x:c r="G14" s="12" t="str">
        <x:f>IF(Leads!BC14="","",Leads!BC14)</x:f>
      </x:c>
      <x:c r="H14" s="12" t="str">
        <x:f>IF(Leads!BE14="","",Leads!BE14)</x:f>
      </x:c>
      <x:c r="I14" s="12" t="str">
        <x:f>IF(Leads!BG14="","",Leads!BG14)</x:f>
      </x:c>
      <x:c r="J14" s="12" t="str">
        <x:f>IF(Leads!BH14="","",Leads!BH14)</x:f>
      </x:c>
      <x:c r="K14" s="12" t="str">
        <x:f>IF(A14="","","مرحبًا "&amp;C14&amp;CHAR(10)&amp;CHAR(10)&amp;"شكرًا لإتمام تقييم DBD الخاص بعيادة "&amp;B14&amp;"."&amp;CHAR(10)&amp;"نتيجتكم الحالية: "&amp;E14&amp;"%."&amp;CHAR(10)&amp;"أولوية التحسين الأولى: "&amp;F14&amp;"."&amp;IF(J14&lt;&gt;"",CHAR(10)&amp;CHAR(10)&amp;"رابط التقرير: "&amp;J14,"")&amp;CHAR(10)&amp;CHAR(10)&amp;"إذا أحببت، يمكننا مساعدتك في فهم التقرير وتحديد أفضل خطوة تالية لعيادتكم.")</x:f>
      </x:c>
      <x:c r="L14" s="12" t="str">
        <x:f>IF(D14="","",HYPERLINK("https://wa.me/"&amp;REGEXREPLACE(D14,"[^\d]","")&amp;"?text="&amp;ENCODEURL(K14),"واتساب 1"))</x:f>
      </x:c>
      <x:c r="M14" s="12" t="str">
        <x:f>IF(A14="","","مرحبًا "&amp;C14&amp;CHAR(10)&amp;CHAR(10)&amp;"بناءً على نتيجة تقييم عيادة "&amp;B14&amp;"، فإن الترشيح الأقوى لكم الآن هو: "&amp;G14&amp;"."&amp;CHAR(10)&amp;"هذا الخيار يساعدكم في معالجة أكبر فجوة حالية بشكل عملي ومباشر."&amp;IF(J14&lt;&gt;"",CHAR(10)&amp;CHAR(10)&amp;"رابط التقرير: "&amp;J14,"")&amp;CHAR(10)&amp;CHAR(10)&amp;"إذا رغبت، يمكننا توضيح لماذا هذا الكورس هو الأنسب لكم الآن.")</x:f>
      </x:c>
      <x:c r="N14" s="12" t="str">
        <x:f>IF(D14="","",HYPERLINK("https://wa.me/"&amp;REGEXREPLACE(D14,"[^\d]","")&amp;"?text="&amp;ENCODEURL(M14),"واتساب 2"))</x:f>
      </x:c>
      <x:c r="O14" s="12" t="str">
        <x:f>IF(A14="","","مرحبًا "&amp;C14&amp;CHAR(10)&amp;CHAR(10)&amp;"إذا كانت التحديات لديكم تحتاج حلًا أشمل، فالبرنامج الكامل المناسب لكم هو: "&amp;H14&amp;"."&amp;IF(I14&lt;&gt;"",CHAR(10)&amp;"كما يمكنكم أيضًا حجز: "&amp;I14&amp;".","")&amp;IF(J14&lt;&gt;"",CHAR(10)&amp;CHAR(10)&amp;"رابط التقرير: "&amp;J14,"")&amp;CHAR(10)&amp;CHAR(10)&amp;"يسعدنا مساعدتكم في اختيار المسار الأنسب حسب وضع العيادة الحالي.")</x:f>
      </x:c>
      <x:c r="P14" s="12" t="str">
        <x:f>IF(D14="","",HYPERLINK("https://wa.me/"&amp;REGEXREPLACE(D14,"[^\d]","")&amp;"?text="&amp;ENCODEURL(O14),"واتساب 3"))</x:f>
      </x:c>
    </x:row>
    <x:row r="15" ht="15" hidden="0" customHeight="1">
      <x:c r="A15" s="12" t="str">
        <x:f>IF(Leads!A15="","",Leads!A15)</x:f>
      </x:c>
      <x:c r="B15" s="12" t="str">
        <x:f>IF(Leads!F15="","",Leads!F15)</x:f>
      </x:c>
      <x:c r="C15" s="12" t="str">
        <x:f>IF(Leads!G15="","",Leads!G15)</x:f>
      </x:c>
      <x:c r="D15" s="12" t="str">
        <x:f>IF(Leads!O15="","",Leads!O15)</x:f>
      </x:c>
      <x:c r="E15" s="12" t="str">
        <x:f>IF(Leads!AV15="","",Leads!AV15)</x:f>
      </x:c>
      <x:c r="F15" s="12" t="str">
        <x:f>IF(Leads!AX15="","",Leads!AX15)</x:f>
      </x:c>
      <x:c r="G15" s="12" t="str">
        <x:f>IF(Leads!BC15="","",Leads!BC15)</x:f>
      </x:c>
      <x:c r="H15" s="12" t="str">
        <x:f>IF(Leads!BE15="","",Leads!BE15)</x:f>
      </x:c>
      <x:c r="I15" s="12" t="str">
        <x:f>IF(Leads!BG15="","",Leads!BG15)</x:f>
      </x:c>
      <x:c r="J15" s="12" t="str">
        <x:f>IF(Leads!BH15="","",Leads!BH15)</x:f>
      </x:c>
      <x:c r="K15" s="12" t="str">
        <x:f>IF(A15="","","مرحبًا "&amp;C15&amp;CHAR(10)&amp;CHAR(10)&amp;"شكرًا لإتمام تقييم DBD الخاص بعيادة "&amp;B15&amp;"."&amp;CHAR(10)&amp;"نتيجتكم الحالية: "&amp;E15&amp;"%."&amp;CHAR(10)&amp;"أولوية التحسين الأولى: "&amp;F15&amp;"."&amp;IF(J15&lt;&gt;"",CHAR(10)&amp;CHAR(10)&amp;"رابط التقرير: "&amp;J15,"")&amp;CHAR(10)&amp;CHAR(10)&amp;"إذا أحببت، يمكننا مساعدتك في فهم التقرير وتحديد أفضل خطوة تالية لعيادتكم.")</x:f>
      </x:c>
      <x:c r="L15" s="12" t="str">
        <x:f>IF(D15="","",HYPERLINK("https://wa.me/"&amp;REGEXREPLACE(D15,"[^\d]","")&amp;"?text="&amp;ENCODEURL(K15),"واتساب 1"))</x:f>
      </x:c>
      <x:c r="M15" s="12" t="str">
        <x:f>IF(A15="","","مرحبًا "&amp;C15&amp;CHAR(10)&amp;CHAR(10)&amp;"بناءً على نتيجة تقييم عيادة "&amp;B15&amp;"، فإن الترشيح الأقوى لكم الآن هو: "&amp;G15&amp;"."&amp;CHAR(10)&amp;"هذا الخيار يساعدكم في معالجة أكبر فجوة حالية بشكل عملي ومباشر."&amp;IF(J15&lt;&gt;"",CHAR(10)&amp;CHAR(10)&amp;"رابط التقرير: "&amp;J15,"")&amp;CHAR(10)&amp;CHAR(10)&amp;"إذا رغبت، يمكننا توضيح لماذا هذا الكورس هو الأنسب لكم الآن.")</x:f>
      </x:c>
      <x:c r="N15" s="12" t="str">
        <x:f>IF(D15="","",HYPERLINK("https://wa.me/"&amp;REGEXREPLACE(D15,"[^\d]","")&amp;"?text="&amp;ENCODEURL(M15),"واتساب 2"))</x:f>
      </x:c>
      <x:c r="O15" s="12" t="str">
        <x:f>IF(A15="","","مرحبًا "&amp;C15&amp;CHAR(10)&amp;CHAR(10)&amp;"إذا كانت التحديات لديكم تحتاج حلًا أشمل، فالبرنامج الكامل المناسب لكم هو: "&amp;H15&amp;"."&amp;IF(I15&lt;&gt;"",CHAR(10)&amp;"كما يمكنكم أيضًا حجز: "&amp;I15&amp;".","")&amp;IF(J15&lt;&gt;"",CHAR(10)&amp;CHAR(10)&amp;"رابط التقرير: "&amp;J15,"")&amp;CHAR(10)&amp;CHAR(10)&amp;"يسعدنا مساعدتكم في اختيار المسار الأنسب حسب وضع العيادة الحالي.")</x:f>
      </x:c>
      <x:c r="P15" s="12" t="str">
        <x:f>IF(D15="","",HYPERLINK("https://wa.me/"&amp;REGEXREPLACE(D15,"[^\d]","")&amp;"?text="&amp;ENCODEURL(O15),"واتساب 3"))</x:f>
      </x:c>
    </x:row>
    <x:row r="16" ht="15" hidden="0" customHeight="1">
      <x:c r="A16" s="12" t="str">
        <x:f>IF(Leads!A16="","",Leads!A16)</x:f>
      </x:c>
      <x:c r="B16" s="12" t="str">
        <x:f>IF(Leads!F16="","",Leads!F16)</x:f>
      </x:c>
      <x:c r="C16" s="12" t="str">
        <x:f>IF(Leads!G16="","",Leads!G16)</x:f>
      </x:c>
      <x:c r="D16" s="12" t="str">
        <x:f>IF(Leads!O16="","",Leads!O16)</x:f>
      </x:c>
      <x:c r="E16" s="12" t="str">
        <x:f>IF(Leads!AV16="","",Leads!AV16)</x:f>
      </x:c>
      <x:c r="F16" s="12" t="str">
        <x:f>IF(Leads!AX16="","",Leads!AX16)</x:f>
      </x:c>
      <x:c r="G16" s="12" t="str">
        <x:f>IF(Leads!BC16="","",Leads!BC16)</x:f>
      </x:c>
      <x:c r="H16" s="12" t="str">
        <x:f>IF(Leads!BE16="","",Leads!BE16)</x:f>
      </x:c>
      <x:c r="I16" s="12" t="str">
        <x:f>IF(Leads!BG16="","",Leads!BG16)</x:f>
      </x:c>
      <x:c r="J16" s="12" t="str">
        <x:f>IF(Leads!BH16="","",Leads!BH16)</x:f>
      </x:c>
      <x:c r="K16" s="12" t="str">
        <x:f>IF(A16="","","مرحبًا "&amp;C16&amp;CHAR(10)&amp;CHAR(10)&amp;"شكرًا لإتمام تقييم DBD الخاص بعيادة "&amp;B16&amp;"."&amp;CHAR(10)&amp;"نتيجتكم الحالية: "&amp;E16&amp;"%."&amp;CHAR(10)&amp;"أولوية التحسين الأولى: "&amp;F16&amp;"."&amp;IF(J16&lt;&gt;"",CHAR(10)&amp;CHAR(10)&amp;"رابط التقرير: "&amp;J16,"")&amp;CHAR(10)&amp;CHAR(10)&amp;"إذا أحببت، يمكننا مساعدتك في فهم التقرير وتحديد أفضل خطوة تالية لعيادتكم.")</x:f>
      </x:c>
      <x:c r="L16" s="12" t="str">
        <x:f>IF(D16="","",HYPERLINK("https://wa.me/"&amp;REGEXREPLACE(D16,"[^\d]","")&amp;"?text="&amp;ENCODEURL(K16),"واتساب 1"))</x:f>
      </x:c>
      <x:c r="M16" s="12" t="str">
        <x:f>IF(A16="","","مرحبًا "&amp;C16&amp;CHAR(10)&amp;CHAR(10)&amp;"بناءً على نتيجة تقييم عيادة "&amp;B16&amp;"، فإن الترشيح الأقوى لكم الآن هو: "&amp;G16&amp;"."&amp;CHAR(10)&amp;"هذا الخيار يساعدكم في معالجة أكبر فجوة حالية بشكل عملي ومباشر."&amp;IF(J16&lt;&gt;"",CHAR(10)&amp;CHAR(10)&amp;"رابط التقرير: "&amp;J16,"")&amp;CHAR(10)&amp;CHAR(10)&amp;"إذا رغبت، يمكننا توضيح لماذا هذا الكورس هو الأنسب لكم الآن.")</x:f>
      </x:c>
      <x:c r="N16" s="12" t="str">
        <x:f>IF(D16="","",HYPERLINK("https://wa.me/"&amp;REGEXREPLACE(D16,"[^\d]","")&amp;"?text="&amp;ENCODEURL(M16),"واتساب 2"))</x:f>
      </x:c>
      <x:c r="O16" s="12" t="str">
        <x:f>IF(A16="","","مرحبًا "&amp;C16&amp;CHAR(10)&amp;CHAR(10)&amp;"إذا كانت التحديات لديكم تحتاج حلًا أشمل، فالبرنامج الكامل المناسب لكم هو: "&amp;H16&amp;"."&amp;IF(I16&lt;&gt;"",CHAR(10)&amp;"كما يمكنكم أيضًا حجز: "&amp;I16&amp;".","")&amp;IF(J16&lt;&gt;"",CHAR(10)&amp;CHAR(10)&amp;"رابط التقرير: "&amp;J16,"")&amp;CHAR(10)&amp;CHAR(10)&amp;"يسعدنا مساعدتكم في اختيار المسار الأنسب حسب وضع العيادة الحالي.")</x:f>
      </x:c>
      <x:c r="P16" s="12" t="str">
        <x:f>IF(D16="","",HYPERLINK("https://wa.me/"&amp;REGEXREPLACE(D16,"[^\d]","")&amp;"?text="&amp;ENCODEURL(O16),"واتساب 3"))</x:f>
      </x:c>
    </x:row>
    <x:row r="17" ht="15" hidden="0" customHeight="1">
      <x:c r="A17" s="12" t="str">
        <x:f>IF(Leads!A17="","",Leads!A17)</x:f>
      </x:c>
      <x:c r="B17" s="12" t="str">
        <x:f>IF(Leads!F17="","",Leads!F17)</x:f>
      </x:c>
      <x:c r="C17" s="12" t="str">
        <x:f>IF(Leads!G17="","",Leads!G17)</x:f>
      </x:c>
      <x:c r="D17" s="12" t="str">
        <x:f>IF(Leads!O17="","",Leads!O17)</x:f>
      </x:c>
      <x:c r="E17" s="12" t="str">
        <x:f>IF(Leads!AV17="","",Leads!AV17)</x:f>
      </x:c>
      <x:c r="F17" s="12" t="str">
        <x:f>IF(Leads!AX17="","",Leads!AX17)</x:f>
      </x:c>
      <x:c r="G17" s="12" t="str">
        <x:f>IF(Leads!BC17="","",Leads!BC17)</x:f>
      </x:c>
      <x:c r="H17" s="12" t="str">
        <x:f>IF(Leads!BE17="","",Leads!BE17)</x:f>
      </x:c>
      <x:c r="I17" s="12" t="str">
        <x:f>IF(Leads!BG17="","",Leads!BG17)</x:f>
      </x:c>
      <x:c r="J17" s="12" t="str">
        <x:f>IF(Leads!BH17="","",Leads!BH17)</x:f>
      </x:c>
      <x:c r="K17" s="12" t="str">
        <x:f>IF(A17="","","مرحبًا "&amp;C17&amp;CHAR(10)&amp;CHAR(10)&amp;"شكرًا لإتمام تقييم DBD الخاص بعيادة "&amp;B17&amp;"."&amp;CHAR(10)&amp;"نتيجتكم الحالية: "&amp;E17&amp;"%."&amp;CHAR(10)&amp;"أولوية التحسين الأولى: "&amp;F17&amp;"."&amp;IF(J17&lt;&gt;"",CHAR(10)&amp;CHAR(10)&amp;"رابط التقرير: "&amp;J17,"")&amp;CHAR(10)&amp;CHAR(10)&amp;"إذا أحببت، يمكننا مساعدتك في فهم التقرير وتحديد أفضل خطوة تالية لعيادتكم.")</x:f>
      </x:c>
      <x:c r="L17" s="12" t="str">
        <x:f>IF(D17="","",HYPERLINK("https://wa.me/"&amp;REGEXREPLACE(D17,"[^\d]","")&amp;"?text="&amp;ENCODEURL(K17),"واتساب 1"))</x:f>
      </x:c>
      <x:c r="M17" s="12" t="str">
        <x:f>IF(A17="","","مرحبًا "&amp;C17&amp;CHAR(10)&amp;CHAR(10)&amp;"بناءً على نتيجة تقييم عيادة "&amp;B17&amp;"، فإن الترشيح الأقوى لكم الآن هو: "&amp;G17&amp;"."&amp;CHAR(10)&amp;"هذا الخيار يساعدكم في معالجة أكبر فجوة حالية بشكل عملي ومباشر."&amp;IF(J17&lt;&gt;"",CHAR(10)&amp;CHAR(10)&amp;"رابط التقرير: "&amp;J17,"")&amp;CHAR(10)&amp;CHAR(10)&amp;"إذا رغبت، يمكننا توضيح لماذا هذا الكورس هو الأنسب لكم الآن.")</x:f>
      </x:c>
      <x:c r="N17" s="12" t="str">
        <x:f>IF(D17="","",HYPERLINK("https://wa.me/"&amp;REGEXREPLACE(D17,"[^\d]","")&amp;"?text="&amp;ENCODEURL(M17),"واتساب 2"))</x:f>
      </x:c>
      <x:c r="O17" s="12" t="str">
        <x:f>IF(A17="","","مرحبًا "&amp;C17&amp;CHAR(10)&amp;CHAR(10)&amp;"إذا كانت التحديات لديكم تحتاج حلًا أشمل، فالبرنامج الكامل المناسب لكم هو: "&amp;H17&amp;"."&amp;IF(I17&lt;&gt;"",CHAR(10)&amp;"كما يمكنكم أيضًا حجز: "&amp;I17&amp;".","")&amp;IF(J17&lt;&gt;"",CHAR(10)&amp;CHAR(10)&amp;"رابط التقرير: "&amp;J17,"")&amp;CHAR(10)&amp;CHAR(10)&amp;"يسعدنا مساعدتكم في اختيار المسار الأنسب حسب وضع العيادة الحالي.")</x:f>
      </x:c>
      <x:c r="P17" s="12" t="str">
        <x:f>IF(D17="","",HYPERLINK("https://wa.me/"&amp;REGEXREPLACE(D17,"[^\d]","")&amp;"?text="&amp;ENCODEURL(O17),"واتساب 3"))</x:f>
      </x:c>
    </x:row>
    <x:row r="18" ht="15" hidden="0" customHeight="1">
      <x:c r="A18" s="12" t="str">
        <x:f>IF(Leads!A18="","",Leads!A18)</x:f>
      </x:c>
      <x:c r="B18" s="12" t="str">
        <x:f>IF(Leads!F18="","",Leads!F18)</x:f>
      </x:c>
      <x:c r="C18" s="12" t="str">
        <x:f>IF(Leads!G18="","",Leads!G18)</x:f>
      </x:c>
      <x:c r="D18" s="12" t="str">
        <x:f>IF(Leads!O18="","",Leads!O18)</x:f>
      </x:c>
      <x:c r="E18" s="12" t="str">
        <x:f>IF(Leads!AV18="","",Leads!AV18)</x:f>
      </x:c>
      <x:c r="F18" s="12" t="str">
        <x:f>IF(Leads!AX18="","",Leads!AX18)</x:f>
      </x:c>
      <x:c r="G18" s="12" t="str">
        <x:f>IF(Leads!BC18="","",Leads!BC18)</x:f>
      </x:c>
      <x:c r="H18" s="12" t="str">
        <x:f>IF(Leads!BE18="","",Leads!BE18)</x:f>
      </x:c>
      <x:c r="I18" s="12" t="str">
        <x:f>IF(Leads!BG18="","",Leads!BG18)</x:f>
      </x:c>
      <x:c r="J18" s="12" t="str">
        <x:f>IF(Leads!BH18="","",Leads!BH18)</x:f>
      </x:c>
      <x:c r="K18" s="12" t="str">
        <x:f>IF(A18="","","مرحبًا "&amp;C18&amp;CHAR(10)&amp;CHAR(10)&amp;"شكرًا لإتمام تقييم DBD الخاص بعيادة "&amp;B18&amp;"."&amp;CHAR(10)&amp;"نتيجتكم الحالية: "&amp;E18&amp;"%."&amp;CHAR(10)&amp;"أولوية التحسين الأولى: "&amp;F18&amp;"."&amp;IF(J18&lt;&gt;"",CHAR(10)&amp;CHAR(10)&amp;"رابط التقرير: "&amp;J18,"")&amp;CHAR(10)&amp;CHAR(10)&amp;"إذا أحببت، يمكننا مساعدتك في فهم التقرير وتحديد أفضل خطوة تالية لعيادتكم.")</x:f>
      </x:c>
      <x:c r="L18" s="12" t="str">
        <x:f>IF(D18="","",HYPERLINK("https://wa.me/"&amp;REGEXREPLACE(D18,"[^\d]","")&amp;"?text="&amp;ENCODEURL(K18),"واتساب 1"))</x:f>
      </x:c>
      <x:c r="M18" s="12" t="str">
        <x:f>IF(A18="","","مرحبًا "&amp;C18&amp;CHAR(10)&amp;CHAR(10)&amp;"بناءً على نتيجة تقييم عيادة "&amp;B18&amp;"، فإن الترشيح الأقوى لكم الآن هو: "&amp;G18&amp;"."&amp;CHAR(10)&amp;"هذا الخيار يساعدكم في معالجة أكبر فجوة حالية بشكل عملي ومباشر."&amp;IF(J18&lt;&gt;"",CHAR(10)&amp;CHAR(10)&amp;"رابط التقرير: "&amp;J18,"")&amp;CHAR(10)&amp;CHAR(10)&amp;"إذا رغبت، يمكننا توضيح لماذا هذا الكورس هو الأنسب لكم الآن.")</x:f>
      </x:c>
      <x:c r="N18" s="12" t="str">
        <x:f>IF(D18="","",HYPERLINK("https://wa.me/"&amp;REGEXREPLACE(D18,"[^\d]","")&amp;"?text="&amp;ENCODEURL(M18),"واتساب 2"))</x:f>
      </x:c>
      <x:c r="O18" s="12" t="str">
        <x:f>IF(A18="","","مرحبًا "&amp;C18&amp;CHAR(10)&amp;CHAR(10)&amp;"إذا كانت التحديات لديكم تحتاج حلًا أشمل، فالبرنامج الكامل المناسب لكم هو: "&amp;H18&amp;"."&amp;IF(I18&lt;&gt;"",CHAR(10)&amp;"كما يمكنكم أيضًا حجز: "&amp;I18&amp;".","")&amp;IF(J18&lt;&gt;"",CHAR(10)&amp;CHAR(10)&amp;"رابط التقرير: "&amp;J18,"")&amp;CHAR(10)&amp;CHAR(10)&amp;"يسعدنا مساعدتكم في اختيار المسار الأنسب حسب وضع العيادة الحالي.")</x:f>
      </x:c>
      <x:c r="P18" s="12" t="str">
        <x:f>IF(D18="","",HYPERLINK("https://wa.me/"&amp;REGEXREPLACE(D18,"[^\d]","")&amp;"?text="&amp;ENCODEURL(O18),"واتساب 3"))</x:f>
      </x:c>
    </x:row>
    <x:row r="19" ht="15" hidden="0" customHeight="1">
      <x:c r="A19" s="12" t="str">
        <x:f>IF(Leads!A19="","",Leads!A19)</x:f>
      </x:c>
      <x:c r="B19" s="12" t="str">
        <x:f>IF(Leads!F19="","",Leads!F19)</x:f>
      </x:c>
      <x:c r="C19" s="12" t="str">
        <x:f>IF(Leads!G19="","",Leads!G19)</x:f>
      </x:c>
      <x:c r="D19" s="12" t="str">
        <x:f>IF(Leads!O19="","",Leads!O19)</x:f>
      </x:c>
      <x:c r="E19" s="12" t="str">
        <x:f>IF(Leads!AV19="","",Leads!AV19)</x:f>
      </x:c>
      <x:c r="F19" s="12" t="str">
        <x:f>IF(Leads!AX19="","",Leads!AX19)</x:f>
      </x:c>
      <x:c r="G19" s="12" t="str">
        <x:f>IF(Leads!BC19="","",Leads!BC19)</x:f>
      </x:c>
      <x:c r="H19" s="12" t="str">
        <x:f>IF(Leads!BE19="","",Leads!BE19)</x:f>
      </x:c>
      <x:c r="I19" s="12" t="str">
        <x:f>IF(Leads!BG19="","",Leads!BG19)</x:f>
      </x:c>
      <x:c r="J19" s="12" t="str">
        <x:f>IF(Leads!BH19="","",Leads!BH19)</x:f>
      </x:c>
      <x:c r="K19" s="12" t="str">
        <x:f>IF(A19="","","مرحبًا "&amp;C19&amp;CHAR(10)&amp;CHAR(10)&amp;"شكرًا لإتمام تقييم DBD الخاص بعيادة "&amp;B19&amp;"."&amp;CHAR(10)&amp;"نتيجتكم الحالية: "&amp;E19&amp;"%."&amp;CHAR(10)&amp;"أولوية التحسين الأولى: "&amp;F19&amp;"."&amp;IF(J19&lt;&gt;"",CHAR(10)&amp;CHAR(10)&amp;"رابط التقرير: "&amp;J19,"")&amp;CHAR(10)&amp;CHAR(10)&amp;"إذا أحببت، يمكننا مساعدتك في فهم التقرير وتحديد أفضل خطوة تالية لعيادتكم.")</x:f>
      </x:c>
      <x:c r="L19" s="12" t="str">
        <x:f>IF(D19="","",HYPERLINK("https://wa.me/"&amp;REGEXREPLACE(D19,"[^\d]","")&amp;"?text="&amp;ENCODEURL(K19),"واتساب 1"))</x:f>
      </x:c>
      <x:c r="M19" s="12" t="str">
        <x:f>IF(A19="","","مرحبًا "&amp;C19&amp;CHAR(10)&amp;CHAR(10)&amp;"بناءً على نتيجة تقييم عيادة "&amp;B19&amp;"، فإن الترشيح الأقوى لكم الآن هو: "&amp;G19&amp;"."&amp;CHAR(10)&amp;"هذا الخيار يساعدكم في معالجة أكبر فجوة حالية بشكل عملي ومباشر."&amp;IF(J19&lt;&gt;"",CHAR(10)&amp;CHAR(10)&amp;"رابط التقرير: "&amp;J19,"")&amp;CHAR(10)&amp;CHAR(10)&amp;"إذا رغبت، يمكننا توضيح لماذا هذا الكورس هو الأنسب لكم الآن.")</x:f>
      </x:c>
      <x:c r="N19" s="12" t="str">
        <x:f>IF(D19="","",HYPERLINK("https://wa.me/"&amp;REGEXREPLACE(D19,"[^\d]","")&amp;"?text="&amp;ENCODEURL(M19),"واتساب 2"))</x:f>
      </x:c>
      <x:c r="O19" s="12" t="str">
        <x:f>IF(A19="","","مرحبًا "&amp;C19&amp;CHAR(10)&amp;CHAR(10)&amp;"إذا كانت التحديات لديكم تحتاج حلًا أشمل، فالبرنامج الكامل المناسب لكم هو: "&amp;H19&amp;"."&amp;IF(I19&lt;&gt;"",CHAR(10)&amp;"كما يمكنكم أيضًا حجز: "&amp;I19&amp;".","")&amp;IF(J19&lt;&gt;"",CHAR(10)&amp;CHAR(10)&amp;"رابط التقرير: "&amp;J19,"")&amp;CHAR(10)&amp;CHAR(10)&amp;"يسعدنا مساعدتكم في اختيار المسار الأنسب حسب وضع العيادة الحالي.")</x:f>
      </x:c>
      <x:c r="P19" s="12" t="str">
        <x:f>IF(D19="","",HYPERLINK("https://wa.me/"&amp;REGEXREPLACE(D19,"[^\d]","")&amp;"?text="&amp;ENCODEURL(O19),"واتساب 3"))</x:f>
      </x:c>
    </x:row>
    <x:row r="20" ht="15" hidden="0" customHeight="1">
      <x:c r="A20" s="12" t="str">
        <x:f>IF(Leads!A20="","",Leads!A20)</x:f>
      </x:c>
      <x:c r="B20" s="12" t="str">
        <x:f>IF(Leads!F20="","",Leads!F20)</x:f>
      </x:c>
      <x:c r="C20" s="12" t="str">
        <x:f>IF(Leads!G20="","",Leads!G20)</x:f>
      </x:c>
      <x:c r="D20" s="12" t="str">
        <x:f>IF(Leads!O20="","",Leads!O20)</x:f>
      </x:c>
      <x:c r="E20" s="12" t="str">
        <x:f>IF(Leads!AV20="","",Leads!AV20)</x:f>
      </x:c>
      <x:c r="F20" s="12" t="str">
        <x:f>IF(Leads!AX20="","",Leads!AX20)</x:f>
      </x:c>
      <x:c r="G20" s="12" t="str">
        <x:f>IF(Leads!BC20="","",Leads!BC20)</x:f>
      </x:c>
      <x:c r="H20" s="12" t="str">
        <x:f>IF(Leads!BE20="","",Leads!BE20)</x:f>
      </x:c>
      <x:c r="I20" s="12" t="str">
        <x:f>IF(Leads!BG20="","",Leads!BG20)</x:f>
      </x:c>
      <x:c r="J20" s="12" t="str">
        <x:f>IF(Leads!BH20="","",Leads!BH20)</x:f>
      </x:c>
      <x:c r="K20" s="12" t="str">
        <x:f>IF(A20="","","مرحبًا "&amp;C20&amp;CHAR(10)&amp;CHAR(10)&amp;"شكرًا لإتمام تقييم DBD الخاص بعيادة "&amp;B20&amp;"."&amp;CHAR(10)&amp;"نتيجتكم الحالية: "&amp;E20&amp;"%."&amp;CHAR(10)&amp;"أولوية التحسين الأولى: "&amp;F20&amp;"."&amp;IF(J20&lt;&gt;"",CHAR(10)&amp;CHAR(10)&amp;"رابط التقرير: "&amp;J20,"")&amp;CHAR(10)&amp;CHAR(10)&amp;"إذا أحببت، يمكننا مساعدتك في فهم التقرير وتحديد أفضل خطوة تالية لعيادتكم.")</x:f>
      </x:c>
      <x:c r="L20" s="12" t="str">
        <x:f>IF(D20="","",HYPERLINK("https://wa.me/"&amp;REGEXREPLACE(D20,"[^\d]","")&amp;"?text="&amp;ENCODEURL(K20),"واتساب 1"))</x:f>
      </x:c>
      <x:c r="M20" s="12" t="str">
        <x:f>IF(A20="","","مرحبًا "&amp;C20&amp;CHAR(10)&amp;CHAR(10)&amp;"بناءً على نتيجة تقييم عيادة "&amp;B20&amp;"، فإن الترشيح الأقوى لكم الآن هو: "&amp;G20&amp;"."&amp;CHAR(10)&amp;"هذا الخيار يساعدكم في معالجة أكبر فجوة حالية بشكل عملي ومباشر."&amp;IF(J20&lt;&gt;"",CHAR(10)&amp;CHAR(10)&amp;"رابط التقرير: "&amp;J20,"")&amp;CHAR(10)&amp;CHAR(10)&amp;"إذا رغبت، يمكننا توضيح لماذا هذا الكورس هو الأنسب لكم الآن.")</x:f>
      </x:c>
      <x:c r="N20" s="12" t="str">
        <x:f>IF(D20="","",HYPERLINK("https://wa.me/"&amp;REGEXREPLACE(D20,"[^\d]","")&amp;"?text="&amp;ENCODEURL(M20),"واتساب 2"))</x:f>
      </x:c>
      <x:c r="O20" s="12" t="str">
        <x:f>IF(A20="","","مرحبًا "&amp;C20&amp;CHAR(10)&amp;CHAR(10)&amp;"إذا كانت التحديات لديكم تحتاج حلًا أشمل، فالبرنامج الكامل المناسب لكم هو: "&amp;H20&amp;"."&amp;IF(I20&lt;&gt;"",CHAR(10)&amp;"كما يمكنكم أيضًا حجز: "&amp;I20&amp;".","")&amp;IF(J20&lt;&gt;"",CHAR(10)&amp;CHAR(10)&amp;"رابط التقرير: "&amp;J20,"")&amp;CHAR(10)&amp;CHAR(10)&amp;"يسعدنا مساعدتكم في اختيار المسار الأنسب حسب وضع العيادة الحالي.")</x:f>
      </x:c>
      <x:c r="P20" s="12" t="str">
        <x:f>IF(D20="","",HYPERLINK("https://wa.me/"&amp;REGEXREPLACE(D20,"[^\d]","")&amp;"?text="&amp;ENCODEURL(O20),"واتساب 3"))</x:f>
      </x:c>
    </x:row>
    <x:row r="21" ht="15" hidden="0" customHeight="1">
      <x:c r="A21" s="12" t="str">
        <x:f>IF(Leads!A21="","",Leads!A21)</x:f>
      </x:c>
      <x:c r="B21" s="12" t="str">
        <x:f>IF(Leads!F21="","",Leads!F21)</x:f>
      </x:c>
      <x:c r="C21" s="12" t="str">
        <x:f>IF(Leads!G21="","",Leads!G21)</x:f>
      </x:c>
      <x:c r="D21" s="12" t="str">
        <x:f>IF(Leads!O21="","",Leads!O21)</x:f>
      </x:c>
      <x:c r="E21" s="12" t="str">
        <x:f>IF(Leads!AV21="","",Leads!AV21)</x:f>
      </x:c>
      <x:c r="F21" s="12" t="str">
        <x:f>IF(Leads!AX21="","",Leads!AX21)</x:f>
      </x:c>
      <x:c r="G21" s="12" t="str">
        <x:f>IF(Leads!BC21="","",Leads!BC21)</x:f>
      </x:c>
      <x:c r="H21" s="12" t="str">
        <x:f>IF(Leads!BE21="","",Leads!BE21)</x:f>
      </x:c>
      <x:c r="I21" s="12" t="str">
        <x:f>IF(Leads!BG21="","",Leads!BG21)</x:f>
      </x:c>
      <x:c r="J21" s="12" t="str">
        <x:f>IF(Leads!BH21="","",Leads!BH21)</x:f>
      </x:c>
      <x:c r="K21" s="12" t="str">
        <x:f>IF(A21="","","مرحبًا "&amp;C21&amp;CHAR(10)&amp;CHAR(10)&amp;"شكرًا لإتمام تقييم DBD الخاص بعيادة "&amp;B21&amp;"."&amp;CHAR(10)&amp;"نتيجتكم الحالية: "&amp;E21&amp;"%."&amp;CHAR(10)&amp;"أولوية التحسين الأولى: "&amp;F21&amp;"."&amp;IF(J21&lt;&gt;"",CHAR(10)&amp;CHAR(10)&amp;"رابط التقرير: "&amp;J21,"")&amp;CHAR(10)&amp;CHAR(10)&amp;"إذا أحببت، يمكننا مساعدتك في فهم التقرير وتحديد أفضل خطوة تالية لعيادتكم.")</x:f>
      </x:c>
      <x:c r="L21" s="12" t="str">
        <x:f>IF(D21="","",HYPERLINK("https://wa.me/"&amp;REGEXREPLACE(D21,"[^\d]","")&amp;"?text="&amp;ENCODEURL(K21),"واتساب 1"))</x:f>
      </x:c>
      <x:c r="M21" s="12" t="str">
        <x:f>IF(A21="","","مرحبًا "&amp;C21&amp;CHAR(10)&amp;CHAR(10)&amp;"بناءً على نتيجة تقييم عيادة "&amp;B21&amp;"، فإن الترشيح الأقوى لكم الآن هو: "&amp;G21&amp;"."&amp;CHAR(10)&amp;"هذا الخيار يساعدكم في معالجة أكبر فجوة حالية بشكل عملي ومباشر."&amp;IF(J21&lt;&gt;"",CHAR(10)&amp;CHAR(10)&amp;"رابط التقرير: "&amp;J21,"")&amp;CHAR(10)&amp;CHAR(10)&amp;"إذا رغبت، يمكننا توضيح لماذا هذا الكورس هو الأنسب لكم الآن.")</x:f>
      </x:c>
      <x:c r="N21" s="12" t="str">
        <x:f>IF(D21="","",HYPERLINK("https://wa.me/"&amp;REGEXREPLACE(D21,"[^\d]","")&amp;"?text="&amp;ENCODEURL(M21),"واتساب 2"))</x:f>
      </x:c>
      <x:c r="O21" s="12" t="str">
        <x:f>IF(A21="","","مرحبًا "&amp;C21&amp;CHAR(10)&amp;CHAR(10)&amp;"إذا كانت التحديات لديكم تحتاج حلًا أشمل، فالبرنامج الكامل المناسب لكم هو: "&amp;H21&amp;"."&amp;IF(I21&lt;&gt;"",CHAR(10)&amp;"كما يمكنكم أيضًا حجز: "&amp;I21&amp;".","")&amp;IF(J21&lt;&gt;"",CHAR(10)&amp;CHAR(10)&amp;"رابط التقرير: "&amp;J21,"")&amp;CHAR(10)&amp;CHAR(10)&amp;"يسعدنا مساعدتكم في اختيار المسار الأنسب حسب وضع العيادة الحالي.")</x:f>
      </x:c>
      <x:c r="P21" s="12" t="str">
        <x:f>IF(D21="","",HYPERLINK("https://wa.me/"&amp;REGEXREPLACE(D21,"[^\d]","")&amp;"?text="&amp;ENCODEURL(O21),"واتساب 3"))</x:f>
      </x:c>
    </x:row>
    <x:row r="22" ht="15" hidden="0" customHeight="1">
      <x:c r="A22" s="12" t="str">
        <x:f>IF(Leads!A22="","",Leads!A22)</x:f>
      </x:c>
      <x:c r="B22" s="12" t="str">
        <x:f>IF(Leads!F22="","",Leads!F22)</x:f>
      </x:c>
      <x:c r="C22" s="12" t="str">
        <x:f>IF(Leads!G22="","",Leads!G22)</x:f>
      </x:c>
      <x:c r="D22" s="12" t="str">
        <x:f>IF(Leads!O22="","",Leads!O22)</x:f>
      </x:c>
      <x:c r="E22" s="12" t="str">
        <x:f>IF(Leads!AV22="","",Leads!AV22)</x:f>
      </x:c>
      <x:c r="F22" s="12" t="str">
        <x:f>IF(Leads!AX22="","",Leads!AX22)</x:f>
      </x:c>
      <x:c r="G22" s="12" t="str">
        <x:f>IF(Leads!BC22="","",Leads!BC22)</x:f>
      </x:c>
      <x:c r="H22" s="12" t="str">
        <x:f>IF(Leads!BE22="","",Leads!BE22)</x:f>
      </x:c>
      <x:c r="I22" s="12" t="str">
        <x:f>IF(Leads!BG22="","",Leads!BG22)</x:f>
      </x:c>
      <x:c r="J22" s="12" t="str">
        <x:f>IF(Leads!BH22="","",Leads!BH22)</x:f>
      </x:c>
      <x:c r="K22" s="12" t="str">
        <x:f>IF(A22="","","مرحبًا "&amp;C22&amp;CHAR(10)&amp;CHAR(10)&amp;"شكرًا لإتمام تقييم DBD الخاص بعيادة "&amp;B22&amp;"."&amp;CHAR(10)&amp;"نتيجتكم الحالية: "&amp;E22&amp;"%."&amp;CHAR(10)&amp;"أولوية التحسين الأولى: "&amp;F22&amp;"."&amp;IF(J22&lt;&gt;"",CHAR(10)&amp;CHAR(10)&amp;"رابط التقرير: "&amp;J22,"")&amp;CHAR(10)&amp;CHAR(10)&amp;"إذا أحببت، يمكننا مساعدتك في فهم التقرير وتحديد أفضل خطوة تالية لعيادتكم.")</x:f>
      </x:c>
      <x:c r="L22" s="12" t="str">
        <x:f>IF(D22="","",HYPERLINK("https://wa.me/"&amp;REGEXREPLACE(D22,"[^\d]","")&amp;"?text="&amp;ENCODEURL(K22),"واتساب 1"))</x:f>
      </x:c>
      <x:c r="M22" s="12" t="str">
        <x:f>IF(A22="","","مرحبًا "&amp;C22&amp;CHAR(10)&amp;CHAR(10)&amp;"بناءً على نتيجة تقييم عيادة "&amp;B22&amp;"، فإن الترشيح الأقوى لكم الآن هو: "&amp;G22&amp;"."&amp;CHAR(10)&amp;"هذا الخيار يساعدكم في معالجة أكبر فجوة حالية بشكل عملي ومباشر."&amp;IF(J22&lt;&gt;"",CHAR(10)&amp;CHAR(10)&amp;"رابط التقرير: "&amp;J22,"")&amp;CHAR(10)&amp;CHAR(10)&amp;"إذا رغبت، يمكننا توضيح لماذا هذا الكورس هو الأنسب لكم الآن.")</x:f>
      </x:c>
      <x:c r="N22" s="12" t="str">
        <x:f>IF(D22="","",HYPERLINK("https://wa.me/"&amp;REGEXREPLACE(D22,"[^\d]","")&amp;"?text="&amp;ENCODEURL(M22),"واتساب 2"))</x:f>
      </x:c>
      <x:c r="O22" s="12" t="str">
        <x:f>IF(A22="","","مرحبًا "&amp;C22&amp;CHAR(10)&amp;CHAR(10)&amp;"إذا كانت التحديات لديكم تحتاج حلًا أشمل، فالبرنامج الكامل المناسب لكم هو: "&amp;H22&amp;"."&amp;IF(I22&lt;&gt;"",CHAR(10)&amp;"كما يمكنكم أيضًا حجز: "&amp;I22&amp;".","")&amp;IF(J22&lt;&gt;"",CHAR(10)&amp;CHAR(10)&amp;"رابط التقرير: "&amp;J22,"")&amp;CHAR(10)&amp;CHAR(10)&amp;"يسعدنا مساعدتكم في اختيار المسار الأنسب حسب وضع العيادة الحالي.")</x:f>
      </x:c>
      <x:c r="P22" s="12" t="str">
        <x:f>IF(D22="","",HYPERLINK("https://wa.me/"&amp;REGEXREPLACE(D22,"[^\d]","")&amp;"?text="&amp;ENCODEURL(O22),"واتساب 3"))</x:f>
      </x:c>
    </x:row>
    <x:row r="23" ht="15" hidden="0" customHeight="1">
      <x:c r="A23" s="12" t="str">
        <x:f>IF(Leads!A23="","",Leads!A23)</x:f>
      </x:c>
      <x:c r="B23" s="12" t="str">
        <x:f>IF(Leads!F23="","",Leads!F23)</x:f>
      </x:c>
      <x:c r="C23" s="12" t="str">
        <x:f>IF(Leads!G23="","",Leads!G23)</x:f>
      </x:c>
      <x:c r="D23" s="12" t="str">
        <x:f>IF(Leads!O23="","",Leads!O23)</x:f>
      </x:c>
      <x:c r="E23" s="12" t="str">
        <x:f>IF(Leads!AV23="","",Leads!AV23)</x:f>
      </x:c>
      <x:c r="F23" s="12" t="str">
        <x:f>IF(Leads!AX23="","",Leads!AX23)</x:f>
      </x:c>
      <x:c r="G23" s="12" t="str">
        <x:f>IF(Leads!BC23="","",Leads!BC23)</x:f>
      </x:c>
      <x:c r="H23" s="12" t="str">
        <x:f>IF(Leads!BE23="","",Leads!BE23)</x:f>
      </x:c>
      <x:c r="I23" s="12" t="str">
        <x:f>IF(Leads!BG23="","",Leads!BG23)</x:f>
      </x:c>
      <x:c r="J23" s="12" t="str">
        <x:f>IF(Leads!BH23="","",Leads!BH23)</x:f>
      </x:c>
      <x:c r="K23" s="12" t="str">
        <x:f>IF(A23="","","مرحبًا "&amp;C23&amp;CHAR(10)&amp;CHAR(10)&amp;"شكرًا لإتمام تقييم DBD الخاص بعيادة "&amp;B23&amp;"."&amp;CHAR(10)&amp;"نتيجتكم الحالية: "&amp;E23&amp;"%."&amp;CHAR(10)&amp;"أولوية التحسين الأولى: "&amp;F23&amp;"."&amp;IF(J23&lt;&gt;"",CHAR(10)&amp;CHAR(10)&amp;"رابط التقرير: "&amp;J23,"")&amp;CHAR(10)&amp;CHAR(10)&amp;"إذا أحببت، يمكننا مساعدتك في فهم التقرير وتحديد أفضل خطوة تالية لعيادتكم.")</x:f>
      </x:c>
      <x:c r="L23" s="12" t="str">
        <x:f>IF(D23="","",HYPERLINK("https://wa.me/"&amp;REGEXREPLACE(D23,"[^\d]","")&amp;"?text="&amp;ENCODEURL(K23),"واتساب 1"))</x:f>
      </x:c>
      <x:c r="M23" s="12" t="str">
        <x:f>IF(A23="","","مرحبًا "&amp;C23&amp;CHAR(10)&amp;CHAR(10)&amp;"بناءً على نتيجة تقييم عيادة "&amp;B23&amp;"، فإن الترشيح الأقوى لكم الآن هو: "&amp;G23&amp;"."&amp;CHAR(10)&amp;"هذا الخيار يساعدكم في معالجة أكبر فجوة حالية بشكل عملي ومباشر."&amp;IF(J23&lt;&gt;"",CHAR(10)&amp;CHAR(10)&amp;"رابط التقرير: "&amp;J23,"")&amp;CHAR(10)&amp;CHAR(10)&amp;"إذا رغبت، يمكننا توضيح لماذا هذا الكورس هو الأنسب لكم الآن.")</x:f>
      </x:c>
      <x:c r="N23" s="12" t="str">
        <x:f>IF(D23="","",HYPERLINK("https://wa.me/"&amp;REGEXREPLACE(D23,"[^\d]","")&amp;"?text="&amp;ENCODEURL(M23),"واتساب 2"))</x:f>
      </x:c>
      <x:c r="O23" s="12" t="str">
        <x:f>IF(A23="","","مرحبًا "&amp;C23&amp;CHAR(10)&amp;CHAR(10)&amp;"إذا كانت التحديات لديكم تحتاج حلًا أشمل، فالبرنامج الكامل المناسب لكم هو: "&amp;H23&amp;"."&amp;IF(I23&lt;&gt;"",CHAR(10)&amp;"كما يمكنكم أيضًا حجز: "&amp;I23&amp;".","")&amp;IF(J23&lt;&gt;"",CHAR(10)&amp;CHAR(10)&amp;"رابط التقرير: "&amp;J23,"")&amp;CHAR(10)&amp;CHAR(10)&amp;"يسعدنا مساعدتكم في اختيار المسار الأنسب حسب وضع العيادة الحالي.")</x:f>
      </x:c>
      <x:c r="P23" s="12" t="str">
        <x:f>IF(D23="","",HYPERLINK("https://wa.me/"&amp;REGEXREPLACE(D23,"[^\d]","")&amp;"?text="&amp;ENCODEURL(O23),"واتساب 3"))</x:f>
      </x:c>
    </x:row>
    <x:row r="24" ht="15" hidden="0" customHeight="1">
      <x:c r="A24" s="12" t="str">
        <x:f>IF(Leads!A24="","",Leads!A24)</x:f>
      </x:c>
      <x:c r="B24" s="12" t="str">
        <x:f>IF(Leads!F24="","",Leads!F24)</x:f>
      </x:c>
      <x:c r="C24" s="12" t="str">
        <x:f>IF(Leads!G24="","",Leads!G24)</x:f>
      </x:c>
      <x:c r="D24" s="12" t="str">
        <x:f>IF(Leads!O24="","",Leads!O24)</x:f>
      </x:c>
      <x:c r="E24" s="12" t="str">
        <x:f>IF(Leads!AV24="","",Leads!AV24)</x:f>
      </x:c>
      <x:c r="F24" s="12" t="str">
        <x:f>IF(Leads!AX24="","",Leads!AX24)</x:f>
      </x:c>
      <x:c r="G24" s="12" t="str">
        <x:f>IF(Leads!BC24="","",Leads!BC24)</x:f>
      </x:c>
      <x:c r="H24" s="12" t="str">
        <x:f>IF(Leads!BE24="","",Leads!BE24)</x:f>
      </x:c>
      <x:c r="I24" s="12" t="str">
        <x:f>IF(Leads!BG24="","",Leads!BG24)</x:f>
      </x:c>
      <x:c r="J24" s="12" t="str">
        <x:f>IF(Leads!BH24="","",Leads!BH24)</x:f>
      </x:c>
      <x:c r="K24" s="12" t="str">
        <x:f>IF(A24="","","مرحبًا "&amp;C24&amp;CHAR(10)&amp;CHAR(10)&amp;"شكرًا لإتمام تقييم DBD الخاص بعيادة "&amp;B24&amp;"."&amp;CHAR(10)&amp;"نتيجتكم الحالية: "&amp;E24&amp;"%."&amp;CHAR(10)&amp;"أولوية التحسين الأولى: "&amp;F24&amp;"."&amp;IF(J24&lt;&gt;"",CHAR(10)&amp;CHAR(10)&amp;"رابط التقرير: "&amp;J24,"")&amp;CHAR(10)&amp;CHAR(10)&amp;"إذا أحببت، يمكننا مساعدتك في فهم التقرير وتحديد أفضل خطوة تالية لعيادتكم.")</x:f>
      </x:c>
      <x:c r="L24" s="12" t="str">
        <x:f>IF(D24="","",HYPERLINK("https://wa.me/"&amp;REGEXREPLACE(D24,"[^\d]","")&amp;"?text="&amp;ENCODEURL(K24),"واتساب 1"))</x:f>
      </x:c>
      <x:c r="M24" s="12" t="str">
        <x:f>IF(A24="","","مرحبًا "&amp;C24&amp;CHAR(10)&amp;CHAR(10)&amp;"بناءً على نتيجة تقييم عيادة "&amp;B24&amp;"، فإن الترشيح الأقوى لكم الآن هو: "&amp;G24&amp;"."&amp;CHAR(10)&amp;"هذا الخيار يساعدكم في معالجة أكبر فجوة حالية بشكل عملي ومباشر."&amp;IF(J24&lt;&gt;"",CHAR(10)&amp;CHAR(10)&amp;"رابط التقرير: "&amp;J24,"")&amp;CHAR(10)&amp;CHAR(10)&amp;"إذا رغبت، يمكننا توضيح لماذا هذا الكورس هو الأنسب لكم الآن.")</x:f>
      </x:c>
      <x:c r="N24" s="12" t="str">
        <x:f>IF(D24="","",HYPERLINK("https://wa.me/"&amp;REGEXREPLACE(D24,"[^\d]","")&amp;"?text="&amp;ENCODEURL(M24),"واتساب 2"))</x:f>
      </x:c>
      <x:c r="O24" s="12" t="str">
        <x:f>IF(A24="","","مرحبًا "&amp;C24&amp;CHAR(10)&amp;CHAR(10)&amp;"إذا كانت التحديات لديكم تحتاج حلًا أشمل، فالبرنامج الكامل المناسب لكم هو: "&amp;H24&amp;"."&amp;IF(I24&lt;&gt;"",CHAR(10)&amp;"كما يمكنكم أيضًا حجز: "&amp;I24&amp;".","")&amp;IF(J24&lt;&gt;"",CHAR(10)&amp;CHAR(10)&amp;"رابط التقرير: "&amp;J24,"")&amp;CHAR(10)&amp;CHAR(10)&amp;"يسعدنا مساعدتكم في اختيار المسار الأنسب حسب وضع العيادة الحالي.")</x:f>
      </x:c>
      <x:c r="P24" s="12" t="str">
        <x:f>IF(D24="","",HYPERLINK("https://wa.me/"&amp;REGEXREPLACE(D24,"[^\d]","")&amp;"?text="&amp;ENCODEURL(O24),"واتساب 3"))</x:f>
      </x:c>
    </x:row>
    <x:row r="25" ht="15" hidden="0" customHeight="1">
      <x:c r="A25" s="12" t="str">
        <x:f>IF(Leads!A25="","",Leads!A25)</x:f>
      </x:c>
      <x:c r="B25" s="12" t="str">
        <x:f>IF(Leads!F25="","",Leads!F25)</x:f>
      </x:c>
      <x:c r="C25" s="12" t="str">
        <x:f>IF(Leads!G25="","",Leads!G25)</x:f>
      </x:c>
      <x:c r="D25" s="12" t="str">
        <x:f>IF(Leads!O25="","",Leads!O25)</x:f>
      </x:c>
      <x:c r="E25" s="12" t="str">
        <x:f>IF(Leads!AV25="","",Leads!AV25)</x:f>
      </x:c>
      <x:c r="F25" s="12" t="str">
        <x:f>IF(Leads!AX25="","",Leads!AX25)</x:f>
      </x:c>
      <x:c r="G25" s="12" t="str">
        <x:f>IF(Leads!BC25="","",Leads!BC25)</x:f>
      </x:c>
      <x:c r="H25" s="12" t="str">
        <x:f>IF(Leads!BE25="","",Leads!BE25)</x:f>
      </x:c>
      <x:c r="I25" s="12" t="str">
        <x:f>IF(Leads!BG25="","",Leads!BG25)</x:f>
      </x:c>
      <x:c r="J25" s="12" t="str">
        <x:f>IF(Leads!BH25="","",Leads!BH25)</x:f>
      </x:c>
      <x:c r="K25" s="12" t="str">
        <x:f>IF(A25="","","مرحبًا "&amp;C25&amp;CHAR(10)&amp;CHAR(10)&amp;"شكرًا لإتمام تقييم DBD الخاص بعيادة "&amp;B25&amp;"."&amp;CHAR(10)&amp;"نتيجتكم الحالية: "&amp;E25&amp;"%."&amp;CHAR(10)&amp;"أولوية التحسين الأولى: "&amp;F25&amp;"."&amp;IF(J25&lt;&gt;"",CHAR(10)&amp;CHAR(10)&amp;"رابط التقرير: "&amp;J25,"")&amp;CHAR(10)&amp;CHAR(10)&amp;"إذا أحببت، يمكننا مساعدتك في فهم التقرير وتحديد أفضل خطوة تالية لعيادتكم.")</x:f>
      </x:c>
      <x:c r="L25" s="12" t="str">
        <x:f>IF(D25="","",HYPERLINK("https://wa.me/"&amp;REGEXREPLACE(D25,"[^\d]","")&amp;"?text="&amp;ENCODEURL(K25),"واتساب 1"))</x:f>
      </x:c>
      <x:c r="M25" s="12" t="str">
        <x:f>IF(A25="","","مرحبًا "&amp;C25&amp;CHAR(10)&amp;CHAR(10)&amp;"بناءً على نتيجة تقييم عيادة "&amp;B25&amp;"، فإن الترشيح الأقوى لكم الآن هو: "&amp;G25&amp;"."&amp;CHAR(10)&amp;"هذا الخيار يساعدكم في معالجة أكبر فجوة حالية بشكل عملي ومباشر."&amp;IF(J25&lt;&gt;"",CHAR(10)&amp;CHAR(10)&amp;"رابط التقرير: "&amp;J25,"")&amp;CHAR(10)&amp;CHAR(10)&amp;"إذا رغبت، يمكننا توضيح لماذا هذا الكورس هو الأنسب لكم الآن.")</x:f>
      </x:c>
      <x:c r="N25" s="12" t="str">
        <x:f>IF(D25="","",HYPERLINK("https://wa.me/"&amp;REGEXREPLACE(D25,"[^\d]","")&amp;"?text="&amp;ENCODEURL(M25),"واتساب 2"))</x:f>
      </x:c>
      <x:c r="O25" s="12" t="str">
        <x:f>IF(A25="","","مرحبًا "&amp;C25&amp;CHAR(10)&amp;CHAR(10)&amp;"إذا كانت التحديات لديكم تحتاج حلًا أشمل، فالبرنامج الكامل المناسب لكم هو: "&amp;H25&amp;"."&amp;IF(I25&lt;&gt;"",CHAR(10)&amp;"كما يمكنكم أيضًا حجز: "&amp;I25&amp;".","")&amp;IF(J25&lt;&gt;"",CHAR(10)&amp;CHAR(10)&amp;"رابط التقرير: "&amp;J25,"")&amp;CHAR(10)&amp;CHAR(10)&amp;"يسعدنا مساعدتكم في اختيار المسار الأنسب حسب وضع العيادة الحالي.")</x:f>
      </x:c>
      <x:c r="P25" s="12" t="str">
        <x:f>IF(D25="","",HYPERLINK("https://wa.me/"&amp;REGEXREPLACE(D25,"[^\d]","")&amp;"?text="&amp;ENCODEURL(O25),"واتساب 3"))</x:f>
      </x:c>
    </x:row>
    <x:row r="26" ht="15" hidden="0" customHeight="1">
      <x:c r="A26" s="12" t="str">
        <x:f>IF(Leads!A26="","",Leads!A26)</x:f>
      </x:c>
      <x:c r="B26" s="12" t="str">
        <x:f>IF(Leads!F26="","",Leads!F26)</x:f>
      </x:c>
      <x:c r="C26" s="12" t="str">
        <x:f>IF(Leads!G26="","",Leads!G26)</x:f>
      </x:c>
      <x:c r="D26" s="12" t="str">
        <x:f>IF(Leads!O26="","",Leads!O26)</x:f>
      </x:c>
      <x:c r="E26" s="12" t="str">
        <x:f>IF(Leads!AV26="","",Leads!AV26)</x:f>
      </x:c>
      <x:c r="F26" s="12" t="str">
        <x:f>IF(Leads!AX26="","",Leads!AX26)</x:f>
      </x:c>
      <x:c r="G26" s="12" t="str">
        <x:f>IF(Leads!BC26="","",Leads!BC26)</x:f>
      </x:c>
      <x:c r="H26" s="12" t="str">
        <x:f>IF(Leads!BE26="","",Leads!BE26)</x:f>
      </x:c>
      <x:c r="I26" s="12" t="str">
        <x:f>IF(Leads!BG26="","",Leads!BG26)</x:f>
      </x:c>
      <x:c r="J26" s="12" t="str">
        <x:f>IF(Leads!BH26="","",Leads!BH26)</x:f>
      </x:c>
      <x:c r="K26" s="12" t="str">
        <x:f>IF(A26="","","مرحبًا "&amp;C26&amp;CHAR(10)&amp;CHAR(10)&amp;"شكرًا لإتمام تقييم DBD الخاص بعيادة "&amp;B26&amp;"."&amp;CHAR(10)&amp;"نتيجتكم الحالية: "&amp;E26&amp;"%."&amp;CHAR(10)&amp;"أولوية التحسين الأولى: "&amp;F26&amp;"."&amp;IF(J26&lt;&gt;"",CHAR(10)&amp;CHAR(10)&amp;"رابط التقرير: "&amp;J26,"")&amp;CHAR(10)&amp;CHAR(10)&amp;"إذا أحببت، يمكننا مساعدتك في فهم التقرير وتحديد أفضل خطوة تالية لعيادتكم.")</x:f>
      </x:c>
      <x:c r="L26" s="12" t="str">
        <x:f>IF(D26="","",HYPERLINK("https://wa.me/"&amp;REGEXREPLACE(D26,"[^\d]","")&amp;"?text="&amp;ENCODEURL(K26),"واتساب 1"))</x:f>
      </x:c>
      <x:c r="M26" s="12" t="str">
        <x:f>IF(A26="","","مرحبًا "&amp;C26&amp;CHAR(10)&amp;CHAR(10)&amp;"بناءً على نتيجة تقييم عيادة "&amp;B26&amp;"، فإن الترشيح الأقوى لكم الآن هو: "&amp;G26&amp;"."&amp;CHAR(10)&amp;"هذا الخيار يساعدكم في معالجة أكبر فجوة حالية بشكل عملي ومباشر."&amp;IF(J26&lt;&gt;"",CHAR(10)&amp;CHAR(10)&amp;"رابط التقرير: "&amp;J26,"")&amp;CHAR(10)&amp;CHAR(10)&amp;"إذا رغبت، يمكننا توضيح لماذا هذا الكورس هو الأنسب لكم الآن.")</x:f>
      </x:c>
      <x:c r="N26" s="12" t="str">
        <x:f>IF(D26="","",HYPERLINK("https://wa.me/"&amp;REGEXREPLACE(D26,"[^\d]","")&amp;"?text="&amp;ENCODEURL(M26),"واتساب 2"))</x:f>
      </x:c>
      <x:c r="O26" s="12" t="str">
        <x:f>IF(A26="","","مرحبًا "&amp;C26&amp;CHAR(10)&amp;CHAR(10)&amp;"إذا كانت التحديات لديكم تحتاج حلًا أشمل، فالبرنامج الكامل المناسب لكم هو: "&amp;H26&amp;"."&amp;IF(I26&lt;&gt;"",CHAR(10)&amp;"كما يمكنكم أيضًا حجز: "&amp;I26&amp;".","")&amp;IF(J26&lt;&gt;"",CHAR(10)&amp;CHAR(10)&amp;"رابط التقرير: "&amp;J26,"")&amp;CHAR(10)&amp;CHAR(10)&amp;"يسعدنا مساعدتكم في اختيار المسار الأنسب حسب وضع العيادة الحالي.")</x:f>
      </x:c>
      <x:c r="P26" s="12" t="str">
        <x:f>IF(D26="","",HYPERLINK("https://wa.me/"&amp;REGEXREPLACE(D26,"[^\d]","")&amp;"?text="&amp;ENCODEURL(O26),"واتساب 3"))</x:f>
      </x:c>
    </x:row>
    <x:row r="27" ht="15" hidden="0" customHeight="1">
      <x:c r="A27" s="12" t="str">
        <x:f>IF(Leads!A27="","",Leads!A27)</x:f>
      </x:c>
      <x:c r="B27" s="12" t="str">
        <x:f>IF(Leads!F27="","",Leads!F27)</x:f>
      </x:c>
      <x:c r="C27" s="12" t="str">
        <x:f>IF(Leads!G27="","",Leads!G27)</x:f>
      </x:c>
      <x:c r="D27" s="12" t="str">
        <x:f>IF(Leads!O27="","",Leads!O27)</x:f>
      </x:c>
      <x:c r="E27" s="12" t="str">
        <x:f>IF(Leads!AV27="","",Leads!AV27)</x:f>
      </x:c>
      <x:c r="F27" s="12" t="str">
        <x:f>IF(Leads!AX27="","",Leads!AX27)</x:f>
      </x:c>
      <x:c r="G27" s="12" t="str">
        <x:f>IF(Leads!BC27="","",Leads!BC27)</x:f>
      </x:c>
      <x:c r="H27" s="12" t="str">
        <x:f>IF(Leads!BE27="","",Leads!BE27)</x:f>
      </x:c>
      <x:c r="I27" s="12" t="str">
        <x:f>IF(Leads!BG27="","",Leads!BG27)</x:f>
      </x:c>
      <x:c r="J27" s="12" t="str">
        <x:f>IF(Leads!BH27="","",Leads!BH27)</x:f>
      </x:c>
      <x:c r="K27" s="12" t="str">
        <x:f>IF(A27="","","مرحبًا "&amp;C27&amp;CHAR(10)&amp;CHAR(10)&amp;"شكرًا لإتمام تقييم DBD الخاص بعيادة "&amp;B27&amp;"."&amp;CHAR(10)&amp;"نتيجتكم الحالية: "&amp;E27&amp;"%."&amp;CHAR(10)&amp;"أولوية التحسين الأولى: "&amp;F27&amp;"."&amp;IF(J27&lt;&gt;"",CHAR(10)&amp;CHAR(10)&amp;"رابط التقرير: "&amp;J27,"")&amp;CHAR(10)&amp;CHAR(10)&amp;"إذا أحببت، يمكننا مساعدتك في فهم التقرير وتحديد أفضل خطوة تالية لعيادتكم.")</x:f>
      </x:c>
      <x:c r="L27" s="12" t="str">
        <x:f>IF(D27="","",HYPERLINK("https://wa.me/"&amp;REGEXREPLACE(D27,"[^\d]","")&amp;"?text="&amp;ENCODEURL(K27),"واتساب 1"))</x:f>
      </x:c>
      <x:c r="M27" s="12" t="str">
        <x:f>IF(A27="","","مرحبًا "&amp;C27&amp;CHAR(10)&amp;CHAR(10)&amp;"بناءً على نتيجة تقييم عيادة "&amp;B27&amp;"، فإن الترشيح الأقوى لكم الآن هو: "&amp;G27&amp;"."&amp;CHAR(10)&amp;"هذا الخيار يساعدكم في معالجة أكبر فجوة حالية بشكل عملي ومباشر."&amp;IF(J27&lt;&gt;"",CHAR(10)&amp;CHAR(10)&amp;"رابط التقرير: "&amp;J27,"")&amp;CHAR(10)&amp;CHAR(10)&amp;"إذا رغبت، يمكننا توضيح لماذا هذا الكورس هو الأنسب لكم الآن.")</x:f>
      </x:c>
      <x:c r="N27" s="12" t="str">
        <x:f>IF(D27="","",HYPERLINK("https://wa.me/"&amp;REGEXREPLACE(D27,"[^\d]","")&amp;"?text="&amp;ENCODEURL(M27),"واتساب 2"))</x:f>
      </x:c>
      <x:c r="O27" s="12" t="str">
        <x:f>IF(A27="","","مرحبًا "&amp;C27&amp;CHAR(10)&amp;CHAR(10)&amp;"إذا كانت التحديات لديكم تحتاج حلًا أشمل، فالبرنامج الكامل المناسب لكم هو: "&amp;H27&amp;"."&amp;IF(I27&lt;&gt;"",CHAR(10)&amp;"كما يمكنكم أيضًا حجز: "&amp;I27&amp;".","")&amp;IF(J27&lt;&gt;"",CHAR(10)&amp;CHAR(10)&amp;"رابط التقرير: "&amp;J27,"")&amp;CHAR(10)&amp;CHAR(10)&amp;"يسعدنا مساعدتكم في اختيار المسار الأنسب حسب وضع العيادة الحالي.")</x:f>
      </x:c>
      <x:c r="P27" s="12" t="str">
        <x:f>IF(D27="","",HYPERLINK("https://wa.me/"&amp;REGEXREPLACE(D27,"[^\d]","")&amp;"?text="&amp;ENCODEURL(O27),"واتساب 3"))</x:f>
      </x:c>
    </x:row>
    <x:row r="28" ht="15" hidden="0" customHeight="1">
      <x:c r="A28" s="12" t="str">
        <x:f>IF(Leads!A28="","",Leads!A28)</x:f>
      </x:c>
      <x:c r="B28" s="12" t="str">
        <x:f>IF(Leads!F28="","",Leads!F28)</x:f>
      </x:c>
      <x:c r="C28" s="12" t="str">
        <x:f>IF(Leads!G28="","",Leads!G28)</x:f>
      </x:c>
      <x:c r="D28" s="12" t="str">
        <x:f>IF(Leads!O28="","",Leads!O28)</x:f>
      </x:c>
      <x:c r="E28" s="12" t="str">
        <x:f>IF(Leads!AV28="","",Leads!AV28)</x:f>
      </x:c>
      <x:c r="F28" s="12" t="str">
        <x:f>IF(Leads!AX28="","",Leads!AX28)</x:f>
      </x:c>
      <x:c r="G28" s="12" t="str">
        <x:f>IF(Leads!BC28="","",Leads!BC28)</x:f>
      </x:c>
      <x:c r="H28" s="12" t="str">
        <x:f>IF(Leads!BE28="","",Leads!BE28)</x:f>
      </x:c>
      <x:c r="I28" s="12" t="str">
        <x:f>IF(Leads!BG28="","",Leads!BG28)</x:f>
      </x:c>
      <x:c r="J28" s="12" t="str">
        <x:f>IF(Leads!BH28="","",Leads!BH28)</x:f>
      </x:c>
      <x:c r="K28" s="12" t="str">
        <x:f>IF(A28="","","مرحبًا "&amp;C28&amp;CHAR(10)&amp;CHAR(10)&amp;"شكرًا لإتمام تقييم DBD الخاص بعيادة "&amp;B28&amp;"."&amp;CHAR(10)&amp;"نتيجتكم الحالية: "&amp;E28&amp;"%."&amp;CHAR(10)&amp;"أولوية التحسين الأولى: "&amp;F28&amp;"."&amp;IF(J28&lt;&gt;"",CHAR(10)&amp;CHAR(10)&amp;"رابط التقرير: "&amp;J28,"")&amp;CHAR(10)&amp;CHAR(10)&amp;"إذا أحببت، يمكننا مساعدتك في فهم التقرير وتحديد أفضل خطوة تالية لعيادتكم.")</x:f>
      </x:c>
      <x:c r="L28" s="12" t="str">
        <x:f>IF(D28="","",HYPERLINK("https://wa.me/"&amp;REGEXREPLACE(D28,"[^\d]","")&amp;"?text="&amp;ENCODEURL(K28),"واتساب 1"))</x:f>
      </x:c>
      <x:c r="M28" s="12" t="str">
        <x:f>IF(A28="","","مرحبًا "&amp;C28&amp;CHAR(10)&amp;CHAR(10)&amp;"بناءً على نتيجة تقييم عيادة "&amp;B28&amp;"، فإن الترشيح الأقوى لكم الآن هو: "&amp;G28&amp;"."&amp;CHAR(10)&amp;"هذا الخيار يساعدكم في معالجة أكبر فجوة حالية بشكل عملي ومباشر."&amp;IF(J28&lt;&gt;"",CHAR(10)&amp;CHAR(10)&amp;"رابط التقرير: "&amp;J28,"")&amp;CHAR(10)&amp;CHAR(10)&amp;"إذا رغبت، يمكننا توضيح لماذا هذا الكورس هو الأنسب لكم الآن.")</x:f>
      </x:c>
      <x:c r="N28" s="12" t="str">
        <x:f>IF(D28="","",HYPERLINK("https://wa.me/"&amp;REGEXREPLACE(D28,"[^\d]","")&amp;"?text="&amp;ENCODEURL(M28),"واتساب 2"))</x:f>
      </x:c>
      <x:c r="O28" s="12" t="str">
        <x:f>IF(A28="","","مرحبًا "&amp;C28&amp;CHAR(10)&amp;CHAR(10)&amp;"إذا كانت التحديات لديكم تحتاج حلًا أشمل، فالبرنامج الكامل المناسب لكم هو: "&amp;H28&amp;"."&amp;IF(I28&lt;&gt;"",CHAR(10)&amp;"كما يمكنكم أيضًا حجز: "&amp;I28&amp;".","")&amp;IF(J28&lt;&gt;"",CHAR(10)&amp;CHAR(10)&amp;"رابط التقرير: "&amp;J28,"")&amp;CHAR(10)&amp;CHAR(10)&amp;"يسعدنا مساعدتكم في اختيار المسار الأنسب حسب وضع العيادة الحالي.")</x:f>
      </x:c>
      <x:c r="P28" s="12" t="str">
        <x:f>IF(D28="","",HYPERLINK("https://wa.me/"&amp;REGEXREPLACE(D28,"[^\d]","")&amp;"?text="&amp;ENCODEURL(O28),"واتساب 3"))</x:f>
      </x:c>
    </x:row>
    <x:row r="29" ht="15" hidden="0" customHeight="1">
      <x:c r="A29" s="12" t="str">
        <x:f>IF(Leads!A29="","",Leads!A29)</x:f>
      </x:c>
      <x:c r="B29" s="12" t="str">
        <x:f>IF(Leads!F29="","",Leads!F29)</x:f>
      </x:c>
      <x:c r="C29" s="12" t="str">
        <x:f>IF(Leads!G29="","",Leads!G29)</x:f>
      </x:c>
      <x:c r="D29" s="12" t="str">
        <x:f>IF(Leads!O29="","",Leads!O29)</x:f>
      </x:c>
      <x:c r="E29" s="12" t="str">
        <x:f>IF(Leads!AV29="","",Leads!AV29)</x:f>
      </x:c>
      <x:c r="F29" s="12" t="str">
        <x:f>IF(Leads!AX29="","",Leads!AX29)</x:f>
      </x:c>
      <x:c r="G29" s="12" t="str">
        <x:f>IF(Leads!BC29="","",Leads!BC29)</x:f>
      </x:c>
      <x:c r="H29" s="12" t="str">
        <x:f>IF(Leads!BE29="","",Leads!BE29)</x:f>
      </x:c>
      <x:c r="I29" s="12" t="str">
        <x:f>IF(Leads!BG29="","",Leads!BG29)</x:f>
      </x:c>
      <x:c r="J29" s="12" t="str">
        <x:f>IF(Leads!BH29="","",Leads!BH29)</x:f>
      </x:c>
      <x:c r="K29" s="12" t="str">
        <x:f>IF(A29="","","مرحبًا "&amp;C29&amp;CHAR(10)&amp;CHAR(10)&amp;"شكرًا لإتمام تقييم DBD الخاص بعيادة "&amp;B29&amp;"."&amp;CHAR(10)&amp;"نتيجتكم الحالية: "&amp;E29&amp;"%."&amp;CHAR(10)&amp;"أولوية التحسين الأولى: "&amp;F29&amp;"."&amp;IF(J29&lt;&gt;"",CHAR(10)&amp;CHAR(10)&amp;"رابط التقرير: "&amp;J29,"")&amp;CHAR(10)&amp;CHAR(10)&amp;"إذا أحببت، يمكننا مساعدتك في فهم التقرير وتحديد أفضل خطوة تالية لعيادتكم.")</x:f>
      </x:c>
      <x:c r="L29" s="12" t="str">
        <x:f>IF(D29="","",HYPERLINK("https://wa.me/"&amp;REGEXREPLACE(D29,"[^\d]","")&amp;"?text="&amp;ENCODEURL(K29),"واتساب 1"))</x:f>
      </x:c>
      <x:c r="M29" s="12" t="str">
        <x:f>IF(A29="","","مرحبًا "&amp;C29&amp;CHAR(10)&amp;CHAR(10)&amp;"بناءً على نتيجة تقييم عيادة "&amp;B29&amp;"، فإن الترشيح الأقوى لكم الآن هو: "&amp;G29&amp;"."&amp;CHAR(10)&amp;"هذا الخيار يساعدكم في معالجة أكبر فجوة حالية بشكل عملي ومباشر."&amp;IF(J29&lt;&gt;"",CHAR(10)&amp;CHAR(10)&amp;"رابط التقرير: "&amp;J29,"")&amp;CHAR(10)&amp;CHAR(10)&amp;"إذا رغبت، يمكننا توضيح لماذا هذا الكورس هو الأنسب لكم الآن.")</x:f>
      </x:c>
      <x:c r="N29" s="12" t="str">
        <x:f>IF(D29="","",HYPERLINK("https://wa.me/"&amp;REGEXREPLACE(D29,"[^\d]","")&amp;"?text="&amp;ENCODEURL(M29),"واتساب 2"))</x:f>
      </x:c>
      <x:c r="O29" s="12" t="str">
        <x:f>IF(A29="","","مرحبًا "&amp;C29&amp;CHAR(10)&amp;CHAR(10)&amp;"إذا كانت التحديات لديكم تحتاج حلًا أشمل، فالبرنامج الكامل المناسب لكم هو: "&amp;H29&amp;"."&amp;IF(I29&lt;&gt;"",CHAR(10)&amp;"كما يمكنكم أيضًا حجز: "&amp;I29&amp;".","")&amp;IF(J29&lt;&gt;"",CHAR(10)&amp;CHAR(10)&amp;"رابط التقرير: "&amp;J29,"")&amp;CHAR(10)&amp;CHAR(10)&amp;"يسعدنا مساعدتكم في اختيار المسار الأنسب حسب وضع العيادة الحالي.")</x:f>
      </x:c>
      <x:c r="P29" s="12" t="str">
        <x:f>IF(D29="","",HYPERLINK("https://wa.me/"&amp;REGEXREPLACE(D29,"[^\d]","")&amp;"?text="&amp;ENCODEURL(O29),"واتساب 3"))</x:f>
      </x:c>
    </x:row>
    <x:row r="30" ht="15" hidden="0" customHeight="1">
      <x:c r="A30" s="12" t="str">
        <x:f>IF(Leads!A30="","",Leads!A30)</x:f>
      </x:c>
      <x:c r="B30" s="12" t="str">
        <x:f>IF(Leads!F30="","",Leads!F30)</x:f>
      </x:c>
      <x:c r="C30" s="12" t="str">
        <x:f>IF(Leads!G30="","",Leads!G30)</x:f>
      </x:c>
      <x:c r="D30" s="12" t="str">
        <x:f>IF(Leads!O30="","",Leads!O30)</x:f>
      </x:c>
      <x:c r="E30" s="12" t="str">
        <x:f>IF(Leads!AV30="","",Leads!AV30)</x:f>
      </x:c>
      <x:c r="F30" s="12" t="str">
        <x:f>IF(Leads!AX30="","",Leads!AX30)</x:f>
      </x:c>
      <x:c r="G30" s="12" t="str">
        <x:f>IF(Leads!BC30="","",Leads!BC30)</x:f>
      </x:c>
      <x:c r="H30" s="12" t="str">
        <x:f>IF(Leads!BE30="","",Leads!BE30)</x:f>
      </x:c>
      <x:c r="I30" s="12" t="str">
        <x:f>IF(Leads!BG30="","",Leads!BG30)</x:f>
      </x:c>
      <x:c r="J30" s="12" t="str">
        <x:f>IF(Leads!BH30="","",Leads!BH30)</x:f>
      </x:c>
      <x:c r="K30" s="12" t="str">
        <x:f>IF(A30="","","مرحبًا "&amp;C30&amp;CHAR(10)&amp;CHAR(10)&amp;"شكرًا لإتمام تقييم DBD الخاص بعيادة "&amp;B30&amp;"."&amp;CHAR(10)&amp;"نتيجتكم الحالية: "&amp;E30&amp;"%."&amp;CHAR(10)&amp;"أولوية التحسين الأولى: "&amp;F30&amp;"."&amp;IF(J30&lt;&gt;"",CHAR(10)&amp;CHAR(10)&amp;"رابط التقرير: "&amp;J30,"")&amp;CHAR(10)&amp;CHAR(10)&amp;"إذا أحببت، يمكننا مساعدتك في فهم التقرير وتحديد أفضل خطوة تالية لعيادتكم.")</x:f>
      </x:c>
      <x:c r="L30" s="12" t="str">
        <x:f>IF(D30="","",HYPERLINK("https://wa.me/"&amp;REGEXREPLACE(D30,"[^\d]","")&amp;"?text="&amp;ENCODEURL(K30),"واتساب 1"))</x:f>
      </x:c>
      <x:c r="M30" s="12" t="str">
        <x:f>IF(A30="","","مرحبًا "&amp;C30&amp;CHAR(10)&amp;CHAR(10)&amp;"بناءً على نتيجة تقييم عيادة "&amp;B30&amp;"، فإن الترشيح الأقوى لكم الآن هو: "&amp;G30&amp;"."&amp;CHAR(10)&amp;"هذا الخيار يساعدكم في معالجة أكبر فجوة حالية بشكل عملي ومباشر."&amp;IF(J30&lt;&gt;"",CHAR(10)&amp;CHAR(10)&amp;"رابط التقرير: "&amp;J30,"")&amp;CHAR(10)&amp;CHAR(10)&amp;"إذا رغبت، يمكننا توضيح لماذا هذا الكورس هو الأنسب لكم الآن.")</x:f>
      </x:c>
      <x:c r="N30" s="12" t="str">
        <x:f>IF(D30="","",HYPERLINK("https://wa.me/"&amp;REGEXREPLACE(D30,"[^\d]","")&amp;"?text="&amp;ENCODEURL(M30),"واتساب 2"))</x:f>
      </x:c>
      <x:c r="O30" s="12" t="str">
        <x:f>IF(A30="","","مرحبًا "&amp;C30&amp;CHAR(10)&amp;CHAR(10)&amp;"إذا كانت التحديات لديكم تحتاج حلًا أشمل، فالبرنامج الكامل المناسب لكم هو: "&amp;H30&amp;"."&amp;IF(I30&lt;&gt;"",CHAR(10)&amp;"كما يمكنكم أيضًا حجز: "&amp;I30&amp;".","")&amp;IF(J30&lt;&gt;"",CHAR(10)&amp;CHAR(10)&amp;"رابط التقرير: "&amp;J30,"")&amp;CHAR(10)&amp;CHAR(10)&amp;"يسعدنا مساعدتكم في اختيار المسار الأنسب حسب وضع العيادة الحالي.")</x:f>
      </x:c>
      <x:c r="P30" s="12" t="str">
        <x:f>IF(D30="","",HYPERLINK("https://wa.me/"&amp;REGEXREPLACE(D30,"[^\d]","")&amp;"?text="&amp;ENCODEURL(O30),"واتساب 3"))</x:f>
      </x:c>
    </x:row>
    <x:row r="31" ht="15" hidden="0" customHeight="1">
      <x:c r="A31" s="12" t="str">
        <x:f>IF(Leads!A31="","",Leads!A31)</x:f>
      </x:c>
      <x:c r="B31" s="12" t="str">
        <x:f>IF(Leads!F31="","",Leads!F31)</x:f>
      </x:c>
      <x:c r="C31" s="12" t="str">
        <x:f>IF(Leads!G31="","",Leads!G31)</x:f>
      </x:c>
      <x:c r="D31" s="12" t="str">
        <x:f>IF(Leads!O31="","",Leads!O31)</x:f>
      </x:c>
      <x:c r="E31" s="12" t="str">
        <x:f>IF(Leads!AV31="","",Leads!AV31)</x:f>
      </x:c>
      <x:c r="F31" s="12" t="str">
        <x:f>IF(Leads!AX31="","",Leads!AX31)</x:f>
      </x:c>
      <x:c r="G31" s="12" t="str">
        <x:f>IF(Leads!BC31="","",Leads!BC31)</x:f>
      </x:c>
      <x:c r="H31" s="12" t="str">
        <x:f>IF(Leads!BE31="","",Leads!BE31)</x:f>
      </x:c>
      <x:c r="I31" s="12" t="str">
        <x:f>IF(Leads!BG31="","",Leads!BG31)</x:f>
      </x:c>
      <x:c r="J31" s="12" t="str">
        <x:f>IF(Leads!BH31="","",Leads!BH31)</x:f>
      </x:c>
      <x:c r="K31" s="12" t="str">
        <x:f>IF(A31="","","مرحبًا "&amp;C31&amp;CHAR(10)&amp;CHAR(10)&amp;"شكرًا لإتمام تقييم DBD الخاص بعيادة "&amp;B31&amp;"."&amp;CHAR(10)&amp;"نتيجتكم الحالية: "&amp;E31&amp;"%."&amp;CHAR(10)&amp;"أولوية التحسين الأولى: "&amp;F31&amp;"."&amp;IF(J31&lt;&gt;"",CHAR(10)&amp;CHAR(10)&amp;"رابط التقرير: "&amp;J31,"")&amp;CHAR(10)&amp;CHAR(10)&amp;"إذا أحببت، يمكننا مساعدتك في فهم التقرير وتحديد أفضل خطوة تالية لعيادتكم.")</x:f>
      </x:c>
      <x:c r="L31" s="12" t="str">
        <x:f>IF(D31="","",HYPERLINK("https://wa.me/"&amp;REGEXREPLACE(D31,"[^\d]","")&amp;"?text="&amp;ENCODEURL(K31),"واتساب 1"))</x:f>
      </x:c>
      <x:c r="M31" s="12" t="str">
        <x:f>IF(A31="","","مرحبًا "&amp;C31&amp;CHAR(10)&amp;CHAR(10)&amp;"بناءً على نتيجة تقييم عيادة "&amp;B31&amp;"، فإن الترشيح الأقوى لكم الآن هو: "&amp;G31&amp;"."&amp;CHAR(10)&amp;"هذا الخيار يساعدكم في معالجة أكبر فجوة حالية بشكل عملي ومباشر."&amp;IF(J31&lt;&gt;"",CHAR(10)&amp;CHAR(10)&amp;"رابط التقرير: "&amp;J31,"")&amp;CHAR(10)&amp;CHAR(10)&amp;"إذا رغبت، يمكننا توضيح لماذا هذا الكورس هو الأنسب لكم الآن.")</x:f>
      </x:c>
      <x:c r="N31" s="12" t="str">
        <x:f>IF(D31="","",HYPERLINK("https://wa.me/"&amp;REGEXREPLACE(D31,"[^\d]","")&amp;"?text="&amp;ENCODEURL(M31),"واتساب 2"))</x:f>
      </x:c>
      <x:c r="O31" s="12" t="str">
        <x:f>IF(A31="","","مرحبًا "&amp;C31&amp;CHAR(10)&amp;CHAR(10)&amp;"إذا كانت التحديات لديكم تحتاج حلًا أشمل، فالبرنامج الكامل المناسب لكم هو: "&amp;H31&amp;"."&amp;IF(I31&lt;&gt;"",CHAR(10)&amp;"كما يمكنكم أيضًا حجز: "&amp;I31&amp;".","")&amp;IF(J31&lt;&gt;"",CHAR(10)&amp;CHAR(10)&amp;"رابط التقرير: "&amp;J31,"")&amp;CHAR(10)&amp;CHAR(10)&amp;"يسعدنا مساعدتكم في اختيار المسار الأنسب حسب وضع العيادة الحالي.")</x:f>
      </x:c>
      <x:c r="P31" s="12" t="str">
        <x:f>IF(D31="","",HYPERLINK("https://wa.me/"&amp;REGEXREPLACE(D31,"[^\d]","")&amp;"?text="&amp;ENCODEURL(O31),"واتساب 3"))</x:f>
      </x:c>
    </x:row>
    <x:row r="32" ht="15" hidden="0" customHeight="1">
      <x:c r="A32" s="12" t="str">
        <x:f>IF(Leads!A32="","",Leads!A32)</x:f>
      </x:c>
      <x:c r="B32" s="12" t="str">
        <x:f>IF(Leads!F32="","",Leads!F32)</x:f>
      </x:c>
      <x:c r="C32" s="12" t="str">
        <x:f>IF(Leads!G32="","",Leads!G32)</x:f>
      </x:c>
      <x:c r="D32" s="12" t="str">
        <x:f>IF(Leads!O32="","",Leads!O32)</x:f>
      </x:c>
      <x:c r="E32" s="12" t="str">
        <x:f>IF(Leads!AV32="","",Leads!AV32)</x:f>
      </x:c>
      <x:c r="F32" s="12" t="str">
        <x:f>IF(Leads!AX32="","",Leads!AX32)</x:f>
      </x:c>
      <x:c r="G32" s="12" t="str">
        <x:f>IF(Leads!BC32="","",Leads!BC32)</x:f>
      </x:c>
      <x:c r="H32" s="12" t="str">
        <x:f>IF(Leads!BE32="","",Leads!BE32)</x:f>
      </x:c>
      <x:c r="I32" s="12" t="str">
        <x:f>IF(Leads!BG32="","",Leads!BG32)</x:f>
      </x:c>
      <x:c r="J32" s="12" t="str">
        <x:f>IF(Leads!BH32="","",Leads!BH32)</x:f>
      </x:c>
      <x:c r="K32" s="12" t="str">
        <x:f>IF(A32="","","مرحبًا "&amp;C32&amp;CHAR(10)&amp;CHAR(10)&amp;"شكرًا لإتمام تقييم DBD الخاص بعيادة "&amp;B32&amp;"."&amp;CHAR(10)&amp;"نتيجتكم الحالية: "&amp;E32&amp;"%."&amp;CHAR(10)&amp;"أولوية التحسين الأولى: "&amp;F32&amp;"."&amp;IF(J32&lt;&gt;"",CHAR(10)&amp;CHAR(10)&amp;"رابط التقرير: "&amp;J32,"")&amp;CHAR(10)&amp;CHAR(10)&amp;"إذا أحببت، يمكننا مساعدتك في فهم التقرير وتحديد أفضل خطوة تالية لعيادتكم.")</x:f>
      </x:c>
      <x:c r="L32" s="12" t="str">
        <x:f>IF(D32="","",HYPERLINK("https://wa.me/"&amp;REGEXREPLACE(D32,"[^\d]","")&amp;"?text="&amp;ENCODEURL(K32),"واتساب 1"))</x:f>
      </x:c>
      <x:c r="M32" s="12" t="str">
        <x:f>IF(A32="","","مرحبًا "&amp;C32&amp;CHAR(10)&amp;CHAR(10)&amp;"بناءً على نتيجة تقييم عيادة "&amp;B32&amp;"، فإن الترشيح الأقوى لكم الآن هو: "&amp;G32&amp;"."&amp;CHAR(10)&amp;"هذا الخيار يساعدكم في معالجة أكبر فجوة حالية بشكل عملي ومباشر."&amp;IF(J32&lt;&gt;"",CHAR(10)&amp;CHAR(10)&amp;"رابط التقرير: "&amp;J32,"")&amp;CHAR(10)&amp;CHAR(10)&amp;"إذا رغبت، يمكننا توضيح لماذا هذا الكورس هو الأنسب لكم الآن.")</x:f>
      </x:c>
      <x:c r="N32" s="12" t="str">
        <x:f>IF(D32="","",HYPERLINK("https://wa.me/"&amp;REGEXREPLACE(D32,"[^\d]","")&amp;"?text="&amp;ENCODEURL(M32),"واتساب 2"))</x:f>
      </x:c>
      <x:c r="O32" s="12" t="str">
        <x:f>IF(A32="","","مرحبًا "&amp;C32&amp;CHAR(10)&amp;CHAR(10)&amp;"إذا كانت التحديات لديكم تحتاج حلًا أشمل، فالبرنامج الكامل المناسب لكم هو: "&amp;H32&amp;"."&amp;IF(I32&lt;&gt;"",CHAR(10)&amp;"كما يمكنكم أيضًا حجز: "&amp;I32&amp;".","")&amp;IF(J32&lt;&gt;"",CHAR(10)&amp;CHAR(10)&amp;"رابط التقرير: "&amp;J32,"")&amp;CHAR(10)&amp;CHAR(10)&amp;"يسعدنا مساعدتكم في اختيار المسار الأنسب حسب وضع العيادة الحالي.")</x:f>
      </x:c>
      <x:c r="P32" s="12" t="str">
        <x:f>IF(D32="","",HYPERLINK("https://wa.me/"&amp;REGEXREPLACE(D32,"[^\d]","")&amp;"?text="&amp;ENCODEURL(O32),"واتساب 3"))</x:f>
      </x:c>
    </x:row>
    <x:row r="33" ht="15" hidden="0" customHeight="1">
      <x:c r="A33" s="12" t="str">
        <x:f>IF(Leads!A33="","",Leads!A33)</x:f>
      </x:c>
      <x:c r="B33" s="12" t="str">
        <x:f>IF(Leads!F33="","",Leads!F33)</x:f>
      </x:c>
      <x:c r="C33" s="12" t="str">
        <x:f>IF(Leads!G33="","",Leads!G33)</x:f>
      </x:c>
      <x:c r="D33" s="12" t="str">
        <x:f>IF(Leads!O33="","",Leads!O33)</x:f>
      </x:c>
      <x:c r="E33" s="12" t="str">
        <x:f>IF(Leads!AV33="","",Leads!AV33)</x:f>
      </x:c>
      <x:c r="F33" s="12" t="str">
        <x:f>IF(Leads!AX33="","",Leads!AX33)</x:f>
      </x:c>
      <x:c r="G33" s="12" t="str">
        <x:f>IF(Leads!BC33="","",Leads!BC33)</x:f>
      </x:c>
      <x:c r="H33" s="12" t="str">
        <x:f>IF(Leads!BE33="","",Leads!BE33)</x:f>
      </x:c>
      <x:c r="I33" s="12" t="str">
        <x:f>IF(Leads!BG33="","",Leads!BG33)</x:f>
      </x:c>
      <x:c r="J33" s="12" t="str">
        <x:f>IF(Leads!BH33="","",Leads!BH33)</x:f>
      </x:c>
      <x:c r="K33" s="12" t="str">
        <x:f>IF(A33="","","مرحبًا "&amp;C33&amp;CHAR(10)&amp;CHAR(10)&amp;"شكرًا لإتمام تقييم DBD الخاص بعيادة "&amp;B33&amp;"."&amp;CHAR(10)&amp;"نتيجتكم الحالية: "&amp;E33&amp;"%."&amp;CHAR(10)&amp;"أولوية التحسين الأولى: "&amp;F33&amp;"."&amp;IF(J33&lt;&gt;"",CHAR(10)&amp;CHAR(10)&amp;"رابط التقرير: "&amp;J33,"")&amp;CHAR(10)&amp;CHAR(10)&amp;"إذا أحببت، يمكننا مساعدتك في فهم التقرير وتحديد أفضل خطوة تالية لعيادتكم.")</x:f>
      </x:c>
      <x:c r="L33" s="12" t="str">
        <x:f>IF(D33="","",HYPERLINK("https://wa.me/"&amp;REGEXREPLACE(D33,"[^\d]","")&amp;"?text="&amp;ENCODEURL(K33),"واتساب 1"))</x:f>
      </x:c>
      <x:c r="M33" s="12" t="str">
        <x:f>IF(A33="","","مرحبًا "&amp;C33&amp;CHAR(10)&amp;CHAR(10)&amp;"بناءً على نتيجة تقييم عيادة "&amp;B33&amp;"، فإن الترشيح الأقوى لكم الآن هو: "&amp;G33&amp;"."&amp;CHAR(10)&amp;"هذا الخيار يساعدكم في معالجة أكبر فجوة حالية بشكل عملي ومباشر."&amp;IF(J33&lt;&gt;"",CHAR(10)&amp;CHAR(10)&amp;"رابط التقرير: "&amp;J33,"")&amp;CHAR(10)&amp;CHAR(10)&amp;"إذا رغبت، يمكننا توضيح لماذا هذا الكورس هو الأنسب لكم الآن.")</x:f>
      </x:c>
      <x:c r="N33" s="12" t="str">
        <x:f>IF(D33="","",HYPERLINK("https://wa.me/"&amp;REGEXREPLACE(D33,"[^\d]","")&amp;"?text="&amp;ENCODEURL(M33),"واتساب 2"))</x:f>
      </x:c>
      <x:c r="O33" s="12" t="str">
        <x:f>IF(A33="","","مرحبًا "&amp;C33&amp;CHAR(10)&amp;CHAR(10)&amp;"إذا كانت التحديات لديكم تحتاج حلًا أشمل، فالبرنامج الكامل المناسب لكم هو: "&amp;H33&amp;"."&amp;IF(I33&lt;&gt;"",CHAR(10)&amp;"كما يمكنكم أيضًا حجز: "&amp;I33&amp;".","")&amp;IF(J33&lt;&gt;"",CHAR(10)&amp;CHAR(10)&amp;"رابط التقرير: "&amp;J33,"")&amp;CHAR(10)&amp;CHAR(10)&amp;"يسعدنا مساعدتكم في اختيار المسار الأنسب حسب وضع العيادة الحالي.")</x:f>
      </x:c>
      <x:c r="P33" s="12" t="str">
        <x:f>IF(D33="","",HYPERLINK("https://wa.me/"&amp;REGEXREPLACE(D33,"[^\d]","")&amp;"?text="&amp;ENCODEURL(O33),"واتساب 3"))</x:f>
      </x:c>
    </x:row>
    <x:row r="34" ht="15" hidden="0" customHeight="1">
      <x:c r="A34" s="12" t="str">
        <x:f>IF(Leads!A34="","",Leads!A34)</x:f>
      </x:c>
      <x:c r="B34" s="12" t="str">
        <x:f>IF(Leads!F34="","",Leads!F34)</x:f>
      </x:c>
      <x:c r="C34" s="12" t="str">
        <x:f>IF(Leads!G34="","",Leads!G34)</x:f>
      </x:c>
      <x:c r="D34" s="12" t="str">
        <x:f>IF(Leads!O34="","",Leads!O34)</x:f>
      </x:c>
      <x:c r="E34" s="12" t="str">
        <x:f>IF(Leads!AV34="","",Leads!AV34)</x:f>
      </x:c>
      <x:c r="F34" s="12" t="str">
        <x:f>IF(Leads!AX34="","",Leads!AX34)</x:f>
      </x:c>
      <x:c r="G34" s="12" t="str">
        <x:f>IF(Leads!BC34="","",Leads!BC34)</x:f>
      </x:c>
      <x:c r="H34" s="12" t="str">
        <x:f>IF(Leads!BE34="","",Leads!BE34)</x:f>
      </x:c>
      <x:c r="I34" s="12" t="str">
        <x:f>IF(Leads!BG34="","",Leads!BG34)</x:f>
      </x:c>
      <x:c r="J34" s="12" t="str">
        <x:f>IF(Leads!BH34="","",Leads!BH34)</x:f>
      </x:c>
      <x:c r="K34" s="12" t="str">
        <x:f>IF(A34="","","مرحبًا "&amp;C34&amp;CHAR(10)&amp;CHAR(10)&amp;"شكرًا لإتمام تقييم DBD الخاص بعيادة "&amp;B34&amp;"."&amp;CHAR(10)&amp;"نتيجتكم الحالية: "&amp;E34&amp;"%."&amp;CHAR(10)&amp;"أولوية التحسين الأولى: "&amp;F34&amp;"."&amp;IF(J34&lt;&gt;"",CHAR(10)&amp;CHAR(10)&amp;"رابط التقرير: "&amp;J34,"")&amp;CHAR(10)&amp;CHAR(10)&amp;"إذا أحببت، يمكننا مساعدتك في فهم التقرير وتحديد أفضل خطوة تالية لعيادتكم.")</x:f>
      </x:c>
      <x:c r="L34" s="12" t="str">
        <x:f>IF(D34="","",HYPERLINK("https://wa.me/"&amp;REGEXREPLACE(D34,"[^\d]","")&amp;"?text="&amp;ENCODEURL(K34),"واتساب 1"))</x:f>
      </x:c>
      <x:c r="M34" s="12" t="str">
        <x:f>IF(A34="","","مرحبًا "&amp;C34&amp;CHAR(10)&amp;CHAR(10)&amp;"بناءً على نتيجة تقييم عيادة "&amp;B34&amp;"، فإن الترشيح الأقوى لكم الآن هو: "&amp;G34&amp;"."&amp;CHAR(10)&amp;"هذا الخيار يساعدكم في معالجة أكبر فجوة حالية بشكل عملي ومباشر."&amp;IF(J34&lt;&gt;"",CHAR(10)&amp;CHAR(10)&amp;"رابط التقرير: "&amp;J34,"")&amp;CHAR(10)&amp;CHAR(10)&amp;"إذا رغبت، يمكننا توضيح لماذا هذا الكورس هو الأنسب لكم الآن.")</x:f>
      </x:c>
      <x:c r="N34" s="12" t="str">
        <x:f>IF(D34="","",HYPERLINK("https://wa.me/"&amp;REGEXREPLACE(D34,"[^\d]","")&amp;"?text="&amp;ENCODEURL(M34),"واتساب 2"))</x:f>
      </x:c>
      <x:c r="O34" s="12" t="str">
        <x:f>IF(A34="","","مرحبًا "&amp;C34&amp;CHAR(10)&amp;CHAR(10)&amp;"إذا كانت التحديات لديكم تحتاج حلًا أشمل، فالبرنامج الكامل المناسب لكم هو: "&amp;H34&amp;"."&amp;IF(I34&lt;&gt;"",CHAR(10)&amp;"كما يمكنكم أيضًا حجز: "&amp;I34&amp;".","")&amp;IF(J34&lt;&gt;"",CHAR(10)&amp;CHAR(10)&amp;"رابط التقرير: "&amp;J34,"")&amp;CHAR(10)&amp;CHAR(10)&amp;"يسعدنا مساعدتكم في اختيار المسار الأنسب حسب وضع العيادة الحالي.")</x:f>
      </x:c>
      <x:c r="P34" s="12" t="str">
        <x:f>IF(D34="","",HYPERLINK("https://wa.me/"&amp;REGEXREPLACE(D34,"[^\d]","")&amp;"?text="&amp;ENCODEURL(O34),"واتساب 3"))</x:f>
      </x:c>
    </x:row>
    <x:row r="35" ht="15" hidden="0" customHeight="1">
      <x:c r="A35" s="12" t="str">
        <x:f>IF(Leads!A35="","",Leads!A35)</x:f>
      </x:c>
      <x:c r="B35" s="12" t="str">
        <x:f>IF(Leads!F35="","",Leads!F35)</x:f>
      </x:c>
      <x:c r="C35" s="12" t="str">
        <x:f>IF(Leads!G35="","",Leads!G35)</x:f>
      </x:c>
      <x:c r="D35" s="12" t="str">
        <x:f>IF(Leads!O35="","",Leads!O35)</x:f>
      </x:c>
      <x:c r="E35" s="12" t="str">
        <x:f>IF(Leads!AV35="","",Leads!AV35)</x:f>
      </x:c>
      <x:c r="F35" s="12" t="str">
        <x:f>IF(Leads!AX35="","",Leads!AX35)</x:f>
      </x:c>
      <x:c r="G35" s="12" t="str">
        <x:f>IF(Leads!BC35="","",Leads!BC35)</x:f>
      </x:c>
      <x:c r="H35" s="12" t="str">
        <x:f>IF(Leads!BE35="","",Leads!BE35)</x:f>
      </x:c>
      <x:c r="I35" s="12" t="str">
        <x:f>IF(Leads!BG35="","",Leads!BG35)</x:f>
      </x:c>
      <x:c r="J35" s="12" t="str">
        <x:f>IF(Leads!BH35="","",Leads!BH35)</x:f>
      </x:c>
      <x:c r="K35" s="12" t="str">
        <x:f>IF(A35="","","مرحبًا "&amp;C35&amp;CHAR(10)&amp;CHAR(10)&amp;"شكرًا لإتمام تقييم DBD الخاص بعيادة "&amp;B35&amp;"."&amp;CHAR(10)&amp;"نتيجتكم الحالية: "&amp;E35&amp;"%."&amp;CHAR(10)&amp;"أولوية التحسين الأولى: "&amp;F35&amp;"."&amp;IF(J35&lt;&gt;"",CHAR(10)&amp;CHAR(10)&amp;"رابط التقرير: "&amp;J35,"")&amp;CHAR(10)&amp;CHAR(10)&amp;"إذا أحببت، يمكننا مساعدتك في فهم التقرير وتحديد أفضل خطوة تالية لعيادتكم.")</x:f>
      </x:c>
      <x:c r="L35" s="12" t="str">
        <x:f>IF(D35="","",HYPERLINK("https://wa.me/"&amp;REGEXREPLACE(D35,"[^\d]","")&amp;"?text="&amp;ENCODEURL(K35),"واتساب 1"))</x:f>
      </x:c>
      <x:c r="M35" s="12" t="str">
        <x:f>IF(A35="","","مرحبًا "&amp;C35&amp;CHAR(10)&amp;CHAR(10)&amp;"بناءً على نتيجة تقييم عيادة "&amp;B35&amp;"، فإن الترشيح الأقوى لكم الآن هو: "&amp;G35&amp;"."&amp;CHAR(10)&amp;"هذا الخيار يساعدكم في معالجة أكبر فجوة حالية بشكل عملي ومباشر."&amp;IF(J35&lt;&gt;"",CHAR(10)&amp;CHAR(10)&amp;"رابط التقرير: "&amp;J35,"")&amp;CHAR(10)&amp;CHAR(10)&amp;"إذا رغبت، يمكننا توضيح لماذا هذا الكورس هو الأنسب لكم الآن.")</x:f>
      </x:c>
      <x:c r="N35" s="12" t="str">
        <x:f>IF(D35="","",HYPERLINK("https://wa.me/"&amp;REGEXREPLACE(D35,"[^\d]","")&amp;"?text="&amp;ENCODEURL(M35),"واتساب 2"))</x:f>
      </x:c>
      <x:c r="O35" s="12" t="str">
        <x:f>IF(A35="","","مرحبًا "&amp;C35&amp;CHAR(10)&amp;CHAR(10)&amp;"إذا كانت التحديات لديكم تحتاج حلًا أشمل، فالبرنامج الكامل المناسب لكم هو: "&amp;H35&amp;"."&amp;IF(I35&lt;&gt;"",CHAR(10)&amp;"كما يمكنكم أيضًا حجز: "&amp;I35&amp;".","")&amp;IF(J35&lt;&gt;"",CHAR(10)&amp;CHAR(10)&amp;"رابط التقرير: "&amp;J35,"")&amp;CHAR(10)&amp;CHAR(10)&amp;"يسعدنا مساعدتكم في اختيار المسار الأنسب حسب وضع العيادة الحالي.")</x:f>
      </x:c>
      <x:c r="P35" s="12" t="str">
        <x:f>IF(D35="","",HYPERLINK("https://wa.me/"&amp;REGEXREPLACE(D35,"[^\d]","")&amp;"?text="&amp;ENCODEURL(O35),"واتساب 3"))</x:f>
      </x:c>
    </x:row>
    <x:row r="36" ht="15" hidden="0" customHeight="1">
      <x:c r="A36" s="12" t="str">
        <x:f>IF(Leads!A36="","",Leads!A36)</x:f>
      </x:c>
      <x:c r="B36" s="12" t="str">
        <x:f>IF(Leads!F36="","",Leads!F36)</x:f>
      </x:c>
      <x:c r="C36" s="12" t="str">
        <x:f>IF(Leads!G36="","",Leads!G36)</x:f>
      </x:c>
      <x:c r="D36" s="12" t="str">
        <x:f>IF(Leads!O36="","",Leads!O36)</x:f>
      </x:c>
      <x:c r="E36" s="12" t="str">
        <x:f>IF(Leads!AV36="","",Leads!AV36)</x:f>
      </x:c>
      <x:c r="F36" s="12" t="str">
        <x:f>IF(Leads!AX36="","",Leads!AX36)</x:f>
      </x:c>
      <x:c r="G36" s="12" t="str">
        <x:f>IF(Leads!BC36="","",Leads!BC36)</x:f>
      </x:c>
      <x:c r="H36" s="12" t="str">
        <x:f>IF(Leads!BE36="","",Leads!BE36)</x:f>
      </x:c>
      <x:c r="I36" s="12" t="str">
        <x:f>IF(Leads!BG36="","",Leads!BG36)</x:f>
      </x:c>
      <x:c r="J36" s="12" t="str">
        <x:f>IF(Leads!BH36="","",Leads!BH36)</x:f>
      </x:c>
      <x:c r="K36" s="12" t="str">
        <x:f>IF(A36="","","مرحبًا "&amp;C36&amp;CHAR(10)&amp;CHAR(10)&amp;"شكرًا لإتمام تقييم DBD الخاص بعيادة "&amp;B36&amp;"."&amp;CHAR(10)&amp;"نتيجتكم الحالية: "&amp;E36&amp;"%."&amp;CHAR(10)&amp;"أولوية التحسين الأولى: "&amp;F36&amp;"."&amp;IF(J36&lt;&gt;"",CHAR(10)&amp;CHAR(10)&amp;"رابط التقرير: "&amp;J36,"")&amp;CHAR(10)&amp;CHAR(10)&amp;"إذا أحببت، يمكننا مساعدتك في فهم التقرير وتحديد أفضل خطوة تالية لعيادتكم.")</x:f>
      </x:c>
      <x:c r="L36" s="12" t="str">
        <x:f>IF(D36="","",HYPERLINK("https://wa.me/"&amp;REGEXREPLACE(D36,"[^\d]","")&amp;"?text="&amp;ENCODEURL(K36),"واتساب 1"))</x:f>
      </x:c>
      <x:c r="M36" s="12" t="str">
        <x:f>IF(A36="","","مرحبًا "&amp;C36&amp;CHAR(10)&amp;CHAR(10)&amp;"بناءً على نتيجة تقييم عيادة "&amp;B36&amp;"، فإن الترشيح الأقوى لكم الآن هو: "&amp;G36&amp;"."&amp;CHAR(10)&amp;"هذا الخيار يساعدكم في معالجة أكبر فجوة حالية بشكل عملي ومباشر."&amp;IF(J36&lt;&gt;"",CHAR(10)&amp;CHAR(10)&amp;"رابط التقرير: "&amp;J36,"")&amp;CHAR(10)&amp;CHAR(10)&amp;"إذا رغبت، يمكننا توضيح لماذا هذا الكورس هو الأنسب لكم الآن.")</x:f>
      </x:c>
      <x:c r="N36" s="12" t="str">
        <x:f>IF(D36="","",HYPERLINK("https://wa.me/"&amp;REGEXREPLACE(D36,"[^\d]","")&amp;"?text="&amp;ENCODEURL(M36),"واتساب 2"))</x:f>
      </x:c>
      <x:c r="O36" s="12" t="str">
        <x:f>IF(A36="","","مرحبًا "&amp;C36&amp;CHAR(10)&amp;CHAR(10)&amp;"إذا كانت التحديات لديكم تحتاج حلًا أشمل، فالبرنامج الكامل المناسب لكم هو: "&amp;H36&amp;"."&amp;IF(I36&lt;&gt;"",CHAR(10)&amp;"كما يمكنكم أيضًا حجز: "&amp;I36&amp;".","")&amp;IF(J36&lt;&gt;"",CHAR(10)&amp;CHAR(10)&amp;"رابط التقرير: "&amp;J36,"")&amp;CHAR(10)&amp;CHAR(10)&amp;"يسعدنا مساعدتكم في اختيار المسار الأنسب حسب وضع العيادة الحالي.")</x:f>
      </x:c>
      <x:c r="P36" s="12" t="str">
        <x:f>IF(D36="","",HYPERLINK("https://wa.me/"&amp;REGEXREPLACE(D36,"[^\d]","")&amp;"?text="&amp;ENCODEURL(O36),"واتساب 3"))</x:f>
      </x:c>
    </x:row>
    <x:row r="37" ht="15" hidden="0" customHeight="1">
      <x:c r="A37" s="12" t="str">
        <x:f>IF(Leads!A37="","",Leads!A37)</x:f>
      </x:c>
      <x:c r="B37" s="12" t="str">
        <x:f>IF(Leads!F37="","",Leads!F37)</x:f>
      </x:c>
      <x:c r="C37" s="12" t="str">
        <x:f>IF(Leads!G37="","",Leads!G37)</x:f>
      </x:c>
      <x:c r="D37" s="12" t="str">
        <x:f>IF(Leads!O37="","",Leads!O37)</x:f>
      </x:c>
      <x:c r="E37" s="12" t="str">
        <x:f>IF(Leads!AV37="","",Leads!AV37)</x:f>
      </x:c>
      <x:c r="F37" s="12" t="str">
        <x:f>IF(Leads!AX37="","",Leads!AX37)</x:f>
      </x:c>
      <x:c r="G37" s="12" t="str">
        <x:f>IF(Leads!BC37="","",Leads!BC37)</x:f>
      </x:c>
      <x:c r="H37" s="12" t="str">
        <x:f>IF(Leads!BE37="","",Leads!BE37)</x:f>
      </x:c>
      <x:c r="I37" s="12" t="str">
        <x:f>IF(Leads!BG37="","",Leads!BG37)</x:f>
      </x:c>
      <x:c r="J37" s="12" t="str">
        <x:f>IF(Leads!BH37="","",Leads!BH37)</x:f>
      </x:c>
      <x:c r="K37" s="12" t="str">
        <x:f>IF(A37="","","مرحبًا "&amp;C37&amp;CHAR(10)&amp;CHAR(10)&amp;"شكرًا لإتمام تقييم DBD الخاص بعيادة "&amp;B37&amp;"."&amp;CHAR(10)&amp;"نتيجتكم الحالية: "&amp;E37&amp;"%."&amp;CHAR(10)&amp;"أولوية التحسين الأولى: "&amp;F37&amp;"."&amp;IF(J37&lt;&gt;"",CHAR(10)&amp;CHAR(10)&amp;"رابط التقرير: "&amp;J37,"")&amp;CHAR(10)&amp;CHAR(10)&amp;"إذا أحببت، يمكننا مساعدتك في فهم التقرير وتحديد أفضل خطوة تالية لعيادتكم.")</x:f>
      </x:c>
      <x:c r="L37" s="12" t="str">
        <x:f>IF(D37="","",HYPERLINK("https://wa.me/"&amp;REGEXREPLACE(D37,"[^\d]","")&amp;"?text="&amp;ENCODEURL(K37),"واتساب 1"))</x:f>
      </x:c>
      <x:c r="M37" s="12" t="str">
        <x:f>IF(A37="","","مرحبًا "&amp;C37&amp;CHAR(10)&amp;CHAR(10)&amp;"بناءً على نتيجة تقييم عيادة "&amp;B37&amp;"، فإن الترشيح الأقوى لكم الآن هو: "&amp;G37&amp;"."&amp;CHAR(10)&amp;"هذا الخيار يساعدكم في معالجة أكبر فجوة حالية بشكل عملي ومباشر."&amp;IF(J37&lt;&gt;"",CHAR(10)&amp;CHAR(10)&amp;"رابط التقرير: "&amp;J37,"")&amp;CHAR(10)&amp;CHAR(10)&amp;"إذا رغبت، يمكننا توضيح لماذا هذا الكورس هو الأنسب لكم الآن.")</x:f>
      </x:c>
      <x:c r="N37" s="12" t="str">
        <x:f>IF(D37="","",HYPERLINK("https://wa.me/"&amp;REGEXREPLACE(D37,"[^\d]","")&amp;"?text="&amp;ENCODEURL(M37),"واتساب 2"))</x:f>
      </x:c>
      <x:c r="O37" s="12" t="str">
        <x:f>IF(A37="","","مرحبًا "&amp;C37&amp;CHAR(10)&amp;CHAR(10)&amp;"إذا كانت التحديات لديكم تحتاج حلًا أشمل، فالبرنامج الكامل المناسب لكم هو: "&amp;H37&amp;"."&amp;IF(I37&lt;&gt;"",CHAR(10)&amp;"كما يمكنكم أيضًا حجز: "&amp;I37&amp;".","")&amp;IF(J37&lt;&gt;"",CHAR(10)&amp;CHAR(10)&amp;"رابط التقرير: "&amp;J37,"")&amp;CHAR(10)&amp;CHAR(10)&amp;"يسعدنا مساعدتكم في اختيار المسار الأنسب حسب وضع العيادة الحالي.")</x:f>
      </x:c>
      <x:c r="P37" s="12" t="str">
        <x:f>IF(D37="","",HYPERLINK("https://wa.me/"&amp;REGEXREPLACE(D37,"[^\d]","")&amp;"?text="&amp;ENCODEURL(O37),"واتساب 3"))</x:f>
      </x:c>
    </x:row>
    <x:row r="38" ht="15" hidden="0" customHeight="1">
      <x:c r="A38" s="12" t="str">
        <x:f>IF(Leads!A38="","",Leads!A38)</x:f>
      </x:c>
      <x:c r="B38" s="12" t="str">
        <x:f>IF(Leads!F38="","",Leads!F38)</x:f>
      </x:c>
      <x:c r="C38" s="12" t="str">
        <x:f>IF(Leads!G38="","",Leads!G38)</x:f>
      </x:c>
      <x:c r="D38" s="12" t="str">
        <x:f>IF(Leads!O38="","",Leads!O38)</x:f>
      </x:c>
      <x:c r="E38" s="12" t="str">
        <x:f>IF(Leads!AV38="","",Leads!AV38)</x:f>
      </x:c>
      <x:c r="F38" s="12" t="str">
        <x:f>IF(Leads!AX38="","",Leads!AX38)</x:f>
      </x:c>
      <x:c r="G38" s="12" t="str">
        <x:f>IF(Leads!BC38="","",Leads!BC38)</x:f>
      </x:c>
      <x:c r="H38" s="12" t="str">
        <x:f>IF(Leads!BE38="","",Leads!BE38)</x:f>
      </x:c>
      <x:c r="I38" s="12" t="str">
        <x:f>IF(Leads!BG38="","",Leads!BG38)</x:f>
      </x:c>
      <x:c r="J38" s="12" t="str">
        <x:f>IF(Leads!BH38="","",Leads!BH38)</x:f>
      </x:c>
      <x:c r="K38" s="12" t="str">
        <x:f>IF(A38="","","مرحبًا "&amp;C38&amp;CHAR(10)&amp;CHAR(10)&amp;"شكرًا لإتمام تقييم DBD الخاص بعيادة "&amp;B38&amp;"."&amp;CHAR(10)&amp;"نتيجتكم الحالية: "&amp;E38&amp;"%."&amp;CHAR(10)&amp;"أولوية التحسين الأولى: "&amp;F38&amp;"."&amp;IF(J38&lt;&gt;"",CHAR(10)&amp;CHAR(10)&amp;"رابط التقرير: "&amp;J38,"")&amp;CHAR(10)&amp;CHAR(10)&amp;"إذا أحببت، يمكننا مساعدتك في فهم التقرير وتحديد أفضل خطوة تالية لعيادتكم.")</x:f>
      </x:c>
      <x:c r="L38" s="12" t="str">
        <x:f>IF(D38="","",HYPERLINK("https://wa.me/"&amp;REGEXREPLACE(D38,"[^\d]","")&amp;"?text="&amp;ENCODEURL(K38),"واتساب 1"))</x:f>
      </x:c>
      <x:c r="M38" s="12" t="str">
        <x:f>IF(A38="","","مرحبًا "&amp;C38&amp;CHAR(10)&amp;CHAR(10)&amp;"بناءً على نتيجة تقييم عيادة "&amp;B38&amp;"، فإن الترشيح الأقوى لكم الآن هو: "&amp;G38&amp;"."&amp;CHAR(10)&amp;"هذا الخيار يساعدكم في معالجة أكبر فجوة حالية بشكل عملي ومباشر."&amp;IF(J38&lt;&gt;"",CHAR(10)&amp;CHAR(10)&amp;"رابط التقرير: "&amp;J38,"")&amp;CHAR(10)&amp;CHAR(10)&amp;"إذا رغبت، يمكننا توضيح لماذا هذا الكورس هو الأنسب لكم الآن.")</x:f>
      </x:c>
      <x:c r="N38" s="12" t="str">
        <x:f>IF(D38="","",HYPERLINK("https://wa.me/"&amp;REGEXREPLACE(D38,"[^\d]","")&amp;"?text="&amp;ENCODEURL(M38),"واتساب 2"))</x:f>
      </x:c>
      <x:c r="O38" s="12" t="str">
        <x:f>IF(A38="","","مرحبًا "&amp;C38&amp;CHAR(10)&amp;CHAR(10)&amp;"إذا كانت التحديات لديكم تحتاج حلًا أشمل، فالبرنامج الكامل المناسب لكم هو: "&amp;H38&amp;"."&amp;IF(I38&lt;&gt;"",CHAR(10)&amp;"كما يمكنكم أيضًا حجز: "&amp;I38&amp;".","")&amp;IF(J38&lt;&gt;"",CHAR(10)&amp;CHAR(10)&amp;"رابط التقرير: "&amp;J38,"")&amp;CHAR(10)&amp;CHAR(10)&amp;"يسعدنا مساعدتكم في اختيار المسار الأنسب حسب وضع العيادة الحالي.")</x:f>
      </x:c>
      <x:c r="P38" s="12" t="str">
        <x:f>IF(D38="","",HYPERLINK("https://wa.me/"&amp;REGEXREPLACE(D38,"[^\d]","")&amp;"?text="&amp;ENCODEURL(O38),"واتساب 3"))</x:f>
      </x:c>
    </x:row>
    <x:row r="39" ht="15" hidden="0" customHeight="1">
      <x:c r="A39" s="12" t="str">
        <x:f>IF(Leads!A39="","",Leads!A39)</x:f>
      </x:c>
      <x:c r="B39" s="12" t="str">
        <x:f>IF(Leads!F39="","",Leads!F39)</x:f>
      </x:c>
      <x:c r="C39" s="12" t="str">
        <x:f>IF(Leads!G39="","",Leads!G39)</x:f>
      </x:c>
      <x:c r="D39" s="12" t="str">
        <x:f>IF(Leads!O39="","",Leads!O39)</x:f>
      </x:c>
      <x:c r="E39" s="12" t="str">
        <x:f>IF(Leads!AV39="","",Leads!AV39)</x:f>
      </x:c>
      <x:c r="F39" s="12" t="str">
        <x:f>IF(Leads!AX39="","",Leads!AX39)</x:f>
      </x:c>
      <x:c r="G39" s="12" t="str">
        <x:f>IF(Leads!BC39="","",Leads!BC39)</x:f>
      </x:c>
      <x:c r="H39" s="12" t="str">
        <x:f>IF(Leads!BE39="","",Leads!BE39)</x:f>
      </x:c>
      <x:c r="I39" s="12" t="str">
        <x:f>IF(Leads!BG39="","",Leads!BG39)</x:f>
      </x:c>
      <x:c r="J39" s="12" t="str">
        <x:f>IF(Leads!BH39="","",Leads!BH39)</x:f>
      </x:c>
      <x:c r="K39" s="12" t="str">
        <x:f>IF(A39="","","مرحبًا "&amp;C39&amp;CHAR(10)&amp;CHAR(10)&amp;"شكرًا لإتمام تقييم DBD الخاص بعيادة "&amp;B39&amp;"."&amp;CHAR(10)&amp;"نتيجتكم الحالية: "&amp;E39&amp;"%."&amp;CHAR(10)&amp;"أولوية التحسين الأولى: "&amp;F39&amp;"."&amp;IF(J39&lt;&gt;"",CHAR(10)&amp;CHAR(10)&amp;"رابط التقرير: "&amp;J39,"")&amp;CHAR(10)&amp;CHAR(10)&amp;"إذا أحببت، يمكننا مساعدتك في فهم التقرير وتحديد أفضل خطوة تالية لعيادتكم.")</x:f>
      </x:c>
      <x:c r="L39" s="12" t="str">
        <x:f>IF(D39="","",HYPERLINK("https://wa.me/"&amp;REGEXREPLACE(D39,"[^\d]","")&amp;"?text="&amp;ENCODEURL(K39),"واتساب 1"))</x:f>
      </x:c>
      <x:c r="M39" s="12" t="str">
        <x:f>IF(A39="","","مرحبًا "&amp;C39&amp;CHAR(10)&amp;CHAR(10)&amp;"بناءً على نتيجة تقييم عيادة "&amp;B39&amp;"، فإن الترشيح الأقوى لكم الآن هو: "&amp;G39&amp;"."&amp;CHAR(10)&amp;"هذا الخيار يساعدكم في معالجة أكبر فجوة حالية بشكل عملي ومباشر."&amp;IF(J39&lt;&gt;"",CHAR(10)&amp;CHAR(10)&amp;"رابط التقرير: "&amp;J39,"")&amp;CHAR(10)&amp;CHAR(10)&amp;"إذا رغبت، يمكننا توضيح لماذا هذا الكورس هو الأنسب لكم الآن.")</x:f>
      </x:c>
      <x:c r="N39" s="12" t="str">
        <x:f>IF(D39="","",HYPERLINK("https://wa.me/"&amp;REGEXREPLACE(D39,"[^\d]","")&amp;"?text="&amp;ENCODEURL(M39),"واتساب 2"))</x:f>
      </x:c>
      <x:c r="O39" s="12" t="str">
        <x:f>IF(A39="","","مرحبًا "&amp;C39&amp;CHAR(10)&amp;CHAR(10)&amp;"إذا كانت التحديات لديكم تحتاج حلًا أشمل، فالبرنامج الكامل المناسب لكم هو: "&amp;H39&amp;"."&amp;IF(I39&lt;&gt;"",CHAR(10)&amp;"كما يمكنكم أيضًا حجز: "&amp;I39&amp;".","")&amp;IF(J39&lt;&gt;"",CHAR(10)&amp;CHAR(10)&amp;"رابط التقرير: "&amp;J39,"")&amp;CHAR(10)&amp;CHAR(10)&amp;"يسعدنا مساعدتكم في اختيار المسار الأنسب حسب وضع العيادة الحالي.")</x:f>
      </x:c>
      <x:c r="P39" s="12" t="str">
        <x:f>IF(D39="","",HYPERLINK("https://wa.me/"&amp;REGEXREPLACE(D39,"[^\d]","")&amp;"?text="&amp;ENCODEURL(O39),"واتساب 3"))</x:f>
      </x:c>
    </x:row>
    <x:row r="40" ht="15" hidden="0" customHeight="1">
      <x:c r="A40" s="12" t="str">
        <x:f>IF(Leads!A40="","",Leads!A40)</x:f>
      </x:c>
      <x:c r="B40" s="12" t="str">
        <x:f>IF(Leads!F40="","",Leads!F40)</x:f>
      </x:c>
      <x:c r="C40" s="12" t="str">
        <x:f>IF(Leads!G40="","",Leads!G40)</x:f>
      </x:c>
      <x:c r="D40" s="12" t="str">
        <x:f>IF(Leads!O40="","",Leads!O40)</x:f>
      </x:c>
      <x:c r="E40" s="12" t="str">
        <x:f>IF(Leads!AV40="","",Leads!AV40)</x:f>
      </x:c>
      <x:c r="F40" s="12" t="str">
        <x:f>IF(Leads!AX40="","",Leads!AX40)</x:f>
      </x:c>
      <x:c r="G40" s="12" t="str">
        <x:f>IF(Leads!BC40="","",Leads!BC40)</x:f>
      </x:c>
      <x:c r="H40" s="12" t="str">
        <x:f>IF(Leads!BE40="","",Leads!BE40)</x:f>
      </x:c>
      <x:c r="I40" s="12" t="str">
        <x:f>IF(Leads!BG40="","",Leads!BG40)</x:f>
      </x:c>
      <x:c r="J40" s="12" t="str">
        <x:f>IF(Leads!BH40="","",Leads!BH40)</x:f>
      </x:c>
      <x:c r="K40" s="12" t="str">
        <x:f>IF(A40="","","مرحبًا "&amp;C40&amp;CHAR(10)&amp;CHAR(10)&amp;"شكرًا لإتمام تقييم DBD الخاص بعيادة "&amp;B40&amp;"."&amp;CHAR(10)&amp;"نتيجتكم الحالية: "&amp;E40&amp;"%."&amp;CHAR(10)&amp;"أولوية التحسين الأولى: "&amp;F40&amp;"."&amp;IF(J40&lt;&gt;"",CHAR(10)&amp;CHAR(10)&amp;"رابط التقرير: "&amp;J40,"")&amp;CHAR(10)&amp;CHAR(10)&amp;"إذا أحببت، يمكننا مساعدتك في فهم التقرير وتحديد أفضل خطوة تالية لعيادتكم.")</x:f>
      </x:c>
      <x:c r="L40" s="12" t="str">
        <x:f>IF(D40="","",HYPERLINK("https://wa.me/"&amp;REGEXREPLACE(D40,"[^\d]","")&amp;"?text="&amp;ENCODEURL(K40),"واتساب 1"))</x:f>
      </x:c>
      <x:c r="M40" s="12" t="str">
        <x:f>IF(A40="","","مرحبًا "&amp;C40&amp;CHAR(10)&amp;CHAR(10)&amp;"بناءً على نتيجة تقييم عيادة "&amp;B40&amp;"، فإن الترشيح الأقوى لكم الآن هو: "&amp;G40&amp;"."&amp;CHAR(10)&amp;"هذا الخيار يساعدكم في معالجة أكبر فجوة حالية بشكل عملي ومباشر."&amp;IF(J40&lt;&gt;"",CHAR(10)&amp;CHAR(10)&amp;"رابط التقرير: "&amp;J40,"")&amp;CHAR(10)&amp;CHAR(10)&amp;"إذا رغبت، يمكننا توضيح لماذا هذا الكورس هو الأنسب لكم الآن.")</x:f>
      </x:c>
      <x:c r="N40" s="12" t="str">
        <x:f>IF(D40="","",HYPERLINK("https://wa.me/"&amp;REGEXREPLACE(D40,"[^\d]","")&amp;"?text="&amp;ENCODEURL(M40),"واتساب 2"))</x:f>
      </x:c>
      <x:c r="O40" s="12" t="str">
        <x:f>IF(A40="","","مرحبًا "&amp;C40&amp;CHAR(10)&amp;CHAR(10)&amp;"إذا كانت التحديات لديكم تحتاج حلًا أشمل، فالبرنامج الكامل المناسب لكم هو: "&amp;H40&amp;"."&amp;IF(I40&lt;&gt;"",CHAR(10)&amp;"كما يمكنكم أيضًا حجز: "&amp;I40&amp;".","")&amp;IF(J40&lt;&gt;"",CHAR(10)&amp;CHAR(10)&amp;"رابط التقرير: "&amp;J40,"")&amp;CHAR(10)&amp;CHAR(10)&amp;"يسعدنا مساعدتكم في اختيار المسار الأنسب حسب وضع العيادة الحالي.")</x:f>
      </x:c>
      <x:c r="P40" s="12" t="str">
        <x:f>IF(D40="","",HYPERLINK("https://wa.me/"&amp;REGEXREPLACE(D40,"[^\d]","")&amp;"?text="&amp;ENCODEURL(O40),"واتساب 3"))</x:f>
      </x:c>
    </x:row>
    <x:row r="41" ht="15" hidden="0" customHeight="1">
      <x:c r="A41" s="12" t="str">
        <x:f>IF(Leads!A41="","",Leads!A41)</x:f>
      </x:c>
      <x:c r="B41" s="12" t="str">
        <x:f>IF(Leads!F41="","",Leads!F41)</x:f>
      </x:c>
      <x:c r="C41" s="12" t="str">
        <x:f>IF(Leads!G41="","",Leads!G41)</x:f>
      </x:c>
      <x:c r="D41" s="12" t="str">
        <x:f>IF(Leads!O41="","",Leads!O41)</x:f>
      </x:c>
      <x:c r="E41" s="12" t="str">
        <x:f>IF(Leads!AV41="","",Leads!AV41)</x:f>
      </x:c>
      <x:c r="F41" s="12" t="str">
        <x:f>IF(Leads!AX41="","",Leads!AX41)</x:f>
      </x:c>
      <x:c r="G41" s="12" t="str">
        <x:f>IF(Leads!BC41="","",Leads!BC41)</x:f>
      </x:c>
      <x:c r="H41" s="12" t="str">
        <x:f>IF(Leads!BE41="","",Leads!BE41)</x:f>
      </x:c>
      <x:c r="I41" s="12" t="str">
        <x:f>IF(Leads!BG41="","",Leads!BG41)</x:f>
      </x:c>
      <x:c r="J41" s="12" t="str">
        <x:f>IF(Leads!BH41="","",Leads!BH41)</x:f>
      </x:c>
      <x:c r="K41" s="12" t="str">
        <x:f>IF(A41="","","مرحبًا "&amp;C41&amp;CHAR(10)&amp;CHAR(10)&amp;"شكرًا لإتمام تقييم DBD الخاص بعيادة "&amp;B41&amp;"."&amp;CHAR(10)&amp;"نتيجتكم الحالية: "&amp;E41&amp;"%."&amp;CHAR(10)&amp;"أولوية التحسين الأولى: "&amp;F41&amp;"."&amp;IF(J41&lt;&gt;"",CHAR(10)&amp;CHAR(10)&amp;"رابط التقرير: "&amp;J41,"")&amp;CHAR(10)&amp;CHAR(10)&amp;"إذا أحببت، يمكننا مساعدتك في فهم التقرير وتحديد أفضل خطوة تالية لعيادتكم.")</x:f>
      </x:c>
      <x:c r="L41" s="12" t="str">
        <x:f>IF(D41="","",HYPERLINK("https://wa.me/"&amp;REGEXREPLACE(D41,"[^\d]","")&amp;"?text="&amp;ENCODEURL(K41),"واتساب 1"))</x:f>
      </x:c>
      <x:c r="M41" s="12" t="str">
        <x:f>IF(A41="","","مرحبًا "&amp;C41&amp;CHAR(10)&amp;CHAR(10)&amp;"بناءً على نتيجة تقييم عيادة "&amp;B41&amp;"، فإن الترشيح الأقوى لكم الآن هو: "&amp;G41&amp;"."&amp;CHAR(10)&amp;"هذا الخيار يساعدكم في معالجة أكبر فجوة حالية بشكل عملي ومباشر."&amp;IF(J41&lt;&gt;"",CHAR(10)&amp;CHAR(10)&amp;"رابط التقرير: "&amp;J41,"")&amp;CHAR(10)&amp;CHAR(10)&amp;"إذا رغبت، يمكننا توضيح لماذا هذا الكورس هو الأنسب لكم الآن.")</x:f>
      </x:c>
      <x:c r="N41" s="12" t="str">
        <x:f>IF(D41="","",HYPERLINK("https://wa.me/"&amp;REGEXREPLACE(D41,"[^\d]","")&amp;"?text="&amp;ENCODEURL(M41),"واتساب 2"))</x:f>
      </x:c>
      <x:c r="O41" s="12" t="str">
        <x:f>IF(A41="","","مرحبًا "&amp;C41&amp;CHAR(10)&amp;CHAR(10)&amp;"إذا كانت التحديات لديكم تحتاج حلًا أشمل، فالبرنامج الكامل المناسب لكم هو: "&amp;H41&amp;"."&amp;IF(I41&lt;&gt;"",CHAR(10)&amp;"كما يمكنكم أيضًا حجز: "&amp;I41&amp;".","")&amp;IF(J41&lt;&gt;"",CHAR(10)&amp;CHAR(10)&amp;"رابط التقرير: "&amp;J41,"")&amp;CHAR(10)&amp;CHAR(10)&amp;"يسعدنا مساعدتكم في اختيار المسار الأنسب حسب وضع العيادة الحالي.")</x:f>
      </x:c>
      <x:c r="P41" s="12" t="str">
        <x:f>IF(D41="","",HYPERLINK("https://wa.me/"&amp;REGEXREPLACE(D41,"[^\d]","")&amp;"?text="&amp;ENCODEURL(O41),"واتساب 3"))</x:f>
      </x:c>
    </x:row>
    <x:row r="42" ht="15" hidden="0" customHeight="1">
      <x:c r="A42" s="12" t="str">
        <x:f>IF(Leads!A42="","",Leads!A42)</x:f>
      </x:c>
      <x:c r="B42" s="12" t="str">
        <x:f>IF(Leads!F42="","",Leads!F42)</x:f>
      </x:c>
      <x:c r="C42" s="12" t="str">
        <x:f>IF(Leads!G42="","",Leads!G42)</x:f>
      </x:c>
      <x:c r="D42" s="12" t="str">
        <x:f>IF(Leads!O42="","",Leads!O42)</x:f>
      </x:c>
      <x:c r="E42" s="12" t="str">
        <x:f>IF(Leads!AV42="","",Leads!AV42)</x:f>
      </x:c>
      <x:c r="F42" s="12" t="str">
        <x:f>IF(Leads!AX42="","",Leads!AX42)</x:f>
      </x:c>
      <x:c r="G42" s="12" t="str">
        <x:f>IF(Leads!BC42="","",Leads!BC42)</x:f>
      </x:c>
      <x:c r="H42" s="12" t="str">
        <x:f>IF(Leads!BE42="","",Leads!BE42)</x:f>
      </x:c>
      <x:c r="I42" s="12" t="str">
        <x:f>IF(Leads!BG42="","",Leads!BG42)</x:f>
      </x:c>
      <x:c r="J42" s="12" t="str">
        <x:f>IF(Leads!BH42="","",Leads!BH42)</x:f>
      </x:c>
      <x:c r="K42" s="12" t="str">
        <x:f>IF(A42="","","مرحبًا "&amp;C42&amp;CHAR(10)&amp;CHAR(10)&amp;"شكرًا لإتمام تقييم DBD الخاص بعيادة "&amp;B42&amp;"."&amp;CHAR(10)&amp;"نتيجتكم الحالية: "&amp;E42&amp;"%."&amp;CHAR(10)&amp;"أولوية التحسين الأولى: "&amp;F42&amp;"."&amp;IF(J42&lt;&gt;"",CHAR(10)&amp;CHAR(10)&amp;"رابط التقرير: "&amp;J42,"")&amp;CHAR(10)&amp;CHAR(10)&amp;"إذا أحببت، يمكننا مساعدتك في فهم التقرير وتحديد أفضل خطوة تالية لعيادتكم.")</x:f>
      </x:c>
      <x:c r="L42" s="12" t="str">
        <x:f>IF(D42="","",HYPERLINK("https://wa.me/"&amp;REGEXREPLACE(D42,"[^\d]","")&amp;"?text="&amp;ENCODEURL(K42),"واتساب 1"))</x:f>
      </x:c>
      <x:c r="M42" s="12" t="str">
        <x:f>IF(A42="","","مرحبًا "&amp;C42&amp;CHAR(10)&amp;CHAR(10)&amp;"بناءً على نتيجة تقييم عيادة "&amp;B42&amp;"، فإن الترشيح الأقوى لكم الآن هو: "&amp;G42&amp;"."&amp;CHAR(10)&amp;"هذا الخيار يساعدكم في معالجة أكبر فجوة حالية بشكل عملي ومباشر."&amp;IF(J42&lt;&gt;"",CHAR(10)&amp;CHAR(10)&amp;"رابط التقرير: "&amp;J42,"")&amp;CHAR(10)&amp;CHAR(10)&amp;"إذا رغبت، يمكننا توضيح لماذا هذا الكورس هو الأنسب لكم الآن.")</x:f>
      </x:c>
      <x:c r="N42" s="12" t="str">
        <x:f>IF(D42="","",HYPERLINK("https://wa.me/"&amp;REGEXREPLACE(D42,"[^\d]","")&amp;"?text="&amp;ENCODEURL(M42),"واتساب 2"))</x:f>
      </x:c>
      <x:c r="O42" s="12" t="str">
        <x:f>IF(A42="","","مرحبًا "&amp;C42&amp;CHAR(10)&amp;CHAR(10)&amp;"إذا كانت التحديات لديكم تحتاج حلًا أشمل، فالبرنامج الكامل المناسب لكم هو: "&amp;H42&amp;"."&amp;IF(I42&lt;&gt;"",CHAR(10)&amp;"كما يمكنكم أيضًا حجز: "&amp;I42&amp;".","")&amp;IF(J42&lt;&gt;"",CHAR(10)&amp;CHAR(10)&amp;"رابط التقرير: "&amp;J42,"")&amp;CHAR(10)&amp;CHAR(10)&amp;"يسعدنا مساعدتكم في اختيار المسار الأنسب حسب وضع العيادة الحالي.")</x:f>
      </x:c>
      <x:c r="P42" s="12" t="str">
        <x:f>IF(D42="","",HYPERLINK("https://wa.me/"&amp;REGEXREPLACE(D42,"[^\d]","")&amp;"?text="&amp;ENCODEURL(O42),"واتساب 3"))</x:f>
      </x:c>
    </x:row>
    <x:row r="43" ht="15" hidden="0" customHeight="1">
      <x:c r="A43" s="12" t="str">
        <x:f>IF(Leads!A43="","",Leads!A43)</x:f>
      </x:c>
      <x:c r="B43" s="12" t="str">
        <x:f>IF(Leads!F43="","",Leads!F43)</x:f>
      </x:c>
      <x:c r="C43" s="12" t="str">
        <x:f>IF(Leads!G43="","",Leads!G43)</x:f>
      </x:c>
      <x:c r="D43" s="12" t="str">
        <x:f>IF(Leads!O43="","",Leads!O43)</x:f>
      </x:c>
      <x:c r="E43" s="12" t="str">
        <x:f>IF(Leads!AV43="","",Leads!AV43)</x:f>
      </x:c>
      <x:c r="F43" s="12" t="str">
        <x:f>IF(Leads!AX43="","",Leads!AX43)</x:f>
      </x:c>
      <x:c r="G43" s="12" t="str">
        <x:f>IF(Leads!BC43="","",Leads!BC43)</x:f>
      </x:c>
      <x:c r="H43" s="12" t="str">
        <x:f>IF(Leads!BE43="","",Leads!BE43)</x:f>
      </x:c>
      <x:c r="I43" s="12" t="str">
        <x:f>IF(Leads!BG43="","",Leads!BG43)</x:f>
      </x:c>
      <x:c r="J43" s="12" t="str">
        <x:f>IF(Leads!BH43="","",Leads!BH43)</x:f>
      </x:c>
      <x:c r="K43" s="12" t="str">
        <x:f>IF(A43="","","مرحبًا "&amp;C43&amp;CHAR(10)&amp;CHAR(10)&amp;"شكرًا لإتمام تقييم DBD الخاص بعيادة "&amp;B43&amp;"."&amp;CHAR(10)&amp;"نتيجتكم الحالية: "&amp;E43&amp;"%."&amp;CHAR(10)&amp;"أولوية التحسين الأولى: "&amp;F43&amp;"."&amp;IF(J43&lt;&gt;"",CHAR(10)&amp;CHAR(10)&amp;"رابط التقرير: "&amp;J43,"")&amp;CHAR(10)&amp;CHAR(10)&amp;"إذا أحببت، يمكننا مساعدتك في فهم التقرير وتحديد أفضل خطوة تالية لعيادتكم.")</x:f>
      </x:c>
      <x:c r="L43" s="12" t="str">
        <x:f>IF(D43="","",HYPERLINK("https://wa.me/"&amp;REGEXREPLACE(D43,"[^\d]","")&amp;"?text="&amp;ENCODEURL(K43),"واتساب 1"))</x:f>
      </x:c>
      <x:c r="M43" s="12" t="str">
        <x:f>IF(A43="","","مرحبًا "&amp;C43&amp;CHAR(10)&amp;CHAR(10)&amp;"بناءً على نتيجة تقييم عيادة "&amp;B43&amp;"، فإن الترشيح الأقوى لكم الآن هو: "&amp;G43&amp;"."&amp;CHAR(10)&amp;"هذا الخيار يساعدكم في معالجة أكبر فجوة حالية بشكل عملي ومباشر."&amp;IF(J43&lt;&gt;"",CHAR(10)&amp;CHAR(10)&amp;"رابط التقرير: "&amp;J43,"")&amp;CHAR(10)&amp;CHAR(10)&amp;"إذا رغبت، يمكننا توضيح لماذا هذا الكورس هو الأنسب لكم الآن.")</x:f>
      </x:c>
      <x:c r="N43" s="12" t="str">
        <x:f>IF(D43="","",HYPERLINK("https://wa.me/"&amp;REGEXREPLACE(D43,"[^\d]","")&amp;"?text="&amp;ENCODEURL(M43),"واتساب 2"))</x:f>
      </x:c>
      <x:c r="O43" s="12" t="str">
        <x:f>IF(A43="","","مرحبًا "&amp;C43&amp;CHAR(10)&amp;CHAR(10)&amp;"إذا كانت التحديات لديكم تحتاج حلًا أشمل، فالبرنامج الكامل المناسب لكم هو: "&amp;H43&amp;"."&amp;IF(I43&lt;&gt;"",CHAR(10)&amp;"كما يمكنكم أيضًا حجز: "&amp;I43&amp;".","")&amp;IF(J43&lt;&gt;"",CHAR(10)&amp;CHAR(10)&amp;"رابط التقرير: "&amp;J43,"")&amp;CHAR(10)&amp;CHAR(10)&amp;"يسعدنا مساعدتكم في اختيار المسار الأنسب حسب وضع العيادة الحالي.")</x:f>
      </x:c>
      <x:c r="P43" s="12" t="str">
        <x:f>IF(D43="","",HYPERLINK("https://wa.me/"&amp;REGEXREPLACE(D43,"[^\d]","")&amp;"?text="&amp;ENCODEURL(O43),"واتساب 3"))</x:f>
      </x:c>
    </x:row>
    <x:row r="44" ht="15" hidden="0" customHeight="1">
      <x:c r="A44" s="12" t="str">
        <x:f>IF(Leads!A44="","",Leads!A44)</x:f>
      </x:c>
      <x:c r="B44" s="12" t="str">
        <x:f>IF(Leads!F44="","",Leads!F44)</x:f>
      </x:c>
      <x:c r="C44" s="12" t="str">
        <x:f>IF(Leads!G44="","",Leads!G44)</x:f>
      </x:c>
      <x:c r="D44" s="12" t="str">
        <x:f>IF(Leads!O44="","",Leads!O44)</x:f>
      </x:c>
      <x:c r="E44" s="12" t="str">
        <x:f>IF(Leads!AV44="","",Leads!AV44)</x:f>
      </x:c>
      <x:c r="F44" s="12" t="str">
        <x:f>IF(Leads!AX44="","",Leads!AX44)</x:f>
      </x:c>
      <x:c r="G44" s="12" t="str">
        <x:f>IF(Leads!BC44="","",Leads!BC44)</x:f>
      </x:c>
      <x:c r="H44" s="12" t="str">
        <x:f>IF(Leads!BE44="","",Leads!BE44)</x:f>
      </x:c>
      <x:c r="I44" s="12" t="str">
        <x:f>IF(Leads!BG44="","",Leads!BG44)</x:f>
      </x:c>
      <x:c r="J44" s="12" t="str">
        <x:f>IF(Leads!BH44="","",Leads!BH44)</x:f>
      </x:c>
      <x:c r="K44" s="12" t="str">
        <x:f>IF(A44="","","مرحبًا "&amp;C44&amp;CHAR(10)&amp;CHAR(10)&amp;"شكرًا لإتمام تقييم DBD الخاص بعيادة "&amp;B44&amp;"."&amp;CHAR(10)&amp;"نتيجتكم الحالية: "&amp;E44&amp;"%."&amp;CHAR(10)&amp;"أولوية التحسين الأولى: "&amp;F44&amp;"."&amp;IF(J44&lt;&gt;"",CHAR(10)&amp;CHAR(10)&amp;"رابط التقرير: "&amp;J44,"")&amp;CHAR(10)&amp;CHAR(10)&amp;"إذا أحببت، يمكننا مساعدتك في فهم التقرير وتحديد أفضل خطوة تالية لعيادتكم.")</x:f>
      </x:c>
      <x:c r="L44" s="12" t="str">
        <x:f>IF(D44="","",HYPERLINK("https://wa.me/"&amp;REGEXREPLACE(D44,"[^\d]","")&amp;"?text="&amp;ENCODEURL(K44),"واتساب 1"))</x:f>
      </x:c>
      <x:c r="M44" s="12" t="str">
        <x:f>IF(A44="","","مرحبًا "&amp;C44&amp;CHAR(10)&amp;CHAR(10)&amp;"بناءً على نتيجة تقييم عيادة "&amp;B44&amp;"، فإن الترشيح الأقوى لكم الآن هو: "&amp;G44&amp;"."&amp;CHAR(10)&amp;"هذا الخيار يساعدكم في معالجة أكبر فجوة حالية بشكل عملي ومباشر."&amp;IF(J44&lt;&gt;"",CHAR(10)&amp;CHAR(10)&amp;"رابط التقرير: "&amp;J44,"")&amp;CHAR(10)&amp;CHAR(10)&amp;"إذا رغبت، يمكننا توضيح لماذا هذا الكورس هو الأنسب لكم الآن.")</x:f>
      </x:c>
      <x:c r="N44" s="12" t="str">
        <x:f>IF(D44="","",HYPERLINK("https://wa.me/"&amp;REGEXREPLACE(D44,"[^\d]","")&amp;"?text="&amp;ENCODEURL(M44),"واتساب 2"))</x:f>
      </x:c>
      <x:c r="O44" s="12" t="str">
        <x:f>IF(A44="","","مرحبًا "&amp;C44&amp;CHAR(10)&amp;CHAR(10)&amp;"إذا كانت التحديات لديكم تحتاج حلًا أشمل، فالبرنامج الكامل المناسب لكم هو: "&amp;H44&amp;"."&amp;IF(I44&lt;&gt;"",CHAR(10)&amp;"كما يمكنكم أيضًا حجز: "&amp;I44&amp;".","")&amp;IF(J44&lt;&gt;"",CHAR(10)&amp;CHAR(10)&amp;"رابط التقرير: "&amp;J44,"")&amp;CHAR(10)&amp;CHAR(10)&amp;"يسعدنا مساعدتكم في اختيار المسار الأنسب حسب وضع العيادة الحالي.")</x:f>
      </x:c>
      <x:c r="P44" s="12" t="str">
        <x:f>IF(D44="","",HYPERLINK("https://wa.me/"&amp;REGEXREPLACE(D44,"[^\d]","")&amp;"?text="&amp;ENCODEURL(O44),"واتساب 3"))</x:f>
      </x:c>
    </x:row>
    <x:row r="45" ht="15" hidden="0" customHeight="1">
      <x:c r="A45" s="12" t="str">
        <x:f>IF(Leads!A45="","",Leads!A45)</x:f>
      </x:c>
      <x:c r="B45" s="12" t="str">
        <x:f>IF(Leads!F45="","",Leads!F45)</x:f>
      </x:c>
      <x:c r="C45" s="12" t="str">
        <x:f>IF(Leads!G45="","",Leads!G45)</x:f>
      </x:c>
      <x:c r="D45" s="12" t="str">
        <x:f>IF(Leads!O45="","",Leads!O45)</x:f>
      </x:c>
      <x:c r="E45" s="12" t="str">
        <x:f>IF(Leads!AV45="","",Leads!AV45)</x:f>
      </x:c>
      <x:c r="F45" s="12" t="str">
        <x:f>IF(Leads!AX45="","",Leads!AX45)</x:f>
      </x:c>
      <x:c r="G45" s="12" t="str">
        <x:f>IF(Leads!BC45="","",Leads!BC45)</x:f>
      </x:c>
      <x:c r="H45" s="12" t="str">
        <x:f>IF(Leads!BE45="","",Leads!BE45)</x:f>
      </x:c>
      <x:c r="I45" s="12" t="str">
        <x:f>IF(Leads!BG45="","",Leads!BG45)</x:f>
      </x:c>
      <x:c r="J45" s="12" t="str">
        <x:f>IF(Leads!BH45="","",Leads!BH45)</x:f>
      </x:c>
      <x:c r="K45" s="12" t="str">
        <x:f>IF(A45="","","مرحبًا "&amp;C45&amp;CHAR(10)&amp;CHAR(10)&amp;"شكرًا لإتمام تقييم DBD الخاص بعيادة "&amp;B45&amp;"."&amp;CHAR(10)&amp;"نتيجتكم الحالية: "&amp;E45&amp;"%."&amp;CHAR(10)&amp;"أولوية التحسين الأولى: "&amp;F45&amp;"."&amp;IF(J45&lt;&gt;"",CHAR(10)&amp;CHAR(10)&amp;"رابط التقرير: "&amp;J45,"")&amp;CHAR(10)&amp;CHAR(10)&amp;"إذا أحببت، يمكننا مساعدتك في فهم التقرير وتحديد أفضل خطوة تالية لعيادتكم.")</x:f>
      </x:c>
      <x:c r="L45" s="12" t="str">
        <x:f>IF(D45="","",HYPERLINK("https://wa.me/"&amp;REGEXREPLACE(D45,"[^\d]","")&amp;"?text="&amp;ENCODEURL(K45),"واتساب 1"))</x:f>
      </x:c>
      <x:c r="M45" s="12" t="str">
        <x:f>IF(A45="","","مرحبًا "&amp;C45&amp;CHAR(10)&amp;CHAR(10)&amp;"بناءً على نتيجة تقييم عيادة "&amp;B45&amp;"، فإن الترشيح الأقوى لكم الآن هو: "&amp;G45&amp;"."&amp;CHAR(10)&amp;"هذا الخيار يساعدكم في معالجة أكبر فجوة حالية بشكل عملي ومباشر."&amp;IF(J45&lt;&gt;"",CHAR(10)&amp;CHAR(10)&amp;"رابط التقرير: "&amp;J45,"")&amp;CHAR(10)&amp;CHAR(10)&amp;"إذا رغبت، يمكننا توضيح لماذا هذا الكورس هو الأنسب لكم الآن.")</x:f>
      </x:c>
      <x:c r="N45" s="12" t="str">
        <x:f>IF(D45="","",HYPERLINK("https://wa.me/"&amp;REGEXREPLACE(D45,"[^\d]","")&amp;"?text="&amp;ENCODEURL(M45),"واتساب 2"))</x:f>
      </x:c>
      <x:c r="O45" s="12" t="str">
        <x:f>IF(A45="","","مرحبًا "&amp;C45&amp;CHAR(10)&amp;CHAR(10)&amp;"إذا كانت التحديات لديكم تحتاج حلًا أشمل، فالبرنامج الكامل المناسب لكم هو: "&amp;H45&amp;"."&amp;IF(I45&lt;&gt;"",CHAR(10)&amp;"كما يمكنكم أيضًا حجز: "&amp;I45&amp;".","")&amp;IF(J45&lt;&gt;"",CHAR(10)&amp;CHAR(10)&amp;"رابط التقرير: "&amp;J45,"")&amp;CHAR(10)&amp;CHAR(10)&amp;"يسعدنا مساعدتكم في اختيار المسار الأنسب حسب وضع العيادة الحالي.")</x:f>
      </x:c>
      <x:c r="P45" s="12" t="str">
        <x:f>IF(D45="","",HYPERLINK("https://wa.me/"&amp;REGEXREPLACE(D45,"[^\d]","")&amp;"?text="&amp;ENCODEURL(O45),"واتساب 3"))</x:f>
      </x:c>
    </x:row>
    <x:row r="46" ht="15" hidden="0" customHeight="1">
      <x:c r="A46" s="12" t="str">
        <x:f>IF(Leads!A46="","",Leads!A46)</x:f>
      </x:c>
      <x:c r="B46" s="12" t="str">
        <x:f>IF(Leads!F46="","",Leads!F46)</x:f>
      </x:c>
      <x:c r="C46" s="12" t="str">
        <x:f>IF(Leads!G46="","",Leads!G46)</x:f>
      </x:c>
      <x:c r="D46" s="12" t="str">
        <x:f>IF(Leads!O46="","",Leads!O46)</x:f>
      </x:c>
      <x:c r="E46" s="12" t="str">
        <x:f>IF(Leads!AV46="","",Leads!AV46)</x:f>
      </x:c>
      <x:c r="F46" s="12" t="str">
        <x:f>IF(Leads!AX46="","",Leads!AX46)</x:f>
      </x:c>
      <x:c r="G46" s="12" t="str">
        <x:f>IF(Leads!BC46="","",Leads!BC46)</x:f>
      </x:c>
      <x:c r="H46" s="12" t="str">
        <x:f>IF(Leads!BE46="","",Leads!BE46)</x:f>
      </x:c>
      <x:c r="I46" s="12" t="str">
        <x:f>IF(Leads!BG46="","",Leads!BG46)</x:f>
      </x:c>
      <x:c r="J46" s="12" t="str">
        <x:f>IF(Leads!BH46="","",Leads!BH46)</x:f>
      </x:c>
      <x:c r="K46" s="12" t="str">
        <x:f>IF(A46="","","مرحبًا "&amp;C46&amp;CHAR(10)&amp;CHAR(10)&amp;"شكرًا لإتمام تقييم DBD الخاص بعيادة "&amp;B46&amp;"."&amp;CHAR(10)&amp;"نتيجتكم الحالية: "&amp;E46&amp;"%."&amp;CHAR(10)&amp;"أولوية التحسين الأولى: "&amp;F46&amp;"."&amp;IF(J46&lt;&gt;"",CHAR(10)&amp;CHAR(10)&amp;"رابط التقرير: "&amp;J46,"")&amp;CHAR(10)&amp;CHAR(10)&amp;"إذا أحببت، يمكننا مساعدتك في فهم التقرير وتحديد أفضل خطوة تالية لعيادتكم.")</x:f>
      </x:c>
      <x:c r="L46" s="12" t="str">
        <x:f>IF(D46="","",HYPERLINK("https://wa.me/"&amp;REGEXREPLACE(D46,"[^\d]","")&amp;"?text="&amp;ENCODEURL(K46),"واتساب 1"))</x:f>
      </x:c>
      <x:c r="M46" s="12" t="str">
        <x:f>IF(A46="","","مرحبًا "&amp;C46&amp;CHAR(10)&amp;CHAR(10)&amp;"بناءً على نتيجة تقييم عيادة "&amp;B46&amp;"، فإن الترشيح الأقوى لكم الآن هو: "&amp;G46&amp;"."&amp;CHAR(10)&amp;"هذا الخيار يساعدكم في معالجة أكبر فجوة حالية بشكل عملي ومباشر."&amp;IF(J46&lt;&gt;"",CHAR(10)&amp;CHAR(10)&amp;"رابط التقرير: "&amp;J46,"")&amp;CHAR(10)&amp;CHAR(10)&amp;"إذا رغبت، يمكننا توضيح لماذا هذا الكورس هو الأنسب لكم الآن.")</x:f>
      </x:c>
      <x:c r="N46" s="12" t="str">
        <x:f>IF(D46="","",HYPERLINK("https://wa.me/"&amp;REGEXREPLACE(D46,"[^\d]","")&amp;"?text="&amp;ENCODEURL(M46),"واتساب 2"))</x:f>
      </x:c>
      <x:c r="O46" s="12" t="str">
        <x:f>IF(A46="","","مرحبًا "&amp;C46&amp;CHAR(10)&amp;CHAR(10)&amp;"إذا كانت التحديات لديكم تحتاج حلًا أشمل، فالبرنامج الكامل المناسب لكم هو: "&amp;H46&amp;"."&amp;IF(I46&lt;&gt;"",CHAR(10)&amp;"كما يمكنكم أيضًا حجز: "&amp;I46&amp;".","")&amp;IF(J46&lt;&gt;"",CHAR(10)&amp;CHAR(10)&amp;"رابط التقرير: "&amp;J46,"")&amp;CHAR(10)&amp;CHAR(10)&amp;"يسعدنا مساعدتكم في اختيار المسار الأنسب حسب وضع العيادة الحالي.")</x:f>
      </x:c>
      <x:c r="P46" s="12" t="str">
        <x:f>IF(D46="","",HYPERLINK("https://wa.me/"&amp;REGEXREPLACE(D46,"[^\d]","")&amp;"?text="&amp;ENCODEURL(O46),"واتساب 3"))</x:f>
      </x:c>
    </x:row>
    <x:row r="47" ht="15" hidden="0" customHeight="1">
      <x:c r="A47" s="12" t="str">
        <x:f>IF(Leads!A47="","",Leads!A47)</x:f>
      </x:c>
      <x:c r="B47" s="12" t="str">
        <x:f>IF(Leads!F47="","",Leads!F47)</x:f>
      </x:c>
      <x:c r="C47" s="12" t="str">
        <x:f>IF(Leads!G47="","",Leads!G47)</x:f>
      </x:c>
      <x:c r="D47" s="12" t="str">
        <x:f>IF(Leads!O47="","",Leads!O47)</x:f>
      </x:c>
      <x:c r="E47" s="12" t="str">
        <x:f>IF(Leads!AV47="","",Leads!AV47)</x:f>
      </x:c>
      <x:c r="F47" s="12" t="str">
        <x:f>IF(Leads!AX47="","",Leads!AX47)</x:f>
      </x:c>
      <x:c r="G47" s="12" t="str">
        <x:f>IF(Leads!BC47="","",Leads!BC47)</x:f>
      </x:c>
      <x:c r="H47" s="12" t="str">
        <x:f>IF(Leads!BE47="","",Leads!BE47)</x:f>
      </x:c>
      <x:c r="I47" s="12" t="str">
        <x:f>IF(Leads!BG47="","",Leads!BG47)</x:f>
      </x:c>
      <x:c r="J47" s="12" t="str">
        <x:f>IF(Leads!BH47="","",Leads!BH47)</x:f>
      </x:c>
      <x:c r="K47" s="12" t="str">
        <x:f>IF(A47="","","مرحبًا "&amp;C47&amp;CHAR(10)&amp;CHAR(10)&amp;"شكرًا لإتمام تقييم DBD الخاص بعيادة "&amp;B47&amp;"."&amp;CHAR(10)&amp;"نتيجتكم الحالية: "&amp;E47&amp;"%."&amp;CHAR(10)&amp;"أولوية التحسين الأولى: "&amp;F47&amp;"."&amp;IF(J47&lt;&gt;"",CHAR(10)&amp;CHAR(10)&amp;"رابط التقرير: "&amp;J47,"")&amp;CHAR(10)&amp;CHAR(10)&amp;"إذا أحببت، يمكننا مساعدتك في فهم التقرير وتحديد أفضل خطوة تالية لعيادتكم.")</x:f>
      </x:c>
      <x:c r="L47" s="12" t="str">
        <x:f>IF(D47="","",HYPERLINK("https://wa.me/"&amp;REGEXREPLACE(D47,"[^\d]","")&amp;"?text="&amp;ENCODEURL(K47),"واتساب 1"))</x:f>
      </x:c>
      <x:c r="M47" s="12" t="str">
        <x:f>IF(A47="","","مرحبًا "&amp;C47&amp;CHAR(10)&amp;CHAR(10)&amp;"بناءً على نتيجة تقييم عيادة "&amp;B47&amp;"، فإن الترشيح الأقوى لكم الآن هو: "&amp;G47&amp;"."&amp;CHAR(10)&amp;"هذا الخيار يساعدكم في معالجة أكبر فجوة حالية بشكل عملي ومباشر."&amp;IF(J47&lt;&gt;"",CHAR(10)&amp;CHAR(10)&amp;"رابط التقرير: "&amp;J47,"")&amp;CHAR(10)&amp;CHAR(10)&amp;"إذا رغبت، يمكننا توضيح لماذا هذا الكورس هو الأنسب لكم الآن.")</x:f>
      </x:c>
      <x:c r="N47" s="12" t="str">
        <x:f>IF(D47="","",HYPERLINK("https://wa.me/"&amp;REGEXREPLACE(D47,"[^\d]","")&amp;"?text="&amp;ENCODEURL(M47),"واتساب 2"))</x:f>
      </x:c>
      <x:c r="O47" s="12" t="str">
        <x:f>IF(A47="","","مرحبًا "&amp;C47&amp;CHAR(10)&amp;CHAR(10)&amp;"إذا كانت التحديات لديكم تحتاج حلًا أشمل، فالبرنامج الكامل المناسب لكم هو: "&amp;H47&amp;"."&amp;IF(I47&lt;&gt;"",CHAR(10)&amp;"كما يمكنكم أيضًا حجز: "&amp;I47&amp;".","")&amp;IF(J47&lt;&gt;"",CHAR(10)&amp;CHAR(10)&amp;"رابط التقرير: "&amp;J47,"")&amp;CHAR(10)&amp;CHAR(10)&amp;"يسعدنا مساعدتكم في اختيار المسار الأنسب حسب وضع العيادة الحالي.")</x:f>
      </x:c>
      <x:c r="P47" s="12" t="str">
        <x:f>IF(D47="","",HYPERLINK("https://wa.me/"&amp;REGEXREPLACE(D47,"[^\d]","")&amp;"?text="&amp;ENCODEURL(O47),"واتساب 3"))</x:f>
      </x:c>
    </x:row>
    <x:row r="48" ht="15" hidden="0" customHeight="1">
      <x:c r="A48" s="12" t="str">
        <x:f>IF(Leads!A48="","",Leads!A48)</x:f>
      </x:c>
      <x:c r="B48" s="12" t="str">
        <x:f>IF(Leads!F48="","",Leads!F48)</x:f>
      </x:c>
      <x:c r="C48" s="12" t="str">
        <x:f>IF(Leads!G48="","",Leads!G48)</x:f>
      </x:c>
      <x:c r="D48" s="12" t="str">
        <x:f>IF(Leads!O48="","",Leads!O48)</x:f>
      </x:c>
      <x:c r="E48" s="12" t="str">
        <x:f>IF(Leads!AV48="","",Leads!AV48)</x:f>
      </x:c>
      <x:c r="F48" s="12" t="str">
        <x:f>IF(Leads!AX48="","",Leads!AX48)</x:f>
      </x:c>
      <x:c r="G48" s="12" t="str">
        <x:f>IF(Leads!BC48="","",Leads!BC48)</x:f>
      </x:c>
      <x:c r="H48" s="12" t="str">
        <x:f>IF(Leads!BE48="","",Leads!BE48)</x:f>
      </x:c>
      <x:c r="I48" s="12" t="str">
        <x:f>IF(Leads!BG48="","",Leads!BG48)</x:f>
      </x:c>
      <x:c r="J48" s="12" t="str">
        <x:f>IF(Leads!BH48="","",Leads!BH48)</x:f>
      </x:c>
      <x:c r="K48" s="12" t="str">
        <x:f>IF(A48="","","مرحبًا "&amp;C48&amp;CHAR(10)&amp;CHAR(10)&amp;"شكرًا لإتمام تقييم DBD الخاص بعيادة "&amp;B48&amp;"."&amp;CHAR(10)&amp;"نتيجتكم الحالية: "&amp;E48&amp;"%."&amp;CHAR(10)&amp;"أولوية التحسين الأولى: "&amp;F48&amp;"."&amp;IF(J48&lt;&gt;"",CHAR(10)&amp;CHAR(10)&amp;"رابط التقرير: "&amp;J48,"")&amp;CHAR(10)&amp;CHAR(10)&amp;"إذا أحببت، يمكننا مساعدتك في فهم التقرير وتحديد أفضل خطوة تالية لعيادتكم.")</x:f>
      </x:c>
      <x:c r="L48" s="12" t="str">
        <x:f>IF(D48="","",HYPERLINK("https://wa.me/"&amp;REGEXREPLACE(D48,"[^\d]","")&amp;"?text="&amp;ENCODEURL(K48),"واتساب 1"))</x:f>
      </x:c>
      <x:c r="M48" s="12" t="str">
        <x:f>IF(A48="","","مرحبًا "&amp;C48&amp;CHAR(10)&amp;CHAR(10)&amp;"بناءً على نتيجة تقييم عيادة "&amp;B48&amp;"، فإن الترشيح الأقوى لكم الآن هو: "&amp;G48&amp;"."&amp;CHAR(10)&amp;"هذا الخيار يساعدكم في معالجة أكبر فجوة حالية بشكل عملي ومباشر."&amp;IF(J48&lt;&gt;"",CHAR(10)&amp;CHAR(10)&amp;"رابط التقرير: "&amp;J48,"")&amp;CHAR(10)&amp;CHAR(10)&amp;"إذا رغبت، يمكننا توضيح لماذا هذا الكورس هو الأنسب لكم الآن.")</x:f>
      </x:c>
      <x:c r="N48" s="12" t="str">
        <x:f>IF(D48="","",HYPERLINK("https://wa.me/"&amp;REGEXREPLACE(D48,"[^\d]","")&amp;"?text="&amp;ENCODEURL(M48),"واتساب 2"))</x:f>
      </x:c>
      <x:c r="O48" s="12" t="str">
        <x:f>IF(A48="","","مرحبًا "&amp;C48&amp;CHAR(10)&amp;CHAR(10)&amp;"إذا كانت التحديات لديكم تحتاج حلًا أشمل، فالبرنامج الكامل المناسب لكم هو: "&amp;H48&amp;"."&amp;IF(I48&lt;&gt;"",CHAR(10)&amp;"كما يمكنكم أيضًا حجز: "&amp;I48&amp;".","")&amp;IF(J48&lt;&gt;"",CHAR(10)&amp;CHAR(10)&amp;"رابط التقرير: "&amp;J48,"")&amp;CHAR(10)&amp;CHAR(10)&amp;"يسعدنا مساعدتكم في اختيار المسار الأنسب حسب وضع العيادة الحالي.")</x:f>
      </x:c>
      <x:c r="P48" s="12" t="str">
        <x:f>IF(D48="","",HYPERLINK("https://wa.me/"&amp;REGEXREPLACE(D48,"[^\d]","")&amp;"?text="&amp;ENCODEURL(O48),"واتساب 3"))</x:f>
      </x:c>
    </x:row>
    <x:row r="49" ht="15" hidden="0" customHeight="1">
      <x:c r="A49" s="12" t="str">
        <x:f>IF(Leads!A49="","",Leads!A49)</x:f>
      </x:c>
      <x:c r="B49" s="12" t="str">
        <x:f>IF(Leads!F49="","",Leads!F49)</x:f>
      </x:c>
      <x:c r="C49" s="12" t="str">
        <x:f>IF(Leads!G49="","",Leads!G49)</x:f>
      </x:c>
      <x:c r="D49" s="12" t="str">
        <x:f>IF(Leads!O49="","",Leads!O49)</x:f>
      </x:c>
      <x:c r="E49" s="12" t="str">
        <x:f>IF(Leads!AV49="","",Leads!AV49)</x:f>
      </x:c>
      <x:c r="F49" s="12" t="str">
        <x:f>IF(Leads!AX49="","",Leads!AX49)</x:f>
      </x:c>
      <x:c r="G49" s="12" t="str">
        <x:f>IF(Leads!BC49="","",Leads!BC49)</x:f>
      </x:c>
      <x:c r="H49" s="12" t="str">
        <x:f>IF(Leads!BE49="","",Leads!BE49)</x:f>
      </x:c>
      <x:c r="I49" s="12" t="str">
        <x:f>IF(Leads!BG49="","",Leads!BG49)</x:f>
      </x:c>
      <x:c r="J49" s="12" t="str">
        <x:f>IF(Leads!BH49="","",Leads!BH49)</x:f>
      </x:c>
      <x:c r="K49" s="12" t="str">
        <x:f>IF(A49="","","مرحبًا "&amp;C49&amp;CHAR(10)&amp;CHAR(10)&amp;"شكرًا لإتمام تقييم DBD الخاص بعيادة "&amp;B49&amp;"."&amp;CHAR(10)&amp;"نتيجتكم الحالية: "&amp;E49&amp;"%."&amp;CHAR(10)&amp;"أولوية التحسين الأولى: "&amp;F49&amp;"."&amp;IF(J49&lt;&gt;"",CHAR(10)&amp;CHAR(10)&amp;"رابط التقرير: "&amp;J49,"")&amp;CHAR(10)&amp;CHAR(10)&amp;"إذا أحببت، يمكننا مساعدتك في فهم التقرير وتحديد أفضل خطوة تالية لعيادتكم.")</x:f>
      </x:c>
      <x:c r="L49" s="12" t="str">
        <x:f>IF(D49="","",HYPERLINK("https://wa.me/"&amp;REGEXREPLACE(D49,"[^\d]","")&amp;"?text="&amp;ENCODEURL(K49),"واتساب 1"))</x:f>
      </x:c>
      <x:c r="M49" s="12" t="str">
        <x:f>IF(A49="","","مرحبًا "&amp;C49&amp;CHAR(10)&amp;CHAR(10)&amp;"بناءً على نتيجة تقييم عيادة "&amp;B49&amp;"، فإن الترشيح الأقوى لكم الآن هو: "&amp;G49&amp;"."&amp;CHAR(10)&amp;"هذا الخيار يساعدكم في معالجة أكبر فجوة حالية بشكل عملي ومباشر."&amp;IF(J49&lt;&gt;"",CHAR(10)&amp;CHAR(10)&amp;"رابط التقرير: "&amp;J49,"")&amp;CHAR(10)&amp;CHAR(10)&amp;"إذا رغبت، يمكننا توضيح لماذا هذا الكورس هو الأنسب لكم الآن.")</x:f>
      </x:c>
      <x:c r="N49" s="12" t="str">
        <x:f>IF(D49="","",HYPERLINK("https://wa.me/"&amp;REGEXREPLACE(D49,"[^\d]","")&amp;"?text="&amp;ENCODEURL(M49),"واتساب 2"))</x:f>
      </x:c>
      <x:c r="O49" s="12" t="str">
        <x:f>IF(A49="","","مرحبًا "&amp;C49&amp;CHAR(10)&amp;CHAR(10)&amp;"إذا كانت التحديات لديكم تحتاج حلًا أشمل، فالبرنامج الكامل المناسب لكم هو: "&amp;H49&amp;"."&amp;IF(I49&lt;&gt;"",CHAR(10)&amp;"كما يمكنكم أيضًا حجز: "&amp;I49&amp;".","")&amp;IF(J49&lt;&gt;"",CHAR(10)&amp;CHAR(10)&amp;"رابط التقرير: "&amp;J49,"")&amp;CHAR(10)&amp;CHAR(10)&amp;"يسعدنا مساعدتكم في اختيار المسار الأنسب حسب وضع العيادة الحالي.")</x:f>
      </x:c>
      <x:c r="P49" s="12" t="str">
        <x:f>IF(D49="","",HYPERLINK("https://wa.me/"&amp;REGEXREPLACE(D49,"[^\d]","")&amp;"?text="&amp;ENCODEURL(O49),"واتساب 3"))</x:f>
      </x:c>
    </x:row>
    <x:row r="50" ht="15" hidden="0" customHeight="1">
      <x:c r="A50" s="12" t="str">
        <x:f>IF(Leads!A50="","",Leads!A50)</x:f>
      </x:c>
      <x:c r="B50" s="12" t="str">
        <x:f>IF(Leads!F50="","",Leads!F50)</x:f>
      </x:c>
      <x:c r="C50" s="12" t="str">
        <x:f>IF(Leads!G50="","",Leads!G50)</x:f>
      </x:c>
      <x:c r="D50" s="12" t="str">
        <x:f>IF(Leads!O50="","",Leads!O50)</x:f>
      </x:c>
      <x:c r="E50" s="12" t="str">
        <x:f>IF(Leads!AV50="","",Leads!AV50)</x:f>
      </x:c>
      <x:c r="F50" s="12" t="str">
        <x:f>IF(Leads!AX50="","",Leads!AX50)</x:f>
      </x:c>
      <x:c r="G50" s="12" t="str">
        <x:f>IF(Leads!BC50="","",Leads!BC50)</x:f>
      </x:c>
      <x:c r="H50" s="12" t="str">
        <x:f>IF(Leads!BE50="","",Leads!BE50)</x:f>
      </x:c>
      <x:c r="I50" s="12" t="str">
        <x:f>IF(Leads!BG50="","",Leads!BG50)</x:f>
      </x:c>
      <x:c r="J50" s="12" t="str">
        <x:f>IF(Leads!BH50="","",Leads!BH50)</x:f>
      </x:c>
      <x:c r="K50" s="12" t="str">
        <x:f>IF(A50="","","مرحبًا "&amp;C50&amp;CHAR(10)&amp;CHAR(10)&amp;"شكرًا لإتمام تقييم DBD الخاص بعيادة "&amp;B50&amp;"."&amp;CHAR(10)&amp;"نتيجتكم الحالية: "&amp;E50&amp;"%."&amp;CHAR(10)&amp;"أولوية التحسين الأولى: "&amp;F50&amp;"."&amp;IF(J50&lt;&gt;"",CHAR(10)&amp;CHAR(10)&amp;"رابط التقرير: "&amp;J50,"")&amp;CHAR(10)&amp;CHAR(10)&amp;"إذا أحببت، يمكننا مساعدتك في فهم التقرير وتحديد أفضل خطوة تالية لعيادتكم.")</x:f>
      </x:c>
      <x:c r="L50" s="12" t="str">
        <x:f>IF(D50="","",HYPERLINK("https://wa.me/"&amp;REGEXREPLACE(D50,"[^\d]","")&amp;"?text="&amp;ENCODEURL(K50),"واتساب 1"))</x:f>
      </x:c>
      <x:c r="M50" s="12" t="str">
        <x:f>IF(A50="","","مرحبًا "&amp;C50&amp;CHAR(10)&amp;CHAR(10)&amp;"بناءً على نتيجة تقييم عيادة "&amp;B50&amp;"، فإن الترشيح الأقوى لكم الآن هو: "&amp;G50&amp;"."&amp;CHAR(10)&amp;"هذا الخيار يساعدكم في معالجة أكبر فجوة حالية بشكل عملي ومباشر."&amp;IF(J50&lt;&gt;"",CHAR(10)&amp;CHAR(10)&amp;"رابط التقرير: "&amp;J50,"")&amp;CHAR(10)&amp;CHAR(10)&amp;"إذا رغبت، يمكننا توضيح لماذا هذا الكورس هو الأنسب لكم الآن.")</x:f>
      </x:c>
      <x:c r="N50" s="12" t="str">
        <x:f>IF(D50="","",HYPERLINK("https://wa.me/"&amp;REGEXREPLACE(D50,"[^\d]","")&amp;"?text="&amp;ENCODEURL(M50),"واتساب 2"))</x:f>
      </x:c>
      <x:c r="O50" s="12" t="str">
        <x:f>IF(A50="","","مرحبًا "&amp;C50&amp;CHAR(10)&amp;CHAR(10)&amp;"إذا كانت التحديات لديكم تحتاج حلًا أشمل، فالبرنامج الكامل المناسب لكم هو: "&amp;H50&amp;"."&amp;IF(I50&lt;&gt;"",CHAR(10)&amp;"كما يمكنكم أيضًا حجز: "&amp;I50&amp;".","")&amp;IF(J50&lt;&gt;"",CHAR(10)&amp;CHAR(10)&amp;"رابط التقرير: "&amp;J50,"")&amp;CHAR(10)&amp;CHAR(10)&amp;"يسعدنا مساعدتكم في اختيار المسار الأنسب حسب وضع العيادة الحالي.")</x:f>
      </x:c>
      <x:c r="P50" s="12" t="str">
        <x:f>IF(D50="","",HYPERLINK("https://wa.me/"&amp;REGEXREPLACE(D50,"[^\d]","")&amp;"?text="&amp;ENCODEURL(O50),"واتساب 3"))</x:f>
      </x:c>
    </x:row>
    <x:row r="51" ht="15" hidden="0" customHeight="1">
      <x:c r="A51" s="12" t="str">
        <x:f>IF(Leads!A51="","",Leads!A51)</x:f>
      </x:c>
      <x:c r="B51" s="12" t="str">
        <x:f>IF(Leads!F51="","",Leads!F51)</x:f>
      </x:c>
      <x:c r="C51" s="12" t="str">
        <x:f>IF(Leads!G51="","",Leads!G51)</x:f>
      </x:c>
      <x:c r="D51" s="12" t="str">
        <x:f>IF(Leads!O51="","",Leads!O51)</x:f>
      </x:c>
      <x:c r="E51" s="12" t="str">
        <x:f>IF(Leads!AV51="","",Leads!AV51)</x:f>
      </x:c>
      <x:c r="F51" s="12" t="str">
        <x:f>IF(Leads!AX51="","",Leads!AX51)</x:f>
      </x:c>
      <x:c r="G51" s="12" t="str">
        <x:f>IF(Leads!BC51="","",Leads!BC51)</x:f>
      </x:c>
      <x:c r="H51" s="12" t="str">
        <x:f>IF(Leads!BE51="","",Leads!BE51)</x:f>
      </x:c>
      <x:c r="I51" s="12" t="str">
        <x:f>IF(Leads!BG51="","",Leads!BG51)</x:f>
      </x:c>
      <x:c r="J51" s="12" t="str">
        <x:f>IF(Leads!BH51="","",Leads!BH51)</x:f>
      </x:c>
      <x:c r="K51" s="12" t="str">
        <x:f>IF(A51="","","مرحبًا "&amp;C51&amp;CHAR(10)&amp;CHAR(10)&amp;"شكرًا لإتمام تقييم DBD الخاص بعيادة "&amp;B51&amp;"."&amp;CHAR(10)&amp;"نتيجتكم الحالية: "&amp;E51&amp;"%."&amp;CHAR(10)&amp;"أولوية التحسين الأولى: "&amp;F51&amp;"."&amp;IF(J51&lt;&gt;"",CHAR(10)&amp;CHAR(10)&amp;"رابط التقرير: "&amp;J51,"")&amp;CHAR(10)&amp;CHAR(10)&amp;"إذا أحببت، يمكننا مساعدتك في فهم التقرير وتحديد أفضل خطوة تالية لعيادتكم.")</x:f>
      </x:c>
      <x:c r="L51" s="12" t="str">
        <x:f>IF(D51="","",HYPERLINK("https://wa.me/"&amp;REGEXREPLACE(D51,"[^\d]","")&amp;"?text="&amp;ENCODEURL(K51),"واتساب 1"))</x:f>
      </x:c>
      <x:c r="M51" s="12" t="str">
        <x:f>IF(A51="","","مرحبًا "&amp;C51&amp;CHAR(10)&amp;CHAR(10)&amp;"بناءً على نتيجة تقييم عيادة "&amp;B51&amp;"، فإن الترشيح الأقوى لكم الآن هو: "&amp;G51&amp;"."&amp;CHAR(10)&amp;"هذا الخيار يساعدكم في معالجة أكبر فجوة حالية بشكل عملي ومباشر."&amp;IF(J51&lt;&gt;"",CHAR(10)&amp;CHAR(10)&amp;"رابط التقرير: "&amp;J51,"")&amp;CHAR(10)&amp;CHAR(10)&amp;"إذا رغبت، يمكننا توضيح لماذا هذا الكورس هو الأنسب لكم الآن.")</x:f>
      </x:c>
      <x:c r="N51" s="12" t="str">
        <x:f>IF(D51="","",HYPERLINK("https://wa.me/"&amp;REGEXREPLACE(D51,"[^\d]","")&amp;"?text="&amp;ENCODEURL(M51),"واتساب 2"))</x:f>
      </x:c>
      <x:c r="O51" s="12" t="str">
        <x:f>IF(A51="","","مرحبًا "&amp;C51&amp;CHAR(10)&amp;CHAR(10)&amp;"إذا كانت التحديات لديكم تحتاج حلًا أشمل، فالبرنامج الكامل المناسب لكم هو: "&amp;H51&amp;"."&amp;IF(I51&lt;&gt;"",CHAR(10)&amp;"كما يمكنكم أيضًا حجز: "&amp;I51&amp;".","")&amp;IF(J51&lt;&gt;"",CHAR(10)&amp;CHAR(10)&amp;"رابط التقرير: "&amp;J51,"")&amp;CHAR(10)&amp;CHAR(10)&amp;"يسعدنا مساعدتكم في اختيار المسار الأنسب حسب وضع العيادة الحالي.")</x:f>
      </x:c>
      <x:c r="P51" s="12" t="str">
        <x:f>IF(D51="","",HYPERLINK("https://wa.me/"&amp;REGEXREPLACE(D51,"[^\d]","")&amp;"?text="&amp;ENCODEURL(O51),"واتساب 3"))</x:f>
      </x:c>
    </x:row>
    <x:row r="52" ht="15" hidden="0" customHeight="1">
      <x:c r="A52" s="12" t="str">
        <x:f>IF(Leads!A52="","",Leads!A52)</x:f>
      </x:c>
      <x:c r="B52" s="12" t="str">
        <x:f>IF(Leads!F52="","",Leads!F52)</x:f>
      </x:c>
      <x:c r="C52" s="12" t="str">
        <x:f>IF(Leads!G52="","",Leads!G52)</x:f>
      </x:c>
      <x:c r="D52" s="12" t="str">
        <x:f>IF(Leads!O52="","",Leads!O52)</x:f>
      </x:c>
      <x:c r="E52" s="12" t="str">
        <x:f>IF(Leads!AV52="","",Leads!AV52)</x:f>
      </x:c>
      <x:c r="F52" s="12" t="str">
        <x:f>IF(Leads!AX52="","",Leads!AX52)</x:f>
      </x:c>
      <x:c r="G52" s="12" t="str">
        <x:f>IF(Leads!BC52="","",Leads!BC52)</x:f>
      </x:c>
      <x:c r="H52" s="12" t="str">
        <x:f>IF(Leads!BE52="","",Leads!BE52)</x:f>
      </x:c>
      <x:c r="I52" s="12" t="str">
        <x:f>IF(Leads!BG52="","",Leads!BG52)</x:f>
      </x:c>
      <x:c r="J52" s="12" t="str">
        <x:f>IF(Leads!BH52="","",Leads!BH52)</x:f>
      </x:c>
      <x:c r="K52" s="12" t="str">
        <x:f>IF(A52="","","مرحبًا "&amp;C52&amp;CHAR(10)&amp;CHAR(10)&amp;"شكرًا لإتمام تقييم DBD الخاص بعيادة "&amp;B52&amp;"."&amp;CHAR(10)&amp;"نتيجتكم الحالية: "&amp;E52&amp;"%."&amp;CHAR(10)&amp;"أولوية التحسين الأولى: "&amp;F52&amp;"."&amp;IF(J52&lt;&gt;"",CHAR(10)&amp;CHAR(10)&amp;"رابط التقرير: "&amp;J52,"")&amp;CHAR(10)&amp;CHAR(10)&amp;"إذا أحببت، يمكننا مساعدتك في فهم التقرير وتحديد أفضل خطوة تالية لعيادتكم.")</x:f>
      </x:c>
      <x:c r="L52" s="12" t="str">
        <x:f>IF(D52="","",HYPERLINK("https://wa.me/"&amp;REGEXREPLACE(D52,"[^\d]","")&amp;"?text="&amp;ENCODEURL(K52),"واتساب 1"))</x:f>
      </x:c>
      <x:c r="M52" s="12" t="str">
        <x:f>IF(A52="","","مرحبًا "&amp;C52&amp;CHAR(10)&amp;CHAR(10)&amp;"بناءً على نتيجة تقييم عيادة "&amp;B52&amp;"، فإن الترشيح الأقوى لكم الآن هو: "&amp;G52&amp;"."&amp;CHAR(10)&amp;"هذا الخيار يساعدكم في معالجة أكبر فجوة حالية بشكل عملي ومباشر."&amp;IF(J52&lt;&gt;"",CHAR(10)&amp;CHAR(10)&amp;"رابط التقرير: "&amp;J52,"")&amp;CHAR(10)&amp;CHAR(10)&amp;"إذا رغبت، يمكننا توضيح لماذا هذا الكورس هو الأنسب لكم الآن.")</x:f>
      </x:c>
      <x:c r="N52" s="12" t="str">
        <x:f>IF(D52="","",HYPERLINK("https://wa.me/"&amp;REGEXREPLACE(D52,"[^\d]","")&amp;"?text="&amp;ENCODEURL(M52),"واتساب 2"))</x:f>
      </x:c>
      <x:c r="O52" s="12" t="str">
        <x:f>IF(A52="","","مرحبًا "&amp;C52&amp;CHAR(10)&amp;CHAR(10)&amp;"إذا كانت التحديات لديكم تحتاج حلًا أشمل، فالبرنامج الكامل المناسب لكم هو: "&amp;H52&amp;"."&amp;IF(I52&lt;&gt;"",CHAR(10)&amp;"كما يمكنكم أيضًا حجز: "&amp;I52&amp;".","")&amp;IF(J52&lt;&gt;"",CHAR(10)&amp;CHAR(10)&amp;"رابط التقرير: "&amp;J52,"")&amp;CHAR(10)&amp;CHAR(10)&amp;"يسعدنا مساعدتكم في اختيار المسار الأنسب حسب وضع العيادة الحالي.")</x:f>
      </x:c>
      <x:c r="P52" s="12" t="str">
        <x:f>IF(D52="","",HYPERLINK("https://wa.me/"&amp;REGEXREPLACE(D52,"[^\d]","")&amp;"?text="&amp;ENCODEURL(O52),"واتساب 3"))</x:f>
      </x:c>
    </x:row>
    <x:row r="53" ht="15" hidden="0" customHeight="1">
      <x:c r="A53" s="12" t="str">
        <x:f>IF(Leads!A53="","",Leads!A53)</x:f>
      </x:c>
      <x:c r="B53" s="12" t="str">
        <x:f>IF(Leads!F53="","",Leads!F53)</x:f>
      </x:c>
      <x:c r="C53" s="12" t="str">
        <x:f>IF(Leads!G53="","",Leads!G53)</x:f>
      </x:c>
      <x:c r="D53" s="12" t="str">
        <x:f>IF(Leads!O53="","",Leads!O53)</x:f>
      </x:c>
      <x:c r="E53" s="12" t="str">
        <x:f>IF(Leads!AV53="","",Leads!AV53)</x:f>
      </x:c>
      <x:c r="F53" s="12" t="str">
        <x:f>IF(Leads!AX53="","",Leads!AX53)</x:f>
      </x:c>
      <x:c r="G53" s="12" t="str">
        <x:f>IF(Leads!BC53="","",Leads!BC53)</x:f>
      </x:c>
      <x:c r="H53" s="12" t="str">
        <x:f>IF(Leads!BE53="","",Leads!BE53)</x:f>
      </x:c>
      <x:c r="I53" s="12" t="str">
        <x:f>IF(Leads!BG53="","",Leads!BG53)</x:f>
      </x:c>
      <x:c r="J53" s="12" t="str">
        <x:f>IF(Leads!BH53="","",Leads!BH53)</x:f>
      </x:c>
      <x:c r="K53" s="12" t="str">
        <x:f>IF(A53="","","مرحبًا "&amp;C53&amp;CHAR(10)&amp;CHAR(10)&amp;"شكرًا لإتمام تقييم DBD الخاص بعيادة "&amp;B53&amp;"."&amp;CHAR(10)&amp;"نتيجتكم الحالية: "&amp;E53&amp;"%."&amp;CHAR(10)&amp;"أولوية التحسين الأولى: "&amp;F53&amp;"."&amp;IF(J53&lt;&gt;"",CHAR(10)&amp;CHAR(10)&amp;"رابط التقرير: "&amp;J53,"")&amp;CHAR(10)&amp;CHAR(10)&amp;"إذا أحببت، يمكننا مساعدتك في فهم التقرير وتحديد أفضل خطوة تالية لعيادتكم.")</x:f>
      </x:c>
      <x:c r="L53" s="12" t="str">
        <x:f>IF(D53="","",HYPERLINK("https://wa.me/"&amp;REGEXREPLACE(D53,"[^\d]","")&amp;"?text="&amp;ENCODEURL(K53),"واتساب 1"))</x:f>
      </x:c>
      <x:c r="M53" s="12" t="str">
        <x:f>IF(A53="","","مرحبًا "&amp;C53&amp;CHAR(10)&amp;CHAR(10)&amp;"بناءً على نتيجة تقييم عيادة "&amp;B53&amp;"، فإن الترشيح الأقوى لكم الآن هو: "&amp;G53&amp;"."&amp;CHAR(10)&amp;"هذا الخيار يساعدكم في معالجة أكبر فجوة حالية بشكل عملي ومباشر."&amp;IF(J53&lt;&gt;"",CHAR(10)&amp;CHAR(10)&amp;"رابط التقرير: "&amp;J53,"")&amp;CHAR(10)&amp;CHAR(10)&amp;"إذا رغبت، يمكننا توضيح لماذا هذا الكورس هو الأنسب لكم الآن.")</x:f>
      </x:c>
      <x:c r="N53" s="12" t="str">
        <x:f>IF(D53="","",HYPERLINK("https://wa.me/"&amp;REGEXREPLACE(D53,"[^\d]","")&amp;"?text="&amp;ENCODEURL(M53),"واتساب 2"))</x:f>
      </x:c>
      <x:c r="O53" s="12" t="str">
        <x:f>IF(A53="","","مرحبًا "&amp;C53&amp;CHAR(10)&amp;CHAR(10)&amp;"إذا كانت التحديات لديكم تحتاج حلًا أشمل، فالبرنامج الكامل المناسب لكم هو: "&amp;H53&amp;"."&amp;IF(I53&lt;&gt;"",CHAR(10)&amp;"كما يمكنكم أيضًا حجز: "&amp;I53&amp;".","")&amp;IF(J53&lt;&gt;"",CHAR(10)&amp;CHAR(10)&amp;"رابط التقرير: "&amp;J53,"")&amp;CHAR(10)&amp;CHAR(10)&amp;"يسعدنا مساعدتكم في اختيار المسار الأنسب حسب وضع العيادة الحالي.")</x:f>
      </x:c>
      <x:c r="P53" s="12" t="str">
        <x:f>IF(D53="","",HYPERLINK("https://wa.me/"&amp;REGEXREPLACE(D53,"[^\d]","")&amp;"?text="&amp;ENCODEURL(O53),"واتساب 3"))</x:f>
      </x:c>
    </x:row>
    <x:row r="54" ht="15" hidden="0" customHeight="1">
      <x:c r="A54" s="12" t="str">
        <x:f>IF(Leads!A54="","",Leads!A54)</x:f>
      </x:c>
      <x:c r="B54" s="12" t="str">
        <x:f>IF(Leads!F54="","",Leads!F54)</x:f>
      </x:c>
      <x:c r="C54" s="12" t="str">
        <x:f>IF(Leads!G54="","",Leads!G54)</x:f>
      </x:c>
      <x:c r="D54" s="12" t="str">
        <x:f>IF(Leads!O54="","",Leads!O54)</x:f>
      </x:c>
      <x:c r="E54" s="12" t="str">
        <x:f>IF(Leads!AV54="","",Leads!AV54)</x:f>
      </x:c>
      <x:c r="F54" s="12" t="str">
        <x:f>IF(Leads!AX54="","",Leads!AX54)</x:f>
      </x:c>
      <x:c r="G54" s="12" t="str">
        <x:f>IF(Leads!BC54="","",Leads!BC54)</x:f>
      </x:c>
      <x:c r="H54" s="12" t="str">
        <x:f>IF(Leads!BE54="","",Leads!BE54)</x:f>
      </x:c>
      <x:c r="I54" s="12" t="str">
        <x:f>IF(Leads!BG54="","",Leads!BG54)</x:f>
      </x:c>
      <x:c r="J54" s="12" t="str">
        <x:f>IF(Leads!BH54="","",Leads!BH54)</x:f>
      </x:c>
      <x:c r="K54" s="12" t="str">
        <x:f>IF(A54="","","مرحبًا "&amp;C54&amp;CHAR(10)&amp;CHAR(10)&amp;"شكرًا لإتمام تقييم DBD الخاص بعيادة "&amp;B54&amp;"."&amp;CHAR(10)&amp;"نتيجتكم الحالية: "&amp;E54&amp;"%."&amp;CHAR(10)&amp;"أولوية التحسين الأولى: "&amp;F54&amp;"."&amp;IF(J54&lt;&gt;"",CHAR(10)&amp;CHAR(10)&amp;"رابط التقرير: "&amp;J54,"")&amp;CHAR(10)&amp;CHAR(10)&amp;"إذا أحببت، يمكننا مساعدتك في فهم التقرير وتحديد أفضل خطوة تالية لعيادتكم.")</x:f>
      </x:c>
      <x:c r="L54" s="12" t="str">
        <x:f>IF(D54="","",HYPERLINK("https://wa.me/"&amp;REGEXREPLACE(D54,"[^\d]","")&amp;"?text="&amp;ENCODEURL(K54),"واتساب 1"))</x:f>
      </x:c>
      <x:c r="M54" s="12" t="str">
        <x:f>IF(A54="","","مرحبًا "&amp;C54&amp;CHAR(10)&amp;CHAR(10)&amp;"بناءً على نتيجة تقييم عيادة "&amp;B54&amp;"، فإن الترشيح الأقوى لكم الآن هو: "&amp;G54&amp;"."&amp;CHAR(10)&amp;"هذا الخيار يساعدكم في معالجة أكبر فجوة حالية بشكل عملي ومباشر."&amp;IF(J54&lt;&gt;"",CHAR(10)&amp;CHAR(10)&amp;"رابط التقرير: "&amp;J54,"")&amp;CHAR(10)&amp;CHAR(10)&amp;"إذا رغبت، يمكننا توضيح لماذا هذا الكورس هو الأنسب لكم الآن.")</x:f>
      </x:c>
      <x:c r="N54" s="12" t="str">
        <x:f>IF(D54="","",HYPERLINK("https://wa.me/"&amp;REGEXREPLACE(D54,"[^\d]","")&amp;"?text="&amp;ENCODEURL(M54),"واتساب 2"))</x:f>
      </x:c>
      <x:c r="O54" s="12" t="str">
        <x:f>IF(A54="","","مرحبًا "&amp;C54&amp;CHAR(10)&amp;CHAR(10)&amp;"إذا كانت التحديات لديكم تحتاج حلًا أشمل، فالبرنامج الكامل المناسب لكم هو: "&amp;H54&amp;"."&amp;IF(I54&lt;&gt;"",CHAR(10)&amp;"كما يمكنكم أيضًا حجز: "&amp;I54&amp;".","")&amp;IF(J54&lt;&gt;"",CHAR(10)&amp;CHAR(10)&amp;"رابط التقرير: "&amp;J54,"")&amp;CHAR(10)&amp;CHAR(10)&amp;"يسعدنا مساعدتكم في اختيار المسار الأنسب حسب وضع العيادة الحالي.")</x:f>
      </x:c>
      <x:c r="P54" s="12" t="str">
        <x:f>IF(D54="","",HYPERLINK("https://wa.me/"&amp;REGEXREPLACE(D54,"[^\d]","")&amp;"?text="&amp;ENCODEURL(O54),"واتساب 3"))</x:f>
      </x:c>
    </x:row>
    <x:row r="55" ht="15" hidden="0" customHeight="1">
      <x:c r="A55" s="12" t="str">
        <x:f>IF(Leads!A55="","",Leads!A55)</x:f>
      </x:c>
      <x:c r="B55" s="12" t="str">
        <x:f>IF(Leads!F55="","",Leads!F55)</x:f>
      </x:c>
      <x:c r="C55" s="12" t="str">
        <x:f>IF(Leads!G55="","",Leads!G55)</x:f>
      </x:c>
      <x:c r="D55" s="12" t="str">
        <x:f>IF(Leads!O55="","",Leads!O55)</x:f>
      </x:c>
      <x:c r="E55" s="12" t="str">
        <x:f>IF(Leads!AV55="","",Leads!AV55)</x:f>
      </x:c>
      <x:c r="F55" s="12" t="str">
        <x:f>IF(Leads!AX55="","",Leads!AX55)</x:f>
      </x:c>
      <x:c r="G55" s="12" t="str">
        <x:f>IF(Leads!BC55="","",Leads!BC55)</x:f>
      </x:c>
      <x:c r="H55" s="12" t="str">
        <x:f>IF(Leads!BE55="","",Leads!BE55)</x:f>
      </x:c>
      <x:c r="I55" s="12" t="str">
        <x:f>IF(Leads!BG55="","",Leads!BG55)</x:f>
      </x:c>
      <x:c r="J55" s="12" t="str">
        <x:f>IF(Leads!BH55="","",Leads!BH55)</x:f>
      </x:c>
      <x:c r="K55" s="12" t="str">
        <x:f>IF(A55="","","مرحبًا "&amp;C55&amp;CHAR(10)&amp;CHAR(10)&amp;"شكرًا لإتمام تقييم DBD الخاص بعيادة "&amp;B55&amp;"."&amp;CHAR(10)&amp;"نتيجتكم الحالية: "&amp;E55&amp;"%."&amp;CHAR(10)&amp;"أولوية التحسين الأولى: "&amp;F55&amp;"."&amp;IF(J55&lt;&gt;"",CHAR(10)&amp;CHAR(10)&amp;"رابط التقرير: "&amp;J55,"")&amp;CHAR(10)&amp;CHAR(10)&amp;"إذا أحببت، يمكننا مساعدتك في فهم التقرير وتحديد أفضل خطوة تالية لعيادتكم.")</x:f>
      </x:c>
      <x:c r="L55" s="12" t="str">
        <x:f>IF(D55="","",HYPERLINK("https://wa.me/"&amp;REGEXREPLACE(D55,"[^\d]","")&amp;"?text="&amp;ENCODEURL(K55),"واتساب 1"))</x:f>
      </x:c>
      <x:c r="M55" s="12" t="str">
        <x:f>IF(A55="","","مرحبًا "&amp;C55&amp;CHAR(10)&amp;CHAR(10)&amp;"بناءً على نتيجة تقييم عيادة "&amp;B55&amp;"، فإن الترشيح الأقوى لكم الآن هو: "&amp;G55&amp;"."&amp;CHAR(10)&amp;"هذا الخيار يساعدكم في معالجة أكبر فجوة حالية بشكل عملي ومباشر."&amp;IF(J55&lt;&gt;"",CHAR(10)&amp;CHAR(10)&amp;"رابط التقرير: "&amp;J55,"")&amp;CHAR(10)&amp;CHAR(10)&amp;"إذا رغبت، يمكننا توضيح لماذا هذا الكورس هو الأنسب لكم الآن.")</x:f>
      </x:c>
      <x:c r="N55" s="12" t="str">
        <x:f>IF(D55="","",HYPERLINK("https://wa.me/"&amp;REGEXREPLACE(D55,"[^\d]","")&amp;"?text="&amp;ENCODEURL(M55),"واتساب 2"))</x:f>
      </x:c>
      <x:c r="O55" s="12" t="str">
        <x:f>IF(A55="","","مرحبًا "&amp;C55&amp;CHAR(10)&amp;CHAR(10)&amp;"إذا كانت التحديات لديكم تحتاج حلًا أشمل، فالبرنامج الكامل المناسب لكم هو: "&amp;H55&amp;"."&amp;IF(I55&lt;&gt;"",CHAR(10)&amp;"كما يمكنكم أيضًا حجز: "&amp;I55&amp;".","")&amp;IF(J55&lt;&gt;"",CHAR(10)&amp;CHAR(10)&amp;"رابط التقرير: "&amp;J55,"")&amp;CHAR(10)&amp;CHAR(10)&amp;"يسعدنا مساعدتكم في اختيار المسار الأنسب حسب وضع العيادة الحالي.")</x:f>
      </x:c>
      <x:c r="P55" s="12" t="str">
        <x:f>IF(D55="","",HYPERLINK("https://wa.me/"&amp;REGEXREPLACE(D55,"[^\d]","")&amp;"?text="&amp;ENCODEURL(O55),"واتساب 3"))</x:f>
      </x:c>
    </x:row>
    <x:row r="56" ht="15" hidden="0" customHeight="1">
      <x:c r="A56" s="12" t="str">
        <x:f>IF(Leads!A56="","",Leads!A56)</x:f>
      </x:c>
      <x:c r="B56" s="12" t="str">
        <x:f>IF(Leads!F56="","",Leads!F56)</x:f>
      </x:c>
      <x:c r="C56" s="12" t="str">
        <x:f>IF(Leads!G56="","",Leads!G56)</x:f>
      </x:c>
      <x:c r="D56" s="12" t="str">
        <x:f>IF(Leads!O56="","",Leads!O56)</x:f>
      </x:c>
      <x:c r="E56" s="12" t="str">
        <x:f>IF(Leads!AV56="","",Leads!AV56)</x:f>
      </x:c>
      <x:c r="F56" s="12" t="str">
        <x:f>IF(Leads!AX56="","",Leads!AX56)</x:f>
      </x:c>
      <x:c r="G56" s="12" t="str">
        <x:f>IF(Leads!BC56="","",Leads!BC56)</x:f>
      </x:c>
      <x:c r="H56" s="12" t="str">
        <x:f>IF(Leads!BE56="","",Leads!BE56)</x:f>
      </x:c>
      <x:c r="I56" s="12" t="str">
        <x:f>IF(Leads!BG56="","",Leads!BG56)</x:f>
      </x:c>
      <x:c r="J56" s="12" t="str">
        <x:f>IF(Leads!BH56="","",Leads!BH56)</x:f>
      </x:c>
      <x:c r="K56" s="12" t="str">
        <x:f>IF(A56="","","مرحبًا "&amp;C56&amp;CHAR(10)&amp;CHAR(10)&amp;"شكرًا لإتمام تقييم DBD الخاص بعيادة "&amp;B56&amp;"."&amp;CHAR(10)&amp;"نتيجتكم الحالية: "&amp;E56&amp;"%."&amp;CHAR(10)&amp;"أولوية التحسين الأولى: "&amp;F56&amp;"."&amp;IF(J56&lt;&gt;"",CHAR(10)&amp;CHAR(10)&amp;"رابط التقرير: "&amp;J56,"")&amp;CHAR(10)&amp;CHAR(10)&amp;"إذا أحببت، يمكننا مساعدتك في فهم التقرير وتحديد أفضل خطوة تالية لعيادتكم.")</x:f>
      </x:c>
      <x:c r="L56" s="12" t="str">
        <x:f>IF(D56="","",HYPERLINK("https://wa.me/"&amp;REGEXREPLACE(D56,"[^\d]","")&amp;"?text="&amp;ENCODEURL(K56),"واتساب 1"))</x:f>
      </x:c>
      <x:c r="M56" s="12" t="str">
        <x:f>IF(A56="","","مرحبًا "&amp;C56&amp;CHAR(10)&amp;CHAR(10)&amp;"بناءً على نتيجة تقييم عيادة "&amp;B56&amp;"، فإن الترشيح الأقوى لكم الآن هو: "&amp;G56&amp;"."&amp;CHAR(10)&amp;"هذا الخيار يساعدكم في معالجة أكبر فجوة حالية بشكل عملي ومباشر."&amp;IF(J56&lt;&gt;"",CHAR(10)&amp;CHAR(10)&amp;"رابط التقرير: "&amp;J56,"")&amp;CHAR(10)&amp;CHAR(10)&amp;"إذا رغبت، يمكننا توضيح لماذا هذا الكورس هو الأنسب لكم الآن.")</x:f>
      </x:c>
      <x:c r="N56" s="12" t="str">
        <x:f>IF(D56="","",HYPERLINK("https://wa.me/"&amp;REGEXREPLACE(D56,"[^\d]","")&amp;"?text="&amp;ENCODEURL(M56),"واتساب 2"))</x:f>
      </x:c>
      <x:c r="O56" s="12" t="str">
        <x:f>IF(A56="","","مرحبًا "&amp;C56&amp;CHAR(10)&amp;CHAR(10)&amp;"إذا كانت التحديات لديكم تحتاج حلًا أشمل، فالبرنامج الكامل المناسب لكم هو: "&amp;H56&amp;"."&amp;IF(I56&lt;&gt;"",CHAR(10)&amp;"كما يمكنكم أيضًا حجز: "&amp;I56&amp;".","")&amp;IF(J56&lt;&gt;"",CHAR(10)&amp;CHAR(10)&amp;"رابط التقرير: "&amp;J56,"")&amp;CHAR(10)&amp;CHAR(10)&amp;"يسعدنا مساعدتكم في اختيار المسار الأنسب حسب وضع العيادة الحالي.")</x:f>
      </x:c>
      <x:c r="P56" s="12" t="str">
        <x:f>IF(D56="","",HYPERLINK("https://wa.me/"&amp;REGEXREPLACE(D56,"[^\d]","")&amp;"?text="&amp;ENCODEURL(O56),"واتساب 3"))</x:f>
      </x:c>
    </x:row>
    <x:row r="57" ht="15" hidden="0" customHeight="1">
      <x:c r="A57" s="12" t="str">
        <x:f>IF(Leads!A57="","",Leads!A57)</x:f>
      </x:c>
      <x:c r="B57" s="12" t="str">
        <x:f>IF(Leads!F57="","",Leads!F57)</x:f>
      </x:c>
      <x:c r="C57" s="12" t="str">
        <x:f>IF(Leads!G57="","",Leads!G57)</x:f>
      </x:c>
      <x:c r="D57" s="12" t="str">
        <x:f>IF(Leads!O57="","",Leads!O57)</x:f>
      </x:c>
      <x:c r="E57" s="12" t="str">
        <x:f>IF(Leads!AV57="","",Leads!AV57)</x:f>
      </x:c>
      <x:c r="F57" s="12" t="str">
        <x:f>IF(Leads!AX57="","",Leads!AX57)</x:f>
      </x:c>
      <x:c r="G57" s="12" t="str">
        <x:f>IF(Leads!BC57="","",Leads!BC57)</x:f>
      </x:c>
      <x:c r="H57" s="12" t="str">
        <x:f>IF(Leads!BE57="","",Leads!BE57)</x:f>
      </x:c>
      <x:c r="I57" s="12" t="str">
        <x:f>IF(Leads!BG57="","",Leads!BG57)</x:f>
      </x:c>
      <x:c r="J57" s="12" t="str">
        <x:f>IF(Leads!BH57="","",Leads!BH57)</x:f>
      </x:c>
      <x:c r="K57" s="12" t="str">
        <x:f>IF(A57="","","مرحبًا "&amp;C57&amp;CHAR(10)&amp;CHAR(10)&amp;"شكرًا لإتمام تقييم DBD الخاص بعيادة "&amp;B57&amp;"."&amp;CHAR(10)&amp;"نتيجتكم الحالية: "&amp;E57&amp;"%."&amp;CHAR(10)&amp;"أولوية التحسين الأولى: "&amp;F57&amp;"."&amp;IF(J57&lt;&gt;"",CHAR(10)&amp;CHAR(10)&amp;"رابط التقرير: "&amp;J57,"")&amp;CHAR(10)&amp;CHAR(10)&amp;"إذا أحببت، يمكننا مساعدتك في فهم التقرير وتحديد أفضل خطوة تالية لعيادتكم.")</x:f>
      </x:c>
      <x:c r="L57" s="12" t="str">
        <x:f>IF(D57="","",HYPERLINK("https://wa.me/"&amp;REGEXREPLACE(D57,"[^\d]","")&amp;"?text="&amp;ENCODEURL(K57),"واتساب 1"))</x:f>
      </x:c>
      <x:c r="M57" s="12" t="str">
        <x:f>IF(A57="","","مرحبًا "&amp;C57&amp;CHAR(10)&amp;CHAR(10)&amp;"بناءً على نتيجة تقييم عيادة "&amp;B57&amp;"، فإن الترشيح الأقوى لكم الآن هو: "&amp;G57&amp;"."&amp;CHAR(10)&amp;"هذا الخيار يساعدكم في معالجة أكبر فجوة حالية بشكل عملي ومباشر."&amp;IF(J57&lt;&gt;"",CHAR(10)&amp;CHAR(10)&amp;"رابط التقرير: "&amp;J57,"")&amp;CHAR(10)&amp;CHAR(10)&amp;"إذا رغبت، يمكننا توضيح لماذا هذا الكورس هو الأنسب لكم الآن.")</x:f>
      </x:c>
      <x:c r="N57" s="12" t="str">
        <x:f>IF(D57="","",HYPERLINK("https://wa.me/"&amp;REGEXREPLACE(D57,"[^\d]","")&amp;"?text="&amp;ENCODEURL(M57),"واتساب 2"))</x:f>
      </x:c>
      <x:c r="O57" s="12" t="str">
        <x:f>IF(A57="","","مرحبًا "&amp;C57&amp;CHAR(10)&amp;CHAR(10)&amp;"إذا كانت التحديات لديكم تحتاج حلًا أشمل، فالبرنامج الكامل المناسب لكم هو: "&amp;H57&amp;"."&amp;IF(I57&lt;&gt;"",CHAR(10)&amp;"كما يمكنكم أيضًا حجز: "&amp;I57&amp;".","")&amp;IF(J57&lt;&gt;"",CHAR(10)&amp;CHAR(10)&amp;"رابط التقرير: "&amp;J57,"")&amp;CHAR(10)&amp;CHAR(10)&amp;"يسعدنا مساعدتكم في اختيار المسار الأنسب حسب وضع العيادة الحالي.")</x:f>
      </x:c>
      <x:c r="P57" s="12" t="str">
        <x:f>IF(D57="","",HYPERLINK("https://wa.me/"&amp;REGEXREPLACE(D57,"[^\d]","")&amp;"?text="&amp;ENCODEURL(O57),"واتساب 3"))</x:f>
      </x:c>
    </x:row>
    <x:row r="58" ht="15" hidden="0" customHeight="1">
      <x:c r="A58" s="12" t="str">
        <x:f>IF(Leads!A58="","",Leads!A58)</x:f>
      </x:c>
      <x:c r="B58" s="12" t="str">
        <x:f>IF(Leads!F58="","",Leads!F58)</x:f>
      </x:c>
      <x:c r="C58" s="12" t="str">
        <x:f>IF(Leads!G58="","",Leads!G58)</x:f>
      </x:c>
      <x:c r="D58" s="12" t="str">
        <x:f>IF(Leads!O58="","",Leads!O58)</x:f>
      </x:c>
      <x:c r="E58" s="12" t="str">
        <x:f>IF(Leads!AV58="","",Leads!AV58)</x:f>
      </x:c>
      <x:c r="F58" s="12" t="str">
        <x:f>IF(Leads!AX58="","",Leads!AX58)</x:f>
      </x:c>
      <x:c r="G58" s="12" t="str">
        <x:f>IF(Leads!BC58="","",Leads!BC58)</x:f>
      </x:c>
      <x:c r="H58" s="12" t="str">
        <x:f>IF(Leads!BE58="","",Leads!BE58)</x:f>
      </x:c>
      <x:c r="I58" s="12" t="str">
        <x:f>IF(Leads!BG58="","",Leads!BG58)</x:f>
      </x:c>
      <x:c r="J58" s="12" t="str">
        <x:f>IF(Leads!BH58="","",Leads!BH58)</x:f>
      </x:c>
      <x:c r="K58" s="12" t="str">
        <x:f>IF(A58="","","مرحبًا "&amp;C58&amp;CHAR(10)&amp;CHAR(10)&amp;"شكرًا لإتمام تقييم DBD الخاص بعيادة "&amp;B58&amp;"."&amp;CHAR(10)&amp;"نتيجتكم الحالية: "&amp;E58&amp;"%."&amp;CHAR(10)&amp;"أولوية التحسين الأولى: "&amp;F58&amp;"."&amp;IF(J58&lt;&gt;"",CHAR(10)&amp;CHAR(10)&amp;"رابط التقرير: "&amp;J58,"")&amp;CHAR(10)&amp;CHAR(10)&amp;"إذا أحببت، يمكننا مساعدتك في فهم التقرير وتحديد أفضل خطوة تالية لعيادتكم.")</x:f>
      </x:c>
      <x:c r="L58" s="12" t="str">
        <x:f>IF(D58="","",HYPERLINK("https://wa.me/"&amp;REGEXREPLACE(D58,"[^\d]","")&amp;"?text="&amp;ENCODEURL(K58),"واتساب 1"))</x:f>
      </x:c>
      <x:c r="M58" s="12" t="str">
        <x:f>IF(A58="","","مرحبًا "&amp;C58&amp;CHAR(10)&amp;CHAR(10)&amp;"بناءً على نتيجة تقييم عيادة "&amp;B58&amp;"، فإن الترشيح الأقوى لكم الآن هو: "&amp;G58&amp;"."&amp;CHAR(10)&amp;"هذا الخيار يساعدكم في معالجة أكبر فجوة حالية بشكل عملي ومباشر."&amp;IF(J58&lt;&gt;"",CHAR(10)&amp;CHAR(10)&amp;"رابط التقرير: "&amp;J58,"")&amp;CHAR(10)&amp;CHAR(10)&amp;"إذا رغبت، يمكننا توضيح لماذا هذا الكورس هو الأنسب لكم الآن.")</x:f>
      </x:c>
      <x:c r="N58" s="12" t="str">
        <x:f>IF(D58="","",HYPERLINK("https://wa.me/"&amp;REGEXREPLACE(D58,"[^\d]","")&amp;"?text="&amp;ENCODEURL(M58),"واتساب 2"))</x:f>
      </x:c>
      <x:c r="O58" s="12" t="str">
        <x:f>IF(A58="","","مرحبًا "&amp;C58&amp;CHAR(10)&amp;CHAR(10)&amp;"إذا كانت التحديات لديكم تحتاج حلًا أشمل، فالبرنامج الكامل المناسب لكم هو: "&amp;H58&amp;"."&amp;IF(I58&lt;&gt;"",CHAR(10)&amp;"كما يمكنكم أيضًا حجز: "&amp;I58&amp;".","")&amp;IF(J58&lt;&gt;"",CHAR(10)&amp;CHAR(10)&amp;"رابط التقرير: "&amp;J58,"")&amp;CHAR(10)&amp;CHAR(10)&amp;"يسعدنا مساعدتكم في اختيار المسار الأنسب حسب وضع العيادة الحالي.")</x:f>
      </x:c>
      <x:c r="P58" s="12" t="str">
        <x:f>IF(D58="","",HYPERLINK("https://wa.me/"&amp;REGEXREPLACE(D58,"[^\d]","")&amp;"?text="&amp;ENCODEURL(O58),"واتساب 3"))</x:f>
      </x:c>
    </x:row>
    <x:row r="59" ht="15" hidden="0" customHeight="1">
      <x:c r="A59" s="12" t="str">
        <x:f>IF(Leads!A59="","",Leads!A59)</x:f>
      </x:c>
      <x:c r="B59" s="12" t="str">
        <x:f>IF(Leads!F59="","",Leads!F59)</x:f>
      </x:c>
      <x:c r="C59" s="12" t="str">
        <x:f>IF(Leads!G59="","",Leads!G59)</x:f>
      </x:c>
      <x:c r="D59" s="12" t="str">
        <x:f>IF(Leads!O59="","",Leads!O59)</x:f>
      </x:c>
      <x:c r="E59" s="12" t="str">
        <x:f>IF(Leads!AV59="","",Leads!AV59)</x:f>
      </x:c>
      <x:c r="F59" s="12" t="str">
        <x:f>IF(Leads!AX59="","",Leads!AX59)</x:f>
      </x:c>
      <x:c r="G59" s="12" t="str">
        <x:f>IF(Leads!BC59="","",Leads!BC59)</x:f>
      </x:c>
      <x:c r="H59" s="12" t="str">
        <x:f>IF(Leads!BE59="","",Leads!BE59)</x:f>
      </x:c>
      <x:c r="I59" s="12" t="str">
        <x:f>IF(Leads!BG59="","",Leads!BG59)</x:f>
      </x:c>
      <x:c r="J59" s="12" t="str">
        <x:f>IF(Leads!BH59="","",Leads!BH59)</x:f>
      </x:c>
      <x:c r="K59" s="12" t="str">
        <x:f>IF(A59="","","مرحبًا "&amp;C59&amp;CHAR(10)&amp;CHAR(10)&amp;"شكرًا لإتمام تقييم DBD الخاص بعيادة "&amp;B59&amp;"."&amp;CHAR(10)&amp;"نتيجتكم الحالية: "&amp;E59&amp;"%."&amp;CHAR(10)&amp;"أولوية التحسين الأولى: "&amp;F59&amp;"."&amp;IF(J59&lt;&gt;"",CHAR(10)&amp;CHAR(10)&amp;"رابط التقرير: "&amp;J59,"")&amp;CHAR(10)&amp;CHAR(10)&amp;"إذا أحببت، يمكننا مساعدتك في فهم التقرير وتحديد أفضل خطوة تالية لعيادتكم.")</x:f>
      </x:c>
      <x:c r="L59" s="12" t="str">
        <x:f>IF(D59="","",HYPERLINK("https://wa.me/"&amp;REGEXREPLACE(D59,"[^\d]","")&amp;"?text="&amp;ENCODEURL(K59),"واتساب 1"))</x:f>
      </x:c>
      <x:c r="M59" s="12" t="str">
        <x:f>IF(A59="","","مرحبًا "&amp;C59&amp;CHAR(10)&amp;CHAR(10)&amp;"بناءً على نتيجة تقييم عيادة "&amp;B59&amp;"، فإن الترشيح الأقوى لكم الآن هو: "&amp;G59&amp;"."&amp;CHAR(10)&amp;"هذا الخيار يساعدكم في معالجة أكبر فجوة حالية بشكل عملي ومباشر."&amp;IF(J59&lt;&gt;"",CHAR(10)&amp;CHAR(10)&amp;"رابط التقرير: "&amp;J59,"")&amp;CHAR(10)&amp;CHAR(10)&amp;"إذا رغبت، يمكننا توضيح لماذا هذا الكورس هو الأنسب لكم الآن.")</x:f>
      </x:c>
      <x:c r="N59" s="12" t="str">
        <x:f>IF(D59="","",HYPERLINK("https://wa.me/"&amp;REGEXREPLACE(D59,"[^\d]","")&amp;"?text="&amp;ENCODEURL(M59),"واتساب 2"))</x:f>
      </x:c>
      <x:c r="O59" s="12" t="str">
        <x:f>IF(A59="","","مرحبًا "&amp;C59&amp;CHAR(10)&amp;CHAR(10)&amp;"إذا كانت التحديات لديكم تحتاج حلًا أشمل، فالبرنامج الكامل المناسب لكم هو: "&amp;H59&amp;"."&amp;IF(I59&lt;&gt;"",CHAR(10)&amp;"كما يمكنكم أيضًا حجز: "&amp;I59&amp;".","")&amp;IF(J59&lt;&gt;"",CHAR(10)&amp;CHAR(10)&amp;"رابط التقرير: "&amp;J59,"")&amp;CHAR(10)&amp;CHAR(10)&amp;"يسعدنا مساعدتكم في اختيار المسار الأنسب حسب وضع العيادة الحالي.")</x:f>
      </x:c>
      <x:c r="P59" s="12" t="str">
        <x:f>IF(D59="","",HYPERLINK("https://wa.me/"&amp;REGEXREPLACE(D59,"[^\d]","")&amp;"?text="&amp;ENCODEURL(O59),"واتساب 3"))</x:f>
      </x:c>
    </x:row>
    <x:row r="60" ht="15" hidden="0" customHeight="1">
      <x:c r="A60" s="12" t="str">
        <x:f>IF(Leads!A60="","",Leads!A60)</x:f>
      </x:c>
      <x:c r="B60" s="12" t="str">
        <x:f>IF(Leads!F60="","",Leads!F60)</x:f>
      </x:c>
      <x:c r="C60" s="12" t="str">
        <x:f>IF(Leads!G60="","",Leads!G60)</x:f>
      </x:c>
      <x:c r="D60" s="12" t="str">
        <x:f>IF(Leads!O60="","",Leads!O60)</x:f>
      </x:c>
      <x:c r="E60" s="12" t="str">
        <x:f>IF(Leads!AV60="","",Leads!AV60)</x:f>
      </x:c>
      <x:c r="F60" s="12" t="str">
        <x:f>IF(Leads!AX60="","",Leads!AX60)</x:f>
      </x:c>
      <x:c r="G60" s="12" t="str">
        <x:f>IF(Leads!BC60="","",Leads!BC60)</x:f>
      </x:c>
      <x:c r="H60" s="12" t="str">
        <x:f>IF(Leads!BE60="","",Leads!BE60)</x:f>
      </x:c>
      <x:c r="I60" s="12" t="str">
        <x:f>IF(Leads!BG60="","",Leads!BG60)</x:f>
      </x:c>
      <x:c r="J60" s="12" t="str">
        <x:f>IF(Leads!BH60="","",Leads!BH60)</x:f>
      </x:c>
      <x:c r="K60" s="12" t="str">
        <x:f>IF(A60="","","مرحبًا "&amp;C60&amp;CHAR(10)&amp;CHAR(10)&amp;"شكرًا لإتمام تقييم DBD الخاص بعيادة "&amp;B60&amp;"."&amp;CHAR(10)&amp;"نتيجتكم الحالية: "&amp;E60&amp;"%."&amp;CHAR(10)&amp;"أولوية التحسين الأولى: "&amp;F60&amp;"."&amp;IF(J60&lt;&gt;"",CHAR(10)&amp;CHAR(10)&amp;"رابط التقرير: "&amp;J60,"")&amp;CHAR(10)&amp;CHAR(10)&amp;"إذا أحببت، يمكننا مساعدتك في فهم التقرير وتحديد أفضل خطوة تالية لعيادتكم.")</x:f>
      </x:c>
      <x:c r="L60" s="12" t="str">
        <x:f>IF(D60="","",HYPERLINK("https://wa.me/"&amp;REGEXREPLACE(D60,"[^\d]","")&amp;"?text="&amp;ENCODEURL(K60),"واتساب 1"))</x:f>
      </x:c>
      <x:c r="M60" s="12" t="str">
        <x:f>IF(A60="","","مرحبًا "&amp;C60&amp;CHAR(10)&amp;CHAR(10)&amp;"بناءً على نتيجة تقييم عيادة "&amp;B60&amp;"، فإن الترشيح الأقوى لكم الآن هو: "&amp;G60&amp;"."&amp;CHAR(10)&amp;"هذا الخيار يساعدكم في معالجة أكبر فجوة حالية بشكل عملي ومباشر."&amp;IF(J60&lt;&gt;"",CHAR(10)&amp;CHAR(10)&amp;"رابط التقرير: "&amp;J60,"")&amp;CHAR(10)&amp;CHAR(10)&amp;"إذا رغبت، يمكننا توضيح لماذا هذا الكورس هو الأنسب لكم الآن.")</x:f>
      </x:c>
      <x:c r="N60" s="12" t="str">
        <x:f>IF(D60="","",HYPERLINK("https://wa.me/"&amp;REGEXREPLACE(D60,"[^\d]","")&amp;"?text="&amp;ENCODEURL(M60),"واتساب 2"))</x:f>
      </x:c>
      <x:c r="O60" s="12" t="str">
        <x:f>IF(A60="","","مرحبًا "&amp;C60&amp;CHAR(10)&amp;CHAR(10)&amp;"إذا كانت التحديات لديكم تحتاج حلًا أشمل، فالبرنامج الكامل المناسب لكم هو: "&amp;H60&amp;"."&amp;IF(I60&lt;&gt;"",CHAR(10)&amp;"كما يمكنكم أيضًا حجز: "&amp;I60&amp;".","")&amp;IF(J60&lt;&gt;"",CHAR(10)&amp;CHAR(10)&amp;"رابط التقرير: "&amp;J60,"")&amp;CHAR(10)&amp;CHAR(10)&amp;"يسعدنا مساعدتكم في اختيار المسار الأنسب حسب وضع العيادة الحالي.")</x:f>
      </x:c>
      <x:c r="P60" s="12" t="str">
        <x:f>IF(D60="","",HYPERLINK("https://wa.me/"&amp;REGEXREPLACE(D60,"[^\d]","")&amp;"?text="&amp;ENCODEURL(O60),"واتساب 3"))</x:f>
      </x:c>
    </x:row>
    <x:row r="61" ht="15" hidden="0" customHeight="1">
      <x:c r="A61" s="12" t="str">
        <x:f>IF(Leads!A61="","",Leads!A61)</x:f>
      </x:c>
      <x:c r="B61" s="12" t="str">
        <x:f>IF(Leads!F61="","",Leads!F61)</x:f>
      </x:c>
      <x:c r="C61" s="12" t="str">
        <x:f>IF(Leads!G61="","",Leads!G61)</x:f>
      </x:c>
      <x:c r="D61" s="12" t="str">
        <x:f>IF(Leads!O61="","",Leads!O61)</x:f>
      </x:c>
      <x:c r="E61" s="12" t="str">
        <x:f>IF(Leads!AV61="","",Leads!AV61)</x:f>
      </x:c>
      <x:c r="F61" s="12" t="str">
        <x:f>IF(Leads!AX61="","",Leads!AX61)</x:f>
      </x:c>
      <x:c r="G61" s="12" t="str">
        <x:f>IF(Leads!BC61="","",Leads!BC61)</x:f>
      </x:c>
      <x:c r="H61" s="12" t="str">
        <x:f>IF(Leads!BE61="","",Leads!BE61)</x:f>
      </x:c>
      <x:c r="I61" s="12" t="str">
        <x:f>IF(Leads!BG61="","",Leads!BG61)</x:f>
      </x:c>
      <x:c r="J61" s="12" t="str">
        <x:f>IF(Leads!BH61="","",Leads!BH61)</x:f>
      </x:c>
      <x:c r="K61" s="12" t="str">
        <x:f>IF(A61="","","مرحبًا "&amp;C61&amp;CHAR(10)&amp;CHAR(10)&amp;"شكرًا لإتمام تقييم DBD الخاص بعيادة "&amp;B61&amp;"."&amp;CHAR(10)&amp;"نتيجتكم الحالية: "&amp;E61&amp;"%."&amp;CHAR(10)&amp;"أولوية التحسين الأولى: "&amp;F61&amp;"."&amp;IF(J61&lt;&gt;"",CHAR(10)&amp;CHAR(10)&amp;"رابط التقرير: "&amp;J61,"")&amp;CHAR(10)&amp;CHAR(10)&amp;"إذا أحببت، يمكننا مساعدتك في فهم التقرير وتحديد أفضل خطوة تالية لعيادتكم.")</x:f>
      </x:c>
      <x:c r="L61" s="12" t="str">
        <x:f>IF(D61="","",HYPERLINK("https://wa.me/"&amp;REGEXREPLACE(D61,"[^\d]","")&amp;"?text="&amp;ENCODEURL(K61),"واتساب 1"))</x:f>
      </x:c>
      <x:c r="M61" s="12" t="str">
        <x:f>IF(A61="","","مرحبًا "&amp;C61&amp;CHAR(10)&amp;CHAR(10)&amp;"بناءً على نتيجة تقييم عيادة "&amp;B61&amp;"، فإن الترشيح الأقوى لكم الآن هو: "&amp;G61&amp;"."&amp;CHAR(10)&amp;"هذا الخيار يساعدكم في معالجة أكبر فجوة حالية بشكل عملي ومباشر."&amp;IF(J61&lt;&gt;"",CHAR(10)&amp;CHAR(10)&amp;"رابط التقرير: "&amp;J61,"")&amp;CHAR(10)&amp;CHAR(10)&amp;"إذا رغبت، يمكننا توضيح لماذا هذا الكورس هو الأنسب لكم الآن.")</x:f>
      </x:c>
      <x:c r="N61" s="12" t="str">
        <x:f>IF(D61="","",HYPERLINK("https://wa.me/"&amp;REGEXREPLACE(D61,"[^\d]","")&amp;"?text="&amp;ENCODEURL(M61),"واتساب 2"))</x:f>
      </x:c>
      <x:c r="O61" s="12" t="str">
        <x:f>IF(A61="","","مرحبًا "&amp;C61&amp;CHAR(10)&amp;CHAR(10)&amp;"إذا كانت التحديات لديكم تحتاج حلًا أشمل، فالبرنامج الكامل المناسب لكم هو: "&amp;H61&amp;"."&amp;IF(I61&lt;&gt;"",CHAR(10)&amp;"كما يمكنكم أيضًا حجز: "&amp;I61&amp;".","")&amp;IF(J61&lt;&gt;"",CHAR(10)&amp;CHAR(10)&amp;"رابط التقرير: "&amp;J61,"")&amp;CHAR(10)&amp;CHAR(10)&amp;"يسعدنا مساعدتكم في اختيار المسار الأنسب حسب وضع العيادة الحالي.")</x:f>
      </x:c>
      <x:c r="P61" s="12" t="str">
        <x:f>IF(D61="","",HYPERLINK("https://wa.me/"&amp;REGEXREPLACE(D61,"[^\d]","")&amp;"?text="&amp;ENCODEURL(O61),"واتساب 3"))</x:f>
      </x:c>
    </x:row>
    <x:row r="62" ht="15" hidden="0" customHeight="1">
      <x:c r="A62" s="12" t="str">
        <x:f>IF(Leads!A62="","",Leads!A62)</x:f>
      </x:c>
      <x:c r="B62" s="12" t="str">
        <x:f>IF(Leads!F62="","",Leads!F62)</x:f>
      </x:c>
      <x:c r="C62" s="12" t="str">
        <x:f>IF(Leads!G62="","",Leads!G62)</x:f>
      </x:c>
      <x:c r="D62" s="12" t="str">
        <x:f>IF(Leads!O62="","",Leads!O62)</x:f>
      </x:c>
      <x:c r="E62" s="12" t="str">
        <x:f>IF(Leads!AV62="","",Leads!AV62)</x:f>
      </x:c>
      <x:c r="F62" s="12" t="str">
        <x:f>IF(Leads!AX62="","",Leads!AX62)</x:f>
      </x:c>
      <x:c r="G62" s="12" t="str">
        <x:f>IF(Leads!BC62="","",Leads!BC62)</x:f>
      </x:c>
      <x:c r="H62" s="12" t="str">
        <x:f>IF(Leads!BE62="","",Leads!BE62)</x:f>
      </x:c>
      <x:c r="I62" s="12" t="str">
        <x:f>IF(Leads!BG62="","",Leads!BG62)</x:f>
      </x:c>
      <x:c r="J62" s="12" t="str">
        <x:f>IF(Leads!BH62="","",Leads!BH62)</x:f>
      </x:c>
      <x:c r="K62" s="12" t="str">
        <x:f>IF(A62="","","مرحبًا "&amp;C62&amp;CHAR(10)&amp;CHAR(10)&amp;"شكرًا لإتمام تقييم DBD الخاص بعيادة "&amp;B62&amp;"."&amp;CHAR(10)&amp;"نتيجتكم الحالية: "&amp;E62&amp;"%."&amp;CHAR(10)&amp;"أولوية التحسين الأولى: "&amp;F62&amp;"."&amp;IF(J62&lt;&gt;"",CHAR(10)&amp;CHAR(10)&amp;"رابط التقرير: "&amp;J62,"")&amp;CHAR(10)&amp;CHAR(10)&amp;"إذا أحببت، يمكننا مساعدتك في فهم التقرير وتحديد أفضل خطوة تالية لعيادتكم.")</x:f>
      </x:c>
      <x:c r="L62" s="12" t="str">
        <x:f>IF(D62="","",HYPERLINK("https://wa.me/"&amp;REGEXREPLACE(D62,"[^\d]","")&amp;"?text="&amp;ENCODEURL(K62),"واتساب 1"))</x:f>
      </x:c>
      <x:c r="M62" s="12" t="str">
        <x:f>IF(A62="","","مرحبًا "&amp;C62&amp;CHAR(10)&amp;CHAR(10)&amp;"بناءً على نتيجة تقييم عيادة "&amp;B62&amp;"، فإن الترشيح الأقوى لكم الآن هو: "&amp;G62&amp;"."&amp;CHAR(10)&amp;"هذا الخيار يساعدكم في معالجة أكبر فجوة حالية بشكل عملي ومباشر."&amp;IF(J62&lt;&gt;"",CHAR(10)&amp;CHAR(10)&amp;"رابط التقرير: "&amp;J62,"")&amp;CHAR(10)&amp;CHAR(10)&amp;"إذا رغبت، يمكننا توضيح لماذا هذا الكورس هو الأنسب لكم الآن.")</x:f>
      </x:c>
      <x:c r="N62" s="12" t="str">
        <x:f>IF(D62="","",HYPERLINK("https://wa.me/"&amp;REGEXREPLACE(D62,"[^\d]","")&amp;"?text="&amp;ENCODEURL(M62),"واتساب 2"))</x:f>
      </x:c>
      <x:c r="O62" s="12" t="str">
        <x:f>IF(A62="","","مرحبًا "&amp;C62&amp;CHAR(10)&amp;CHAR(10)&amp;"إذا كانت التحديات لديكم تحتاج حلًا أشمل، فالبرنامج الكامل المناسب لكم هو: "&amp;H62&amp;"."&amp;IF(I62&lt;&gt;"",CHAR(10)&amp;"كما يمكنكم أيضًا حجز: "&amp;I62&amp;".","")&amp;IF(J62&lt;&gt;"",CHAR(10)&amp;CHAR(10)&amp;"رابط التقرير: "&amp;J62,"")&amp;CHAR(10)&amp;CHAR(10)&amp;"يسعدنا مساعدتكم في اختيار المسار الأنسب حسب وضع العيادة الحالي.")</x:f>
      </x:c>
      <x:c r="P62" s="12" t="str">
        <x:f>IF(D62="","",HYPERLINK("https://wa.me/"&amp;REGEXREPLACE(D62,"[^\d]","")&amp;"?text="&amp;ENCODEURL(O62),"واتساب 3"))</x:f>
      </x:c>
    </x:row>
    <x:row r="63" ht="15" hidden="0" customHeight="1">
      <x:c r="A63" s="12" t="str">
        <x:f>IF(Leads!A63="","",Leads!A63)</x:f>
      </x:c>
      <x:c r="B63" s="12" t="str">
        <x:f>IF(Leads!F63="","",Leads!F63)</x:f>
      </x:c>
      <x:c r="C63" s="12" t="str">
        <x:f>IF(Leads!G63="","",Leads!G63)</x:f>
      </x:c>
      <x:c r="D63" s="12" t="str">
        <x:f>IF(Leads!O63="","",Leads!O63)</x:f>
      </x:c>
      <x:c r="E63" s="12" t="str">
        <x:f>IF(Leads!AV63="","",Leads!AV63)</x:f>
      </x:c>
      <x:c r="F63" s="12" t="str">
        <x:f>IF(Leads!AX63="","",Leads!AX63)</x:f>
      </x:c>
      <x:c r="G63" s="12" t="str">
        <x:f>IF(Leads!BC63="","",Leads!BC63)</x:f>
      </x:c>
      <x:c r="H63" s="12" t="str">
        <x:f>IF(Leads!BE63="","",Leads!BE63)</x:f>
      </x:c>
      <x:c r="I63" s="12" t="str">
        <x:f>IF(Leads!BG63="","",Leads!BG63)</x:f>
      </x:c>
      <x:c r="J63" s="12" t="str">
        <x:f>IF(Leads!BH63="","",Leads!BH63)</x:f>
      </x:c>
      <x:c r="K63" s="12" t="str">
        <x:f>IF(A63="","","مرحبًا "&amp;C63&amp;CHAR(10)&amp;CHAR(10)&amp;"شكرًا لإتمام تقييم DBD الخاص بعيادة "&amp;B63&amp;"."&amp;CHAR(10)&amp;"نتيجتكم الحالية: "&amp;E63&amp;"%."&amp;CHAR(10)&amp;"أولوية التحسين الأولى: "&amp;F63&amp;"."&amp;IF(J63&lt;&gt;"",CHAR(10)&amp;CHAR(10)&amp;"رابط التقرير: "&amp;J63,"")&amp;CHAR(10)&amp;CHAR(10)&amp;"إذا أحببت، يمكننا مساعدتك في فهم التقرير وتحديد أفضل خطوة تالية لعيادتكم.")</x:f>
      </x:c>
      <x:c r="L63" s="12" t="str">
        <x:f>IF(D63="","",HYPERLINK("https://wa.me/"&amp;REGEXREPLACE(D63,"[^\d]","")&amp;"?text="&amp;ENCODEURL(K63),"واتساب 1"))</x:f>
      </x:c>
      <x:c r="M63" s="12" t="str">
        <x:f>IF(A63="","","مرحبًا "&amp;C63&amp;CHAR(10)&amp;CHAR(10)&amp;"بناءً على نتيجة تقييم عيادة "&amp;B63&amp;"، فإن الترشيح الأقوى لكم الآن هو: "&amp;G63&amp;"."&amp;CHAR(10)&amp;"هذا الخيار يساعدكم في معالجة أكبر فجوة حالية بشكل عملي ومباشر."&amp;IF(J63&lt;&gt;"",CHAR(10)&amp;CHAR(10)&amp;"رابط التقرير: "&amp;J63,"")&amp;CHAR(10)&amp;CHAR(10)&amp;"إذا رغبت، يمكننا توضيح لماذا هذا الكورس هو الأنسب لكم الآن.")</x:f>
      </x:c>
      <x:c r="N63" s="12" t="str">
        <x:f>IF(D63="","",HYPERLINK("https://wa.me/"&amp;REGEXREPLACE(D63,"[^\d]","")&amp;"?text="&amp;ENCODEURL(M63),"واتساب 2"))</x:f>
      </x:c>
      <x:c r="O63" s="12" t="str">
        <x:f>IF(A63="","","مرحبًا "&amp;C63&amp;CHAR(10)&amp;CHAR(10)&amp;"إذا كانت التحديات لديكم تحتاج حلًا أشمل، فالبرنامج الكامل المناسب لكم هو: "&amp;H63&amp;"."&amp;IF(I63&lt;&gt;"",CHAR(10)&amp;"كما يمكنكم أيضًا حجز: "&amp;I63&amp;".","")&amp;IF(J63&lt;&gt;"",CHAR(10)&amp;CHAR(10)&amp;"رابط التقرير: "&amp;J63,"")&amp;CHAR(10)&amp;CHAR(10)&amp;"يسعدنا مساعدتكم في اختيار المسار الأنسب حسب وضع العيادة الحالي.")</x:f>
      </x:c>
      <x:c r="P63" s="12" t="str">
        <x:f>IF(D63="","",HYPERLINK("https://wa.me/"&amp;REGEXREPLACE(D63,"[^\d]","")&amp;"?text="&amp;ENCODEURL(O63),"واتساب 3"))</x:f>
      </x:c>
    </x:row>
    <x:row r="64" ht="15" hidden="0" customHeight="1">
      <x:c r="A64" s="12" t="str">
        <x:f>IF(Leads!A64="","",Leads!A64)</x:f>
      </x:c>
      <x:c r="B64" s="12" t="str">
        <x:f>IF(Leads!F64="","",Leads!F64)</x:f>
      </x:c>
      <x:c r="C64" s="12" t="str">
        <x:f>IF(Leads!G64="","",Leads!G64)</x:f>
      </x:c>
      <x:c r="D64" s="12" t="str">
        <x:f>IF(Leads!O64="","",Leads!O64)</x:f>
      </x:c>
      <x:c r="E64" s="12" t="str">
        <x:f>IF(Leads!AV64="","",Leads!AV64)</x:f>
      </x:c>
      <x:c r="F64" s="12" t="str">
        <x:f>IF(Leads!AX64="","",Leads!AX64)</x:f>
      </x:c>
      <x:c r="G64" s="12" t="str">
        <x:f>IF(Leads!BC64="","",Leads!BC64)</x:f>
      </x:c>
      <x:c r="H64" s="12" t="str">
        <x:f>IF(Leads!BE64="","",Leads!BE64)</x:f>
      </x:c>
      <x:c r="I64" s="12" t="str">
        <x:f>IF(Leads!BG64="","",Leads!BG64)</x:f>
      </x:c>
      <x:c r="J64" s="12" t="str">
        <x:f>IF(Leads!BH64="","",Leads!BH64)</x:f>
      </x:c>
      <x:c r="K64" s="12" t="str">
        <x:f>IF(A64="","","مرحبًا "&amp;C64&amp;CHAR(10)&amp;CHAR(10)&amp;"شكرًا لإتمام تقييم DBD الخاص بعيادة "&amp;B64&amp;"."&amp;CHAR(10)&amp;"نتيجتكم الحالية: "&amp;E64&amp;"%."&amp;CHAR(10)&amp;"أولوية التحسين الأولى: "&amp;F64&amp;"."&amp;IF(J64&lt;&gt;"",CHAR(10)&amp;CHAR(10)&amp;"رابط التقرير: "&amp;J64,"")&amp;CHAR(10)&amp;CHAR(10)&amp;"إذا أحببت، يمكننا مساعدتك في فهم التقرير وتحديد أفضل خطوة تالية لعيادتكم.")</x:f>
      </x:c>
      <x:c r="L64" s="12" t="str">
        <x:f>IF(D64="","",HYPERLINK("https://wa.me/"&amp;REGEXREPLACE(D64,"[^\d]","")&amp;"?text="&amp;ENCODEURL(K64),"واتساب 1"))</x:f>
      </x:c>
      <x:c r="M64" s="12" t="str">
        <x:f>IF(A64="","","مرحبًا "&amp;C64&amp;CHAR(10)&amp;CHAR(10)&amp;"بناءً على نتيجة تقييم عيادة "&amp;B64&amp;"، فإن الترشيح الأقوى لكم الآن هو: "&amp;G64&amp;"."&amp;CHAR(10)&amp;"هذا الخيار يساعدكم في معالجة أكبر فجوة حالية بشكل عملي ومباشر."&amp;IF(J64&lt;&gt;"",CHAR(10)&amp;CHAR(10)&amp;"رابط التقرير: "&amp;J64,"")&amp;CHAR(10)&amp;CHAR(10)&amp;"إذا رغبت، يمكننا توضيح لماذا هذا الكورس هو الأنسب لكم الآن.")</x:f>
      </x:c>
      <x:c r="N64" s="12" t="str">
        <x:f>IF(D64="","",HYPERLINK("https://wa.me/"&amp;REGEXREPLACE(D64,"[^\d]","")&amp;"?text="&amp;ENCODEURL(M64),"واتساب 2"))</x:f>
      </x:c>
      <x:c r="O64" s="12" t="str">
        <x:f>IF(A64="","","مرحبًا "&amp;C64&amp;CHAR(10)&amp;CHAR(10)&amp;"إذا كانت التحديات لديكم تحتاج حلًا أشمل، فالبرنامج الكامل المناسب لكم هو: "&amp;H64&amp;"."&amp;IF(I64&lt;&gt;"",CHAR(10)&amp;"كما يمكنكم أيضًا حجز: "&amp;I64&amp;".","")&amp;IF(J64&lt;&gt;"",CHAR(10)&amp;CHAR(10)&amp;"رابط التقرير: "&amp;J64,"")&amp;CHAR(10)&amp;CHAR(10)&amp;"يسعدنا مساعدتكم في اختيار المسار الأنسب حسب وضع العيادة الحالي.")</x:f>
      </x:c>
      <x:c r="P64" s="12" t="str">
        <x:f>IF(D64="","",HYPERLINK("https://wa.me/"&amp;REGEXREPLACE(D64,"[^\d]","")&amp;"?text="&amp;ENCODEURL(O64),"واتساب 3"))</x:f>
      </x:c>
    </x:row>
    <x:row r="65" ht="15" hidden="0" customHeight="1">
      <x:c r="A65" s="12" t="str">
        <x:f>IF(Leads!A65="","",Leads!A65)</x:f>
      </x:c>
      <x:c r="B65" s="12" t="str">
        <x:f>IF(Leads!F65="","",Leads!F65)</x:f>
      </x:c>
      <x:c r="C65" s="12" t="str">
        <x:f>IF(Leads!G65="","",Leads!G65)</x:f>
      </x:c>
      <x:c r="D65" s="12" t="str">
        <x:f>IF(Leads!O65="","",Leads!O65)</x:f>
      </x:c>
      <x:c r="E65" s="12" t="str">
        <x:f>IF(Leads!AV65="","",Leads!AV65)</x:f>
      </x:c>
      <x:c r="F65" s="12" t="str">
        <x:f>IF(Leads!AX65="","",Leads!AX65)</x:f>
      </x:c>
      <x:c r="G65" s="12" t="str">
        <x:f>IF(Leads!BC65="","",Leads!BC65)</x:f>
      </x:c>
      <x:c r="H65" s="12" t="str">
        <x:f>IF(Leads!BE65="","",Leads!BE65)</x:f>
      </x:c>
      <x:c r="I65" s="12" t="str">
        <x:f>IF(Leads!BG65="","",Leads!BG65)</x:f>
      </x:c>
      <x:c r="J65" s="12" t="str">
        <x:f>IF(Leads!BH65="","",Leads!BH65)</x:f>
      </x:c>
      <x:c r="K65" s="12" t="str">
        <x:f>IF(A65="","","مرحبًا "&amp;C65&amp;CHAR(10)&amp;CHAR(10)&amp;"شكرًا لإتمام تقييم DBD الخاص بعيادة "&amp;B65&amp;"."&amp;CHAR(10)&amp;"نتيجتكم الحالية: "&amp;E65&amp;"%."&amp;CHAR(10)&amp;"أولوية التحسين الأولى: "&amp;F65&amp;"."&amp;IF(J65&lt;&gt;"",CHAR(10)&amp;CHAR(10)&amp;"رابط التقرير: "&amp;J65,"")&amp;CHAR(10)&amp;CHAR(10)&amp;"إذا أحببت، يمكننا مساعدتك في فهم التقرير وتحديد أفضل خطوة تالية لعيادتكم.")</x:f>
      </x:c>
      <x:c r="L65" s="12" t="str">
        <x:f>IF(D65="","",HYPERLINK("https://wa.me/"&amp;REGEXREPLACE(D65,"[^\d]","")&amp;"?text="&amp;ENCODEURL(K65),"واتساب 1"))</x:f>
      </x:c>
      <x:c r="M65" s="12" t="str">
        <x:f>IF(A65="","","مرحبًا "&amp;C65&amp;CHAR(10)&amp;CHAR(10)&amp;"بناءً على نتيجة تقييم عيادة "&amp;B65&amp;"، فإن الترشيح الأقوى لكم الآن هو: "&amp;G65&amp;"."&amp;CHAR(10)&amp;"هذا الخيار يساعدكم في معالجة أكبر فجوة حالية بشكل عملي ومباشر."&amp;IF(J65&lt;&gt;"",CHAR(10)&amp;CHAR(10)&amp;"رابط التقرير: "&amp;J65,"")&amp;CHAR(10)&amp;CHAR(10)&amp;"إذا رغبت، يمكننا توضيح لماذا هذا الكورس هو الأنسب لكم الآن.")</x:f>
      </x:c>
      <x:c r="N65" s="12" t="str">
        <x:f>IF(D65="","",HYPERLINK("https://wa.me/"&amp;REGEXREPLACE(D65,"[^\d]","")&amp;"?text="&amp;ENCODEURL(M65),"واتساب 2"))</x:f>
      </x:c>
      <x:c r="O65" s="12" t="str">
        <x:f>IF(A65="","","مرحبًا "&amp;C65&amp;CHAR(10)&amp;CHAR(10)&amp;"إذا كانت التحديات لديكم تحتاج حلًا أشمل، فالبرنامج الكامل المناسب لكم هو: "&amp;H65&amp;"."&amp;IF(I65&lt;&gt;"",CHAR(10)&amp;"كما يمكنكم أيضًا حجز: "&amp;I65&amp;".","")&amp;IF(J65&lt;&gt;"",CHAR(10)&amp;CHAR(10)&amp;"رابط التقرير: "&amp;J65,"")&amp;CHAR(10)&amp;CHAR(10)&amp;"يسعدنا مساعدتكم في اختيار المسار الأنسب حسب وضع العيادة الحالي.")</x:f>
      </x:c>
      <x:c r="P65" s="12" t="str">
        <x:f>IF(D65="","",HYPERLINK("https://wa.me/"&amp;REGEXREPLACE(D65,"[^\d]","")&amp;"?text="&amp;ENCODEURL(O65),"واتساب 3"))</x:f>
      </x:c>
    </x:row>
    <x:row r="66" ht="15" hidden="0" customHeight="1">
      <x:c r="A66" s="12" t="str">
        <x:f>IF(Leads!A66="","",Leads!A66)</x:f>
      </x:c>
      <x:c r="B66" s="12" t="str">
        <x:f>IF(Leads!F66="","",Leads!F66)</x:f>
      </x:c>
      <x:c r="C66" s="12" t="str">
        <x:f>IF(Leads!G66="","",Leads!G66)</x:f>
      </x:c>
      <x:c r="D66" s="12" t="str">
        <x:f>IF(Leads!O66="","",Leads!O66)</x:f>
      </x:c>
      <x:c r="E66" s="12" t="str">
        <x:f>IF(Leads!AV66="","",Leads!AV66)</x:f>
      </x:c>
      <x:c r="F66" s="12" t="str">
        <x:f>IF(Leads!AX66="","",Leads!AX66)</x:f>
      </x:c>
      <x:c r="G66" s="12" t="str">
        <x:f>IF(Leads!BC66="","",Leads!BC66)</x:f>
      </x:c>
      <x:c r="H66" s="12" t="str">
        <x:f>IF(Leads!BE66="","",Leads!BE66)</x:f>
      </x:c>
      <x:c r="I66" s="12" t="str">
        <x:f>IF(Leads!BG66="","",Leads!BG66)</x:f>
      </x:c>
      <x:c r="J66" s="12" t="str">
        <x:f>IF(Leads!BH66="","",Leads!BH66)</x:f>
      </x:c>
      <x:c r="K66" s="12" t="str">
        <x:f>IF(A66="","","مرحبًا "&amp;C66&amp;CHAR(10)&amp;CHAR(10)&amp;"شكرًا لإتمام تقييم DBD الخاص بعيادة "&amp;B66&amp;"."&amp;CHAR(10)&amp;"نتيجتكم الحالية: "&amp;E66&amp;"%."&amp;CHAR(10)&amp;"أولوية التحسين الأولى: "&amp;F66&amp;"."&amp;IF(J66&lt;&gt;"",CHAR(10)&amp;CHAR(10)&amp;"رابط التقرير: "&amp;J66,"")&amp;CHAR(10)&amp;CHAR(10)&amp;"إذا أحببت، يمكننا مساعدتك في فهم التقرير وتحديد أفضل خطوة تالية لعيادتكم.")</x:f>
      </x:c>
      <x:c r="L66" s="12" t="str">
        <x:f>IF(D66="","",HYPERLINK("https://wa.me/"&amp;REGEXREPLACE(D66,"[^\d]","")&amp;"?text="&amp;ENCODEURL(K66),"واتساب 1"))</x:f>
      </x:c>
      <x:c r="M66" s="12" t="str">
        <x:f>IF(A66="","","مرحبًا "&amp;C66&amp;CHAR(10)&amp;CHAR(10)&amp;"بناءً على نتيجة تقييم عيادة "&amp;B66&amp;"، فإن الترشيح الأقوى لكم الآن هو: "&amp;G66&amp;"."&amp;CHAR(10)&amp;"هذا الخيار يساعدكم في معالجة أكبر فجوة حالية بشكل عملي ومباشر."&amp;IF(J66&lt;&gt;"",CHAR(10)&amp;CHAR(10)&amp;"رابط التقرير: "&amp;J66,"")&amp;CHAR(10)&amp;CHAR(10)&amp;"إذا رغبت، يمكننا توضيح لماذا هذا الكورس هو الأنسب لكم الآن.")</x:f>
      </x:c>
      <x:c r="N66" s="12" t="str">
        <x:f>IF(D66="","",HYPERLINK("https://wa.me/"&amp;REGEXREPLACE(D66,"[^\d]","")&amp;"?text="&amp;ENCODEURL(M66),"واتساب 2"))</x:f>
      </x:c>
      <x:c r="O66" s="12" t="str">
        <x:f>IF(A66="","","مرحبًا "&amp;C66&amp;CHAR(10)&amp;CHAR(10)&amp;"إذا كانت التحديات لديكم تحتاج حلًا أشمل، فالبرنامج الكامل المناسب لكم هو: "&amp;H66&amp;"."&amp;IF(I66&lt;&gt;"",CHAR(10)&amp;"كما يمكنكم أيضًا حجز: "&amp;I66&amp;".","")&amp;IF(J66&lt;&gt;"",CHAR(10)&amp;CHAR(10)&amp;"رابط التقرير: "&amp;J66,"")&amp;CHAR(10)&amp;CHAR(10)&amp;"يسعدنا مساعدتكم في اختيار المسار الأنسب حسب وضع العيادة الحالي.")</x:f>
      </x:c>
      <x:c r="P66" s="12" t="str">
        <x:f>IF(D66="","",HYPERLINK("https://wa.me/"&amp;REGEXREPLACE(D66,"[^\d]","")&amp;"?text="&amp;ENCODEURL(O66),"واتساب 3"))</x:f>
      </x:c>
    </x:row>
    <x:row r="67" ht="15" hidden="0" customHeight="1">
      <x:c r="A67" s="12" t="str">
        <x:f>IF(Leads!A67="","",Leads!A67)</x:f>
      </x:c>
      <x:c r="B67" s="12" t="str">
        <x:f>IF(Leads!F67="","",Leads!F67)</x:f>
      </x:c>
      <x:c r="C67" s="12" t="str">
        <x:f>IF(Leads!G67="","",Leads!G67)</x:f>
      </x:c>
      <x:c r="D67" s="12" t="str">
        <x:f>IF(Leads!O67="","",Leads!O67)</x:f>
      </x:c>
      <x:c r="E67" s="12" t="str">
        <x:f>IF(Leads!AV67="","",Leads!AV67)</x:f>
      </x:c>
      <x:c r="F67" s="12" t="str">
        <x:f>IF(Leads!AX67="","",Leads!AX67)</x:f>
      </x:c>
      <x:c r="G67" s="12" t="str">
        <x:f>IF(Leads!BC67="","",Leads!BC67)</x:f>
      </x:c>
      <x:c r="H67" s="12" t="str">
        <x:f>IF(Leads!BE67="","",Leads!BE67)</x:f>
      </x:c>
      <x:c r="I67" s="12" t="str">
        <x:f>IF(Leads!BG67="","",Leads!BG67)</x:f>
      </x:c>
      <x:c r="J67" s="12" t="str">
        <x:f>IF(Leads!BH67="","",Leads!BH67)</x:f>
      </x:c>
      <x:c r="K67" s="12" t="str">
        <x:f>IF(A67="","","مرحبًا "&amp;C67&amp;CHAR(10)&amp;CHAR(10)&amp;"شكرًا لإتمام تقييم DBD الخاص بعيادة "&amp;B67&amp;"."&amp;CHAR(10)&amp;"نتيجتكم الحالية: "&amp;E67&amp;"%."&amp;CHAR(10)&amp;"أولوية التحسين الأولى: "&amp;F67&amp;"."&amp;IF(J67&lt;&gt;"",CHAR(10)&amp;CHAR(10)&amp;"رابط التقرير: "&amp;J67,"")&amp;CHAR(10)&amp;CHAR(10)&amp;"إذا أحببت، يمكننا مساعدتك في فهم التقرير وتحديد أفضل خطوة تالية لعيادتكم.")</x:f>
      </x:c>
      <x:c r="L67" s="12" t="str">
        <x:f>IF(D67="","",HYPERLINK("https://wa.me/"&amp;REGEXREPLACE(D67,"[^\d]","")&amp;"?text="&amp;ENCODEURL(K67),"واتساب 1"))</x:f>
      </x:c>
      <x:c r="M67" s="12" t="str">
        <x:f>IF(A67="","","مرحبًا "&amp;C67&amp;CHAR(10)&amp;CHAR(10)&amp;"بناءً على نتيجة تقييم عيادة "&amp;B67&amp;"، فإن الترشيح الأقوى لكم الآن هو: "&amp;G67&amp;"."&amp;CHAR(10)&amp;"هذا الخيار يساعدكم في معالجة أكبر فجوة حالية بشكل عملي ومباشر."&amp;IF(J67&lt;&gt;"",CHAR(10)&amp;CHAR(10)&amp;"رابط التقرير: "&amp;J67,"")&amp;CHAR(10)&amp;CHAR(10)&amp;"إذا رغبت، يمكننا توضيح لماذا هذا الكورس هو الأنسب لكم الآن.")</x:f>
      </x:c>
      <x:c r="N67" s="12" t="str">
        <x:f>IF(D67="","",HYPERLINK("https://wa.me/"&amp;REGEXREPLACE(D67,"[^\d]","")&amp;"?text="&amp;ENCODEURL(M67),"واتساب 2"))</x:f>
      </x:c>
      <x:c r="O67" s="12" t="str">
        <x:f>IF(A67="","","مرحبًا "&amp;C67&amp;CHAR(10)&amp;CHAR(10)&amp;"إذا كانت التحديات لديكم تحتاج حلًا أشمل، فالبرنامج الكامل المناسب لكم هو: "&amp;H67&amp;"."&amp;IF(I67&lt;&gt;"",CHAR(10)&amp;"كما يمكنكم أيضًا حجز: "&amp;I67&amp;".","")&amp;IF(J67&lt;&gt;"",CHAR(10)&amp;CHAR(10)&amp;"رابط التقرير: "&amp;J67,"")&amp;CHAR(10)&amp;CHAR(10)&amp;"يسعدنا مساعدتكم في اختيار المسار الأنسب حسب وضع العيادة الحالي.")</x:f>
      </x:c>
      <x:c r="P67" s="12" t="str">
        <x:f>IF(D67="","",HYPERLINK("https://wa.me/"&amp;REGEXREPLACE(D67,"[^\d]","")&amp;"?text="&amp;ENCODEURL(O67),"واتساب 3"))</x:f>
      </x:c>
    </x:row>
    <x:row r="68" ht="15" hidden="0" customHeight="1">
      <x:c r="A68" s="12" t="str">
        <x:f>IF(Leads!A68="","",Leads!A68)</x:f>
      </x:c>
      <x:c r="B68" s="12" t="str">
        <x:f>IF(Leads!F68="","",Leads!F68)</x:f>
      </x:c>
      <x:c r="C68" s="12" t="str">
        <x:f>IF(Leads!G68="","",Leads!G68)</x:f>
      </x:c>
      <x:c r="D68" s="12" t="str">
        <x:f>IF(Leads!O68="","",Leads!O68)</x:f>
      </x:c>
      <x:c r="E68" s="12" t="str">
        <x:f>IF(Leads!AV68="","",Leads!AV68)</x:f>
      </x:c>
      <x:c r="F68" s="12" t="str">
        <x:f>IF(Leads!AX68="","",Leads!AX68)</x:f>
      </x:c>
      <x:c r="G68" s="12" t="str">
        <x:f>IF(Leads!BC68="","",Leads!BC68)</x:f>
      </x:c>
      <x:c r="H68" s="12" t="str">
        <x:f>IF(Leads!BE68="","",Leads!BE68)</x:f>
      </x:c>
      <x:c r="I68" s="12" t="str">
        <x:f>IF(Leads!BG68="","",Leads!BG68)</x:f>
      </x:c>
      <x:c r="J68" s="12" t="str">
        <x:f>IF(Leads!BH68="","",Leads!BH68)</x:f>
      </x:c>
      <x:c r="K68" s="12" t="str">
        <x:f>IF(A68="","","مرحبًا "&amp;C68&amp;CHAR(10)&amp;CHAR(10)&amp;"شكرًا لإتمام تقييم DBD الخاص بعيادة "&amp;B68&amp;"."&amp;CHAR(10)&amp;"نتيجتكم الحالية: "&amp;E68&amp;"%."&amp;CHAR(10)&amp;"أولوية التحسين الأولى: "&amp;F68&amp;"."&amp;IF(J68&lt;&gt;"",CHAR(10)&amp;CHAR(10)&amp;"رابط التقرير: "&amp;J68,"")&amp;CHAR(10)&amp;CHAR(10)&amp;"إذا أحببت، يمكننا مساعدتك في فهم التقرير وتحديد أفضل خطوة تالية لعيادتكم.")</x:f>
      </x:c>
      <x:c r="L68" s="12" t="str">
        <x:f>IF(D68="","",HYPERLINK("https://wa.me/"&amp;REGEXREPLACE(D68,"[^\d]","")&amp;"?text="&amp;ENCODEURL(K68),"واتساب 1"))</x:f>
      </x:c>
      <x:c r="M68" s="12" t="str">
        <x:f>IF(A68="","","مرحبًا "&amp;C68&amp;CHAR(10)&amp;CHAR(10)&amp;"بناءً على نتيجة تقييم عيادة "&amp;B68&amp;"، فإن الترشيح الأقوى لكم الآن هو: "&amp;G68&amp;"."&amp;CHAR(10)&amp;"هذا الخيار يساعدكم في معالجة أكبر فجوة حالية بشكل عملي ومباشر."&amp;IF(J68&lt;&gt;"",CHAR(10)&amp;CHAR(10)&amp;"رابط التقرير: "&amp;J68,"")&amp;CHAR(10)&amp;CHAR(10)&amp;"إذا رغبت، يمكننا توضيح لماذا هذا الكورس هو الأنسب لكم الآن.")</x:f>
      </x:c>
      <x:c r="N68" s="12" t="str">
        <x:f>IF(D68="","",HYPERLINK("https://wa.me/"&amp;REGEXREPLACE(D68,"[^\d]","")&amp;"?text="&amp;ENCODEURL(M68),"واتساب 2"))</x:f>
      </x:c>
      <x:c r="O68" s="12" t="str">
        <x:f>IF(A68="","","مرحبًا "&amp;C68&amp;CHAR(10)&amp;CHAR(10)&amp;"إذا كانت التحديات لديكم تحتاج حلًا أشمل، فالبرنامج الكامل المناسب لكم هو: "&amp;H68&amp;"."&amp;IF(I68&lt;&gt;"",CHAR(10)&amp;"كما يمكنكم أيضًا حجز: "&amp;I68&amp;".","")&amp;IF(J68&lt;&gt;"",CHAR(10)&amp;CHAR(10)&amp;"رابط التقرير: "&amp;J68,"")&amp;CHAR(10)&amp;CHAR(10)&amp;"يسعدنا مساعدتكم في اختيار المسار الأنسب حسب وضع العيادة الحالي.")</x:f>
      </x:c>
      <x:c r="P68" s="12" t="str">
        <x:f>IF(D68="","",HYPERLINK("https://wa.me/"&amp;REGEXREPLACE(D68,"[^\d]","")&amp;"?text="&amp;ENCODEURL(O68),"واتساب 3"))</x:f>
      </x:c>
    </x:row>
    <x:row r="69" ht="15" hidden="0" customHeight="1">
      <x:c r="A69" s="12" t="str">
        <x:f>IF(Leads!A69="","",Leads!A69)</x:f>
      </x:c>
      <x:c r="B69" s="12" t="str">
        <x:f>IF(Leads!F69="","",Leads!F69)</x:f>
      </x:c>
      <x:c r="C69" s="12" t="str">
        <x:f>IF(Leads!G69="","",Leads!G69)</x:f>
      </x:c>
      <x:c r="D69" s="12" t="str">
        <x:f>IF(Leads!O69="","",Leads!O69)</x:f>
      </x:c>
      <x:c r="E69" s="12" t="str">
        <x:f>IF(Leads!AV69="","",Leads!AV69)</x:f>
      </x:c>
      <x:c r="F69" s="12" t="str">
        <x:f>IF(Leads!AX69="","",Leads!AX69)</x:f>
      </x:c>
      <x:c r="G69" s="12" t="str">
        <x:f>IF(Leads!BC69="","",Leads!BC69)</x:f>
      </x:c>
      <x:c r="H69" s="12" t="str">
        <x:f>IF(Leads!BE69="","",Leads!BE69)</x:f>
      </x:c>
      <x:c r="I69" s="12" t="str">
        <x:f>IF(Leads!BG69="","",Leads!BG69)</x:f>
      </x:c>
      <x:c r="J69" s="12" t="str">
        <x:f>IF(Leads!BH69="","",Leads!BH69)</x:f>
      </x:c>
      <x:c r="K69" s="12" t="str">
        <x:f>IF(A69="","","مرحبًا "&amp;C69&amp;CHAR(10)&amp;CHAR(10)&amp;"شكرًا لإتمام تقييم DBD الخاص بعيادة "&amp;B69&amp;"."&amp;CHAR(10)&amp;"نتيجتكم الحالية: "&amp;E69&amp;"%."&amp;CHAR(10)&amp;"أولوية التحسين الأولى: "&amp;F69&amp;"."&amp;IF(J69&lt;&gt;"",CHAR(10)&amp;CHAR(10)&amp;"رابط التقرير: "&amp;J69,"")&amp;CHAR(10)&amp;CHAR(10)&amp;"إذا أحببت، يمكننا مساعدتك في فهم التقرير وتحديد أفضل خطوة تالية لعيادتكم.")</x:f>
      </x:c>
      <x:c r="L69" s="12" t="str">
        <x:f>IF(D69="","",HYPERLINK("https://wa.me/"&amp;REGEXREPLACE(D69,"[^\d]","")&amp;"?text="&amp;ENCODEURL(K69),"واتساب 1"))</x:f>
      </x:c>
      <x:c r="M69" s="12" t="str">
        <x:f>IF(A69="","","مرحبًا "&amp;C69&amp;CHAR(10)&amp;CHAR(10)&amp;"بناءً على نتيجة تقييم عيادة "&amp;B69&amp;"، فإن الترشيح الأقوى لكم الآن هو: "&amp;G69&amp;"."&amp;CHAR(10)&amp;"هذا الخيار يساعدكم في معالجة أكبر فجوة حالية بشكل عملي ومباشر."&amp;IF(J69&lt;&gt;"",CHAR(10)&amp;CHAR(10)&amp;"رابط التقرير: "&amp;J69,"")&amp;CHAR(10)&amp;CHAR(10)&amp;"إذا رغبت، يمكننا توضيح لماذا هذا الكورس هو الأنسب لكم الآن.")</x:f>
      </x:c>
      <x:c r="N69" s="12" t="str">
        <x:f>IF(D69="","",HYPERLINK("https://wa.me/"&amp;REGEXREPLACE(D69,"[^\d]","")&amp;"?text="&amp;ENCODEURL(M69),"واتساب 2"))</x:f>
      </x:c>
      <x:c r="O69" s="12" t="str">
        <x:f>IF(A69="","","مرحبًا "&amp;C69&amp;CHAR(10)&amp;CHAR(10)&amp;"إذا كانت التحديات لديكم تحتاج حلًا أشمل، فالبرنامج الكامل المناسب لكم هو: "&amp;H69&amp;"."&amp;IF(I69&lt;&gt;"",CHAR(10)&amp;"كما يمكنكم أيضًا حجز: "&amp;I69&amp;".","")&amp;IF(J69&lt;&gt;"",CHAR(10)&amp;CHAR(10)&amp;"رابط التقرير: "&amp;J69,"")&amp;CHAR(10)&amp;CHAR(10)&amp;"يسعدنا مساعدتكم في اختيار المسار الأنسب حسب وضع العيادة الحالي.")</x:f>
      </x:c>
      <x:c r="P69" s="12" t="str">
        <x:f>IF(D69="","",HYPERLINK("https://wa.me/"&amp;REGEXREPLACE(D69,"[^\d]","")&amp;"?text="&amp;ENCODEURL(O69),"واتساب 3"))</x:f>
      </x:c>
    </x:row>
    <x:row r="70" ht="15" hidden="0" customHeight="1">
      <x:c r="A70" s="12" t="str">
        <x:f>IF(Leads!A70="","",Leads!A70)</x:f>
      </x:c>
      <x:c r="B70" s="12" t="str">
        <x:f>IF(Leads!F70="","",Leads!F70)</x:f>
      </x:c>
      <x:c r="C70" s="12" t="str">
        <x:f>IF(Leads!G70="","",Leads!G70)</x:f>
      </x:c>
      <x:c r="D70" s="12" t="str">
        <x:f>IF(Leads!O70="","",Leads!O70)</x:f>
      </x:c>
      <x:c r="E70" s="12" t="str">
        <x:f>IF(Leads!AV70="","",Leads!AV70)</x:f>
      </x:c>
      <x:c r="F70" s="12" t="str">
        <x:f>IF(Leads!AX70="","",Leads!AX70)</x:f>
      </x:c>
      <x:c r="G70" s="12" t="str">
        <x:f>IF(Leads!BC70="","",Leads!BC70)</x:f>
      </x:c>
      <x:c r="H70" s="12" t="str">
        <x:f>IF(Leads!BE70="","",Leads!BE70)</x:f>
      </x:c>
      <x:c r="I70" s="12" t="str">
        <x:f>IF(Leads!BG70="","",Leads!BG70)</x:f>
      </x:c>
      <x:c r="J70" s="12" t="str">
        <x:f>IF(Leads!BH70="","",Leads!BH70)</x:f>
      </x:c>
      <x:c r="K70" s="12" t="str">
        <x:f>IF(A70="","","مرحبًا "&amp;C70&amp;CHAR(10)&amp;CHAR(10)&amp;"شكرًا لإتمام تقييم DBD الخاص بعيادة "&amp;B70&amp;"."&amp;CHAR(10)&amp;"نتيجتكم الحالية: "&amp;E70&amp;"%."&amp;CHAR(10)&amp;"أولوية التحسين الأولى: "&amp;F70&amp;"."&amp;IF(J70&lt;&gt;"",CHAR(10)&amp;CHAR(10)&amp;"رابط التقرير: "&amp;J70,"")&amp;CHAR(10)&amp;CHAR(10)&amp;"إذا أحببت، يمكننا مساعدتك في فهم التقرير وتحديد أفضل خطوة تالية لعيادتكم.")</x:f>
      </x:c>
      <x:c r="L70" s="12" t="str">
        <x:f>IF(D70="","",HYPERLINK("https://wa.me/"&amp;REGEXREPLACE(D70,"[^\d]","")&amp;"?text="&amp;ENCODEURL(K70),"واتساب 1"))</x:f>
      </x:c>
      <x:c r="M70" s="12" t="str">
        <x:f>IF(A70="","","مرحبًا "&amp;C70&amp;CHAR(10)&amp;CHAR(10)&amp;"بناءً على نتيجة تقييم عيادة "&amp;B70&amp;"، فإن الترشيح الأقوى لكم الآن هو: "&amp;G70&amp;"."&amp;CHAR(10)&amp;"هذا الخيار يساعدكم في معالجة أكبر فجوة حالية بشكل عملي ومباشر."&amp;IF(J70&lt;&gt;"",CHAR(10)&amp;CHAR(10)&amp;"رابط التقرير: "&amp;J70,"")&amp;CHAR(10)&amp;CHAR(10)&amp;"إذا رغبت، يمكننا توضيح لماذا هذا الكورس هو الأنسب لكم الآن.")</x:f>
      </x:c>
      <x:c r="N70" s="12" t="str">
        <x:f>IF(D70="","",HYPERLINK("https://wa.me/"&amp;REGEXREPLACE(D70,"[^\d]","")&amp;"?text="&amp;ENCODEURL(M70),"واتساب 2"))</x:f>
      </x:c>
      <x:c r="O70" s="12" t="str">
        <x:f>IF(A70="","","مرحبًا "&amp;C70&amp;CHAR(10)&amp;CHAR(10)&amp;"إذا كانت التحديات لديكم تحتاج حلًا أشمل، فالبرنامج الكامل المناسب لكم هو: "&amp;H70&amp;"."&amp;IF(I70&lt;&gt;"",CHAR(10)&amp;"كما يمكنكم أيضًا حجز: "&amp;I70&amp;".","")&amp;IF(J70&lt;&gt;"",CHAR(10)&amp;CHAR(10)&amp;"رابط التقرير: "&amp;J70,"")&amp;CHAR(10)&amp;CHAR(10)&amp;"يسعدنا مساعدتكم في اختيار المسار الأنسب حسب وضع العيادة الحالي.")</x:f>
      </x:c>
      <x:c r="P70" s="12" t="str">
        <x:f>IF(D70="","",HYPERLINK("https://wa.me/"&amp;REGEXREPLACE(D70,"[^\d]","")&amp;"?text="&amp;ENCODEURL(O70),"واتساب 3"))</x:f>
      </x:c>
    </x:row>
    <x:row r="71" ht="15" hidden="0" customHeight="1">
      <x:c r="A71" s="12" t="str">
        <x:f>IF(Leads!A71="","",Leads!A71)</x:f>
      </x:c>
      <x:c r="B71" s="12" t="str">
        <x:f>IF(Leads!F71="","",Leads!F71)</x:f>
      </x:c>
      <x:c r="C71" s="12" t="str">
        <x:f>IF(Leads!G71="","",Leads!G71)</x:f>
      </x:c>
      <x:c r="D71" s="12" t="str">
        <x:f>IF(Leads!O71="","",Leads!O71)</x:f>
      </x:c>
      <x:c r="E71" s="12" t="str">
        <x:f>IF(Leads!AV71="","",Leads!AV71)</x:f>
      </x:c>
      <x:c r="F71" s="12" t="str">
        <x:f>IF(Leads!AX71="","",Leads!AX71)</x:f>
      </x:c>
      <x:c r="G71" s="12" t="str">
        <x:f>IF(Leads!BC71="","",Leads!BC71)</x:f>
      </x:c>
      <x:c r="H71" s="12" t="str">
        <x:f>IF(Leads!BE71="","",Leads!BE71)</x:f>
      </x:c>
      <x:c r="I71" s="12" t="str">
        <x:f>IF(Leads!BG71="","",Leads!BG71)</x:f>
      </x:c>
      <x:c r="J71" s="12" t="str">
        <x:f>IF(Leads!BH71="","",Leads!BH71)</x:f>
      </x:c>
      <x:c r="K71" s="12" t="str">
        <x:f>IF(A71="","","مرحبًا "&amp;C71&amp;CHAR(10)&amp;CHAR(10)&amp;"شكرًا لإتمام تقييم DBD الخاص بعيادة "&amp;B71&amp;"."&amp;CHAR(10)&amp;"نتيجتكم الحالية: "&amp;E71&amp;"%."&amp;CHAR(10)&amp;"أولوية التحسين الأولى: "&amp;F71&amp;"."&amp;IF(J71&lt;&gt;"",CHAR(10)&amp;CHAR(10)&amp;"رابط التقرير: "&amp;J71,"")&amp;CHAR(10)&amp;CHAR(10)&amp;"إذا أحببت، يمكننا مساعدتك في فهم التقرير وتحديد أفضل خطوة تالية لعيادتكم.")</x:f>
      </x:c>
      <x:c r="L71" s="12" t="str">
        <x:f>IF(D71="","",HYPERLINK("https://wa.me/"&amp;REGEXREPLACE(D71,"[^\d]","")&amp;"?text="&amp;ENCODEURL(K71),"واتساب 1"))</x:f>
      </x:c>
      <x:c r="M71" s="12" t="str">
        <x:f>IF(A71="","","مرحبًا "&amp;C71&amp;CHAR(10)&amp;CHAR(10)&amp;"بناءً على نتيجة تقييم عيادة "&amp;B71&amp;"، فإن الترشيح الأقوى لكم الآن هو: "&amp;G71&amp;"."&amp;CHAR(10)&amp;"هذا الخيار يساعدكم في معالجة أكبر فجوة حالية بشكل عملي ومباشر."&amp;IF(J71&lt;&gt;"",CHAR(10)&amp;CHAR(10)&amp;"رابط التقرير: "&amp;J71,"")&amp;CHAR(10)&amp;CHAR(10)&amp;"إذا رغبت، يمكننا توضيح لماذا هذا الكورس هو الأنسب لكم الآن.")</x:f>
      </x:c>
      <x:c r="N71" s="12" t="str">
        <x:f>IF(D71="","",HYPERLINK("https://wa.me/"&amp;REGEXREPLACE(D71,"[^\d]","")&amp;"?text="&amp;ENCODEURL(M71),"واتساب 2"))</x:f>
      </x:c>
      <x:c r="O71" s="12" t="str">
        <x:f>IF(A71="","","مرحبًا "&amp;C71&amp;CHAR(10)&amp;CHAR(10)&amp;"إذا كانت التحديات لديكم تحتاج حلًا أشمل، فالبرنامج الكامل المناسب لكم هو: "&amp;H71&amp;"."&amp;IF(I71&lt;&gt;"",CHAR(10)&amp;"كما يمكنكم أيضًا حجز: "&amp;I71&amp;".","")&amp;IF(J71&lt;&gt;"",CHAR(10)&amp;CHAR(10)&amp;"رابط التقرير: "&amp;J71,"")&amp;CHAR(10)&amp;CHAR(10)&amp;"يسعدنا مساعدتكم في اختيار المسار الأنسب حسب وضع العيادة الحالي.")</x:f>
      </x:c>
      <x:c r="P71" s="12" t="str">
        <x:f>IF(D71="","",HYPERLINK("https://wa.me/"&amp;REGEXREPLACE(D71,"[^\d]","")&amp;"?text="&amp;ENCODEURL(O71),"واتساب 3"))</x:f>
      </x:c>
    </x:row>
    <x:row r="72" ht="15" hidden="0" customHeight="1">
      <x:c r="A72" s="12" t="str">
        <x:f>IF(Leads!A72="","",Leads!A72)</x:f>
      </x:c>
      <x:c r="B72" s="12" t="str">
        <x:f>IF(Leads!F72="","",Leads!F72)</x:f>
      </x:c>
      <x:c r="C72" s="12" t="str">
        <x:f>IF(Leads!G72="","",Leads!G72)</x:f>
      </x:c>
      <x:c r="D72" s="12" t="str">
        <x:f>IF(Leads!O72="","",Leads!O72)</x:f>
      </x:c>
      <x:c r="E72" s="12" t="str">
        <x:f>IF(Leads!AV72="","",Leads!AV72)</x:f>
      </x:c>
      <x:c r="F72" s="12" t="str">
        <x:f>IF(Leads!AX72="","",Leads!AX72)</x:f>
      </x:c>
      <x:c r="G72" s="12" t="str">
        <x:f>IF(Leads!BC72="","",Leads!BC72)</x:f>
      </x:c>
      <x:c r="H72" s="12" t="str">
        <x:f>IF(Leads!BE72="","",Leads!BE72)</x:f>
      </x:c>
      <x:c r="I72" s="12" t="str">
        <x:f>IF(Leads!BG72="","",Leads!BG72)</x:f>
      </x:c>
      <x:c r="J72" s="12" t="str">
        <x:f>IF(Leads!BH72="","",Leads!BH72)</x:f>
      </x:c>
      <x:c r="K72" s="12" t="str">
        <x:f>IF(A72="","","مرحبًا "&amp;C72&amp;CHAR(10)&amp;CHAR(10)&amp;"شكرًا لإتمام تقييم DBD الخاص بعيادة "&amp;B72&amp;"."&amp;CHAR(10)&amp;"نتيجتكم الحالية: "&amp;E72&amp;"%."&amp;CHAR(10)&amp;"أولوية التحسين الأولى: "&amp;F72&amp;"."&amp;IF(J72&lt;&gt;"",CHAR(10)&amp;CHAR(10)&amp;"رابط التقرير: "&amp;J72,"")&amp;CHAR(10)&amp;CHAR(10)&amp;"إذا أحببت، يمكننا مساعدتك في فهم التقرير وتحديد أفضل خطوة تالية لعيادتكم.")</x:f>
      </x:c>
      <x:c r="L72" s="12" t="str">
        <x:f>IF(D72="","",HYPERLINK("https://wa.me/"&amp;REGEXREPLACE(D72,"[^\d]","")&amp;"?text="&amp;ENCODEURL(K72),"واتساب 1"))</x:f>
      </x:c>
      <x:c r="M72" s="12" t="str">
        <x:f>IF(A72="","","مرحبًا "&amp;C72&amp;CHAR(10)&amp;CHAR(10)&amp;"بناءً على نتيجة تقييم عيادة "&amp;B72&amp;"، فإن الترشيح الأقوى لكم الآن هو: "&amp;G72&amp;"."&amp;CHAR(10)&amp;"هذا الخيار يساعدكم في معالجة أكبر فجوة حالية بشكل عملي ومباشر."&amp;IF(J72&lt;&gt;"",CHAR(10)&amp;CHAR(10)&amp;"رابط التقرير: "&amp;J72,"")&amp;CHAR(10)&amp;CHAR(10)&amp;"إذا رغبت، يمكننا توضيح لماذا هذا الكورس هو الأنسب لكم الآن.")</x:f>
      </x:c>
      <x:c r="N72" s="12" t="str">
        <x:f>IF(D72="","",HYPERLINK("https://wa.me/"&amp;REGEXREPLACE(D72,"[^\d]","")&amp;"?text="&amp;ENCODEURL(M72),"واتساب 2"))</x:f>
      </x:c>
      <x:c r="O72" s="12" t="str">
        <x:f>IF(A72="","","مرحبًا "&amp;C72&amp;CHAR(10)&amp;CHAR(10)&amp;"إذا كانت التحديات لديكم تحتاج حلًا أشمل، فالبرنامج الكامل المناسب لكم هو: "&amp;H72&amp;"."&amp;IF(I72&lt;&gt;"",CHAR(10)&amp;"كما يمكنكم أيضًا حجز: "&amp;I72&amp;".","")&amp;IF(J72&lt;&gt;"",CHAR(10)&amp;CHAR(10)&amp;"رابط التقرير: "&amp;J72,"")&amp;CHAR(10)&amp;CHAR(10)&amp;"يسعدنا مساعدتكم في اختيار المسار الأنسب حسب وضع العيادة الحالي.")</x:f>
      </x:c>
      <x:c r="P72" s="12" t="str">
        <x:f>IF(D72="","",HYPERLINK("https://wa.me/"&amp;REGEXREPLACE(D72,"[^\d]","")&amp;"?text="&amp;ENCODEURL(O72),"واتساب 3"))</x:f>
      </x:c>
    </x:row>
    <x:row r="73" ht="15" hidden="0" customHeight="1">
      <x:c r="A73" s="12" t="str">
        <x:f>IF(Leads!A73="","",Leads!A73)</x:f>
      </x:c>
      <x:c r="B73" s="12" t="str">
        <x:f>IF(Leads!F73="","",Leads!F73)</x:f>
      </x:c>
      <x:c r="C73" s="12" t="str">
        <x:f>IF(Leads!G73="","",Leads!G73)</x:f>
      </x:c>
      <x:c r="D73" s="12" t="str">
        <x:f>IF(Leads!O73="","",Leads!O73)</x:f>
      </x:c>
      <x:c r="E73" s="12" t="str">
        <x:f>IF(Leads!AV73="","",Leads!AV73)</x:f>
      </x:c>
      <x:c r="F73" s="12" t="str">
        <x:f>IF(Leads!AX73="","",Leads!AX73)</x:f>
      </x:c>
      <x:c r="G73" s="12" t="str">
        <x:f>IF(Leads!BC73="","",Leads!BC73)</x:f>
      </x:c>
      <x:c r="H73" s="12" t="str">
        <x:f>IF(Leads!BE73="","",Leads!BE73)</x:f>
      </x:c>
      <x:c r="I73" s="12" t="str">
        <x:f>IF(Leads!BG73="","",Leads!BG73)</x:f>
      </x:c>
      <x:c r="J73" s="12" t="str">
        <x:f>IF(Leads!BH73="","",Leads!BH73)</x:f>
      </x:c>
      <x:c r="K73" s="12" t="str">
        <x:f>IF(A73="","","مرحبًا "&amp;C73&amp;CHAR(10)&amp;CHAR(10)&amp;"شكرًا لإتمام تقييم DBD الخاص بعيادة "&amp;B73&amp;"."&amp;CHAR(10)&amp;"نتيجتكم الحالية: "&amp;E73&amp;"%."&amp;CHAR(10)&amp;"أولوية التحسين الأولى: "&amp;F73&amp;"."&amp;IF(J73&lt;&gt;"",CHAR(10)&amp;CHAR(10)&amp;"رابط التقرير: "&amp;J73,"")&amp;CHAR(10)&amp;CHAR(10)&amp;"إذا أحببت، يمكننا مساعدتك في فهم التقرير وتحديد أفضل خطوة تالية لعيادتكم.")</x:f>
      </x:c>
      <x:c r="L73" s="12" t="str">
        <x:f>IF(D73="","",HYPERLINK("https://wa.me/"&amp;REGEXREPLACE(D73,"[^\d]","")&amp;"?text="&amp;ENCODEURL(K73),"واتساب 1"))</x:f>
      </x:c>
      <x:c r="M73" s="12" t="str">
        <x:f>IF(A73="","","مرحبًا "&amp;C73&amp;CHAR(10)&amp;CHAR(10)&amp;"بناءً على نتيجة تقييم عيادة "&amp;B73&amp;"، فإن الترشيح الأقوى لكم الآن هو: "&amp;G73&amp;"."&amp;CHAR(10)&amp;"هذا الخيار يساعدكم في معالجة أكبر فجوة حالية بشكل عملي ومباشر."&amp;IF(J73&lt;&gt;"",CHAR(10)&amp;CHAR(10)&amp;"رابط التقرير: "&amp;J73,"")&amp;CHAR(10)&amp;CHAR(10)&amp;"إذا رغبت، يمكننا توضيح لماذا هذا الكورس هو الأنسب لكم الآن.")</x:f>
      </x:c>
      <x:c r="N73" s="12" t="str">
        <x:f>IF(D73="","",HYPERLINK("https://wa.me/"&amp;REGEXREPLACE(D73,"[^\d]","")&amp;"?text="&amp;ENCODEURL(M73),"واتساب 2"))</x:f>
      </x:c>
      <x:c r="O73" s="12" t="str">
        <x:f>IF(A73="","","مرحبًا "&amp;C73&amp;CHAR(10)&amp;CHAR(10)&amp;"إذا كانت التحديات لديكم تحتاج حلًا أشمل، فالبرنامج الكامل المناسب لكم هو: "&amp;H73&amp;"."&amp;IF(I73&lt;&gt;"",CHAR(10)&amp;"كما يمكنكم أيضًا حجز: "&amp;I73&amp;".","")&amp;IF(J73&lt;&gt;"",CHAR(10)&amp;CHAR(10)&amp;"رابط التقرير: "&amp;J73,"")&amp;CHAR(10)&amp;CHAR(10)&amp;"يسعدنا مساعدتكم في اختيار المسار الأنسب حسب وضع العيادة الحالي.")</x:f>
      </x:c>
      <x:c r="P73" s="12" t="str">
        <x:f>IF(D73="","",HYPERLINK("https://wa.me/"&amp;REGEXREPLACE(D73,"[^\d]","")&amp;"?text="&amp;ENCODEURL(O73),"واتساب 3"))</x:f>
      </x:c>
    </x:row>
    <x:row r="74" ht="15" hidden="0" customHeight="1">
      <x:c r="A74" s="12" t="str">
        <x:f>IF(Leads!A74="","",Leads!A74)</x:f>
      </x:c>
      <x:c r="B74" s="12" t="str">
        <x:f>IF(Leads!F74="","",Leads!F74)</x:f>
      </x:c>
      <x:c r="C74" s="12" t="str">
        <x:f>IF(Leads!G74="","",Leads!G74)</x:f>
      </x:c>
      <x:c r="D74" s="12" t="str">
        <x:f>IF(Leads!O74="","",Leads!O74)</x:f>
      </x:c>
      <x:c r="E74" s="12" t="str">
        <x:f>IF(Leads!AV74="","",Leads!AV74)</x:f>
      </x:c>
      <x:c r="F74" s="12" t="str">
        <x:f>IF(Leads!AX74="","",Leads!AX74)</x:f>
      </x:c>
      <x:c r="G74" s="12" t="str">
        <x:f>IF(Leads!BC74="","",Leads!BC74)</x:f>
      </x:c>
      <x:c r="H74" s="12" t="str">
        <x:f>IF(Leads!BE74="","",Leads!BE74)</x:f>
      </x:c>
      <x:c r="I74" s="12" t="str">
        <x:f>IF(Leads!BG74="","",Leads!BG74)</x:f>
      </x:c>
      <x:c r="J74" s="12" t="str">
        <x:f>IF(Leads!BH74="","",Leads!BH74)</x:f>
      </x:c>
      <x:c r="K74" s="12" t="str">
        <x:f>IF(A74="","","مرحبًا "&amp;C74&amp;CHAR(10)&amp;CHAR(10)&amp;"شكرًا لإتمام تقييم DBD الخاص بعيادة "&amp;B74&amp;"."&amp;CHAR(10)&amp;"نتيجتكم الحالية: "&amp;E74&amp;"%."&amp;CHAR(10)&amp;"أولوية التحسين الأولى: "&amp;F74&amp;"."&amp;IF(J74&lt;&gt;"",CHAR(10)&amp;CHAR(10)&amp;"رابط التقرير: "&amp;J74,"")&amp;CHAR(10)&amp;CHAR(10)&amp;"إذا أحببت، يمكننا مساعدتك في فهم التقرير وتحديد أفضل خطوة تالية لعيادتكم.")</x:f>
      </x:c>
      <x:c r="L74" s="12" t="str">
        <x:f>IF(D74="","",HYPERLINK("https://wa.me/"&amp;REGEXREPLACE(D74,"[^\d]","")&amp;"?text="&amp;ENCODEURL(K74),"واتساب 1"))</x:f>
      </x:c>
      <x:c r="M74" s="12" t="str">
        <x:f>IF(A74="","","مرحبًا "&amp;C74&amp;CHAR(10)&amp;CHAR(10)&amp;"بناءً على نتيجة تقييم عيادة "&amp;B74&amp;"، فإن الترشيح الأقوى لكم الآن هو: "&amp;G74&amp;"."&amp;CHAR(10)&amp;"هذا الخيار يساعدكم في معالجة أكبر فجوة حالية بشكل عملي ومباشر."&amp;IF(J74&lt;&gt;"",CHAR(10)&amp;CHAR(10)&amp;"رابط التقرير: "&amp;J74,"")&amp;CHAR(10)&amp;CHAR(10)&amp;"إذا رغبت، يمكننا توضيح لماذا هذا الكورس هو الأنسب لكم الآن.")</x:f>
      </x:c>
      <x:c r="N74" s="12" t="str">
        <x:f>IF(D74="","",HYPERLINK("https://wa.me/"&amp;REGEXREPLACE(D74,"[^\d]","")&amp;"?text="&amp;ENCODEURL(M74),"واتساب 2"))</x:f>
      </x:c>
      <x:c r="O74" s="12" t="str">
        <x:f>IF(A74="","","مرحبًا "&amp;C74&amp;CHAR(10)&amp;CHAR(10)&amp;"إذا كانت التحديات لديكم تحتاج حلًا أشمل، فالبرنامج الكامل المناسب لكم هو: "&amp;H74&amp;"."&amp;IF(I74&lt;&gt;"",CHAR(10)&amp;"كما يمكنكم أيضًا حجز: "&amp;I74&amp;".","")&amp;IF(J74&lt;&gt;"",CHAR(10)&amp;CHAR(10)&amp;"رابط التقرير: "&amp;J74,"")&amp;CHAR(10)&amp;CHAR(10)&amp;"يسعدنا مساعدتكم في اختيار المسار الأنسب حسب وضع العيادة الحالي.")</x:f>
      </x:c>
      <x:c r="P74" s="12" t="str">
        <x:f>IF(D74="","",HYPERLINK("https://wa.me/"&amp;REGEXREPLACE(D74,"[^\d]","")&amp;"?text="&amp;ENCODEURL(O74),"واتساب 3"))</x:f>
      </x:c>
    </x:row>
    <x:row r="75" ht="15" hidden="0" customHeight="1">
      <x:c r="A75" s="12" t="str">
        <x:f>IF(Leads!A75="","",Leads!A75)</x:f>
      </x:c>
      <x:c r="B75" s="12" t="str">
        <x:f>IF(Leads!F75="","",Leads!F75)</x:f>
      </x:c>
      <x:c r="C75" s="12" t="str">
        <x:f>IF(Leads!G75="","",Leads!G75)</x:f>
      </x:c>
      <x:c r="D75" s="12" t="str">
        <x:f>IF(Leads!O75="","",Leads!O75)</x:f>
      </x:c>
      <x:c r="E75" s="12" t="str">
        <x:f>IF(Leads!AV75="","",Leads!AV75)</x:f>
      </x:c>
      <x:c r="F75" s="12" t="str">
        <x:f>IF(Leads!AX75="","",Leads!AX75)</x:f>
      </x:c>
      <x:c r="G75" s="12" t="str">
        <x:f>IF(Leads!BC75="","",Leads!BC75)</x:f>
      </x:c>
      <x:c r="H75" s="12" t="str">
        <x:f>IF(Leads!BE75="","",Leads!BE75)</x:f>
      </x:c>
      <x:c r="I75" s="12" t="str">
        <x:f>IF(Leads!BG75="","",Leads!BG75)</x:f>
      </x:c>
      <x:c r="J75" s="12" t="str">
        <x:f>IF(Leads!BH75="","",Leads!BH75)</x:f>
      </x:c>
      <x:c r="K75" s="12" t="str">
        <x:f>IF(A75="","","مرحبًا "&amp;C75&amp;CHAR(10)&amp;CHAR(10)&amp;"شكرًا لإتمام تقييم DBD الخاص بعيادة "&amp;B75&amp;"."&amp;CHAR(10)&amp;"نتيجتكم الحالية: "&amp;E75&amp;"%."&amp;CHAR(10)&amp;"أولوية التحسين الأولى: "&amp;F75&amp;"."&amp;IF(J75&lt;&gt;"",CHAR(10)&amp;CHAR(10)&amp;"رابط التقرير: "&amp;J75,"")&amp;CHAR(10)&amp;CHAR(10)&amp;"إذا أحببت، يمكننا مساعدتك في فهم التقرير وتحديد أفضل خطوة تالية لعيادتكم.")</x:f>
      </x:c>
      <x:c r="L75" s="12" t="str">
        <x:f>IF(D75="","",HYPERLINK("https://wa.me/"&amp;REGEXREPLACE(D75,"[^\d]","")&amp;"?text="&amp;ENCODEURL(K75),"واتساب 1"))</x:f>
      </x:c>
      <x:c r="M75" s="12" t="str">
        <x:f>IF(A75="","","مرحبًا "&amp;C75&amp;CHAR(10)&amp;CHAR(10)&amp;"بناءً على نتيجة تقييم عيادة "&amp;B75&amp;"، فإن الترشيح الأقوى لكم الآن هو: "&amp;G75&amp;"."&amp;CHAR(10)&amp;"هذا الخيار يساعدكم في معالجة أكبر فجوة حالية بشكل عملي ومباشر."&amp;IF(J75&lt;&gt;"",CHAR(10)&amp;CHAR(10)&amp;"رابط التقرير: "&amp;J75,"")&amp;CHAR(10)&amp;CHAR(10)&amp;"إذا رغبت، يمكننا توضيح لماذا هذا الكورس هو الأنسب لكم الآن.")</x:f>
      </x:c>
      <x:c r="N75" s="12" t="str">
        <x:f>IF(D75="","",HYPERLINK("https://wa.me/"&amp;REGEXREPLACE(D75,"[^\d]","")&amp;"?text="&amp;ENCODEURL(M75),"واتساب 2"))</x:f>
      </x:c>
      <x:c r="O75" s="12" t="str">
        <x:f>IF(A75="","","مرحبًا "&amp;C75&amp;CHAR(10)&amp;CHAR(10)&amp;"إذا كانت التحديات لديكم تحتاج حلًا أشمل، فالبرنامج الكامل المناسب لكم هو: "&amp;H75&amp;"."&amp;IF(I75&lt;&gt;"",CHAR(10)&amp;"كما يمكنكم أيضًا حجز: "&amp;I75&amp;".","")&amp;IF(J75&lt;&gt;"",CHAR(10)&amp;CHAR(10)&amp;"رابط التقرير: "&amp;J75,"")&amp;CHAR(10)&amp;CHAR(10)&amp;"يسعدنا مساعدتكم في اختيار المسار الأنسب حسب وضع العيادة الحالي.")</x:f>
      </x:c>
      <x:c r="P75" s="12" t="str">
        <x:f>IF(D75="","",HYPERLINK("https://wa.me/"&amp;REGEXREPLACE(D75,"[^\d]","")&amp;"?text="&amp;ENCODEURL(O75),"واتساب 3"))</x:f>
      </x:c>
    </x:row>
    <x:row r="76" ht="15" hidden="0" customHeight="1">
      <x:c r="A76" s="12" t="str">
        <x:f>IF(Leads!A76="","",Leads!A76)</x:f>
      </x:c>
      <x:c r="B76" s="12" t="str">
        <x:f>IF(Leads!F76="","",Leads!F76)</x:f>
      </x:c>
      <x:c r="C76" s="12" t="str">
        <x:f>IF(Leads!G76="","",Leads!G76)</x:f>
      </x:c>
      <x:c r="D76" s="12" t="str">
        <x:f>IF(Leads!O76="","",Leads!O76)</x:f>
      </x:c>
      <x:c r="E76" s="12" t="str">
        <x:f>IF(Leads!AV76="","",Leads!AV76)</x:f>
      </x:c>
      <x:c r="F76" s="12" t="str">
        <x:f>IF(Leads!AX76="","",Leads!AX76)</x:f>
      </x:c>
      <x:c r="G76" s="12" t="str">
        <x:f>IF(Leads!BC76="","",Leads!BC76)</x:f>
      </x:c>
      <x:c r="H76" s="12" t="str">
        <x:f>IF(Leads!BE76="","",Leads!BE76)</x:f>
      </x:c>
      <x:c r="I76" s="12" t="str">
        <x:f>IF(Leads!BG76="","",Leads!BG76)</x:f>
      </x:c>
      <x:c r="J76" s="12" t="str">
        <x:f>IF(Leads!BH76="","",Leads!BH76)</x:f>
      </x:c>
      <x:c r="K76" s="12" t="str">
        <x:f>IF(A76="","","مرحبًا "&amp;C76&amp;CHAR(10)&amp;CHAR(10)&amp;"شكرًا لإتمام تقييم DBD الخاص بعيادة "&amp;B76&amp;"."&amp;CHAR(10)&amp;"نتيجتكم الحالية: "&amp;E76&amp;"%."&amp;CHAR(10)&amp;"أولوية التحسين الأولى: "&amp;F76&amp;"."&amp;IF(J76&lt;&gt;"",CHAR(10)&amp;CHAR(10)&amp;"رابط التقرير: "&amp;J76,"")&amp;CHAR(10)&amp;CHAR(10)&amp;"إذا أحببت، يمكننا مساعدتك في فهم التقرير وتحديد أفضل خطوة تالية لعيادتكم.")</x:f>
      </x:c>
      <x:c r="L76" s="12" t="str">
        <x:f>IF(D76="","",HYPERLINK("https://wa.me/"&amp;REGEXREPLACE(D76,"[^\d]","")&amp;"?text="&amp;ENCODEURL(K76),"واتساب 1"))</x:f>
      </x:c>
      <x:c r="M76" s="12" t="str">
        <x:f>IF(A76="","","مرحبًا "&amp;C76&amp;CHAR(10)&amp;CHAR(10)&amp;"بناءً على نتيجة تقييم عيادة "&amp;B76&amp;"، فإن الترشيح الأقوى لكم الآن هو: "&amp;G76&amp;"."&amp;CHAR(10)&amp;"هذا الخيار يساعدكم في معالجة أكبر فجوة حالية بشكل عملي ومباشر."&amp;IF(J76&lt;&gt;"",CHAR(10)&amp;CHAR(10)&amp;"رابط التقرير: "&amp;J76,"")&amp;CHAR(10)&amp;CHAR(10)&amp;"إذا رغبت، يمكننا توضيح لماذا هذا الكورس هو الأنسب لكم الآن.")</x:f>
      </x:c>
      <x:c r="N76" s="12" t="str">
        <x:f>IF(D76="","",HYPERLINK("https://wa.me/"&amp;REGEXREPLACE(D76,"[^\d]","")&amp;"?text="&amp;ENCODEURL(M76),"واتساب 2"))</x:f>
      </x:c>
      <x:c r="O76" s="12" t="str">
        <x:f>IF(A76="","","مرحبًا "&amp;C76&amp;CHAR(10)&amp;CHAR(10)&amp;"إذا كانت التحديات لديكم تحتاج حلًا أشمل، فالبرنامج الكامل المناسب لكم هو: "&amp;H76&amp;"."&amp;IF(I76&lt;&gt;"",CHAR(10)&amp;"كما يمكنكم أيضًا حجز: "&amp;I76&amp;".","")&amp;IF(J76&lt;&gt;"",CHAR(10)&amp;CHAR(10)&amp;"رابط التقرير: "&amp;J76,"")&amp;CHAR(10)&amp;CHAR(10)&amp;"يسعدنا مساعدتكم في اختيار المسار الأنسب حسب وضع العيادة الحالي.")</x:f>
      </x:c>
      <x:c r="P76" s="12" t="str">
        <x:f>IF(D76="","",HYPERLINK("https://wa.me/"&amp;REGEXREPLACE(D76,"[^\d]","")&amp;"?text="&amp;ENCODEURL(O76),"واتساب 3"))</x:f>
      </x:c>
    </x:row>
    <x:row r="77" ht="15" hidden="0" customHeight="1">
      <x:c r="A77" s="12" t="str">
        <x:f>IF(Leads!A77="","",Leads!A77)</x:f>
      </x:c>
      <x:c r="B77" s="12" t="str">
        <x:f>IF(Leads!F77="","",Leads!F77)</x:f>
      </x:c>
      <x:c r="C77" s="12" t="str">
        <x:f>IF(Leads!G77="","",Leads!G77)</x:f>
      </x:c>
      <x:c r="D77" s="12" t="str">
        <x:f>IF(Leads!O77="","",Leads!O77)</x:f>
      </x:c>
      <x:c r="E77" s="12" t="str">
        <x:f>IF(Leads!AV77="","",Leads!AV77)</x:f>
      </x:c>
      <x:c r="F77" s="12" t="str">
        <x:f>IF(Leads!AX77="","",Leads!AX77)</x:f>
      </x:c>
      <x:c r="G77" s="12" t="str">
        <x:f>IF(Leads!BC77="","",Leads!BC77)</x:f>
      </x:c>
      <x:c r="H77" s="12" t="str">
        <x:f>IF(Leads!BE77="","",Leads!BE77)</x:f>
      </x:c>
      <x:c r="I77" s="12" t="str">
        <x:f>IF(Leads!BG77="","",Leads!BG77)</x:f>
      </x:c>
      <x:c r="J77" s="12" t="str">
        <x:f>IF(Leads!BH77="","",Leads!BH77)</x:f>
      </x:c>
      <x:c r="K77" s="12" t="str">
        <x:f>IF(A77="","","مرحبًا "&amp;C77&amp;CHAR(10)&amp;CHAR(10)&amp;"شكرًا لإتمام تقييم DBD الخاص بعيادة "&amp;B77&amp;"."&amp;CHAR(10)&amp;"نتيجتكم الحالية: "&amp;E77&amp;"%."&amp;CHAR(10)&amp;"أولوية التحسين الأولى: "&amp;F77&amp;"."&amp;IF(J77&lt;&gt;"",CHAR(10)&amp;CHAR(10)&amp;"رابط التقرير: "&amp;J77,"")&amp;CHAR(10)&amp;CHAR(10)&amp;"إذا أحببت، يمكننا مساعدتك في فهم التقرير وتحديد أفضل خطوة تالية لعيادتكم.")</x:f>
      </x:c>
      <x:c r="L77" s="12" t="str">
        <x:f>IF(D77="","",HYPERLINK("https://wa.me/"&amp;REGEXREPLACE(D77,"[^\d]","")&amp;"?text="&amp;ENCODEURL(K77),"واتساب 1"))</x:f>
      </x:c>
      <x:c r="M77" s="12" t="str">
        <x:f>IF(A77="","","مرحبًا "&amp;C77&amp;CHAR(10)&amp;CHAR(10)&amp;"بناءً على نتيجة تقييم عيادة "&amp;B77&amp;"، فإن الترشيح الأقوى لكم الآن هو: "&amp;G77&amp;"."&amp;CHAR(10)&amp;"هذا الخيار يساعدكم في معالجة أكبر فجوة حالية بشكل عملي ومباشر."&amp;IF(J77&lt;&gt;"",CHAR(10)&amp;CHAR(10)&amp;"رابط التقرير: "&amp;J77,"")&amp;CHAR(10)&amp;CHAR(10)&amp;"إذا رغبت، يمكننا توضيح لماذا هذا الكورس هو الأنسب لكم الآن.")</x:f>
      </x:c>
      <x:c r="N77" s="12" t="str">
        <x:f>IF(D77="","",HYPERLINK("https://wa.me/"&amp;REGEXREPLACE(D77,"[^\d]","")&amp;"?text="&amp;ENCODEURL(M77),"واتساب 2"))</x:f>
      </x:c>
      <x:c r="O77" s="12" t="str">
        <x:f>IF(A77="","","مرحبًا "&amp;C77&amp;CHAR(10)&amp;CHAR(10)&amp;"إذا كانت التحديات لديكم تحتاج حلًا أشمل، فالبرنامج الكامل المناسب لكم هو: "&amp;H77&amp;"."&amp;IF(I77&lt;&gt;"",CHAR(10)&amp;"كما يمكنكم أيضًا حجز: "&amp;I77&amp;".","")&amp;IF(J77&lt;&gt;"",CHAR(10)&amp;CHAR(10)&amp;"رابط التقرير: "&amp;J77,"")&amp;CHAR(10)&amp;CHAR(10)&amp;"يسعدنا مساعدتكم في اختيار المسار الأنسب حسب وضع العيادة الحالي.")</x:f>
      </x:c>
      <x:c r="P77" s="12" t="str">
        <x:f>IF(D77="","",HYPERLINK("https://wa.me/"&amp;REGEXREPLACE(D77,"[^\d]","")&amp;"?text="&amp;ENCODEURL(O77),"واتساب 3"))</x:f>
      </x:c>
    </x:row>
    <x:row r="78" ht="15" hidden="0" customHeight="1">
      <x:c r="A78" s="12" t="str">
        <x:f>IF(Leads!A78="","",Leads!A78)</x:f>
      </x:c>
      <x:c r="B78" s="12" t="str">
        <x:f>IF(Leads!F78="","",Leads!F78)</x:f>
      </x:c>
      <x:c r="C78" s="12" t="str">
        <x:f>IF(Leads!G78="","",Leads!G78)</x:f>
      </x:c>
      <x:c r="D78" s="12" t="str">
        <x:f>IF(Leads!O78="","",Leads!O78)</x:f>
      </x:c>
      <x:c r="E78" s="12" t="str">
        <x:f>IF(Leads!AV78="","",Leads!AV78)</x:f>
      </x:c>
      <x:c r="F78" s="12" t="str">
        <x:f>IF(Leads!AX78="","",Leads!AX78)</x:f>
      </x:c>
      <x:c r="G78" s="12" t="str">
        <x:f>IF(Leads!BC78="","",Leads!BC78)</x:f>
      </x:c>
      <x:c r="H78" s="12" t="str">
        <x:f>IF(Leads!BE78="","",Leads!BE78)</x:f>
      </x:c>
      <x:c r="I78" s="12" t="str">
        <x:f>IF(Leads!BG78="","",Leads!BG78)</x:f>
      </x:c>
      <x:c r="J78" s="12" t="str">
        <x:f>IF(Leads!BH78="","",Leads!BH78)</x:f>
      </x:c>
      <x:c r="K78" s="12" t="str">
        <x:f>IF(A78="","","مرحبًا "&amp;C78&amp;CHAR(10)&amp;CHAR(10)&amp;"شكرًا لإتمام تقييم DBD الخاص بعيادة "&amp;B78&amp;"."&amp;CHAR(10)&amp;"نتيجتكم الحالية: "&amp;E78&amp;"%."&amp;CHAR(10)&amp;"أولوية التحسين الأولى: "&amp;F78&amp;"."&amp;IF(J78&lt;&gt;"",CHAR(10)&amp;CHAR(10)&amp;"رابط التقرير: "&amp;J78,"")&amp;CHAR(10)&amp;CHAR(10)&amp;"إذا أحببت، يمكننا مساعدتك في فهم التقرير وتحديد أفضل خطوة تالية لعيادتكم.")</x:f>
      </x:c>
      <x:c r="L78" s="12" t="str">
        <x:f>IF(D78="","",HYPERLINK("https://wa.me/"&amp;REGEXREPLACE(D78,"[^\d]","")&amp;"?text="&amp;ENCODEURL(K78),"واتساب 1"))</x:f>
      </x:c>
      <x:c r="M78" s="12" t="str">
        <x:f>IF(A78="","","مرحبًا "&amp;C78&amp;CHAR(10)&amp;CHAR(10)&amp;"بناءً على نتيجة تقييم عيادة "&amp;B78&amp;"، فإن الترشيح الأقوى لكم الآن هو: "&amp;G78&amp;"."&amp;CHAR(10)&amp;"هذا الخيار يساعدكم في معالجة أكبر فجوة حالية بشكل عملي ومباشر."&amp;IF(J78&lt;&gt;"",CHAR(10)&amp;CHAR(10)&amp;"رابط التقرير: "&amp;J78,"")&amp;CHAR(10)&amp;CHAR(10)&amp;"إذا رغبت، يمكننا توضيح لماذا هذا الكورس هو الأنسب لكم الآن.")</x:f>
      </x:c>
      <x:c r="N78" s="12" t="str">
        <x:f>IF(D78="","",HYPERLINK("https://wa.me/"&amp;REGEXREPLACE(D78,"[^\d]","")&amp;"?text="&amp;ENCODEURL(M78),"واتساب 2"))</x:f>
      </x:c>
      <x:c r="O78" s="12" t="str">
        <x:f>IF(A78="","","مرحبًا "&amp;C78&amp;CHAR(10)&amp;CHAR(10)&amp;"إذا كانت التحديات لديكم تحتاج حلًا أشمل، فالبرنامج الكامل المناسب لكم هو: "&amp;H78&amp;"."&amp;IF(I78&lt;&gt;"",CHAR(10)&amp;"كما يمكنكم أيضًا حجز: "&amp;I78&amp;".","")&amp;IF(J78&lt;&gt;"",CHAR(10)&amp;CHAR(10)&amp;"رابط التقرير: "&amp;J78,"")&amp;CHAR(10)&amp;CHAR(10)&amp;"يسعدنا مساعدتكم في اختيار المسار الأنسب حسب وضع العيادة الحالي.")</x:f>
      </x:c>
      <x:c r="P78" s="12" t="str">
        <x:f>IF(D78="","",HYPERLINK("https://wa.me/"&amp;REGEXREPLACE(D78,"[^\d]","")&amp;"?text="&amp;ENCODEURL(O78),"واتساب 3"))</x:f>
      </x:c>
    </x:row>
    <x:row r="79" ht="15" hidden="0" customHeight="1">
      <x:c r="A79" s="12" t="str">
        <x:f>IF(Leads!A79="","",Leads!A79)</x:f>
      </x:c>
      <x:c r="B79" s="12" t="str">
        <x:f>IF(Leads!F79="","",Leads!F79)</x:f>
      </x:c>
      <x:c r="C79" s="12" t="str">
        <x:f>IF(Leads!G79="","",Leads!G79)</x:f>
      </x:c>
      <x:c r="D79" s="12" t="str">
        <x:f>IF(Leads!O79="","",Leads!O79)</x:f>
      </x:c>
      <x:c r="E79" s="12" t="str">
        <x:f>IF(Leads!AV79="","",Leads!AV79)</x:f>
      </x:c>
      <x:c r="F79" s="12" t="str">
        <x:f>IF(Leads!AX79="","",Leads!AX79)</x:f>
      </x:c>
      <x:c r="G79" s="12" t="str">
        <x:f>IF(Leads!BC79="","",Leads!BC79)</x:f>
      </x:c>
      <x:c r="H79" s="12" t="str">
        <x:f>IF(Leads!BE79="","",Leads!BE79)</x:f>
      </x:c>
      <x:c r="I79" s="12" t="str">
        <x:f>IF(Leads!BG79="","",Leads!BG79)</x:f>
      </x:c>
      <x:c r="J79" s="12" t="str">
        <x:f>IF(Leads!BH79="","",Leads!BH79)</x:f>
      </x:c>
      <x:c r="K79" s="12" t="str">
        <x:f>IF(A79="","","مرحبًا "&amp;C79&amp;CHAR(10)&amp;CHAR(10)&amp;"شكرًا لإتمام تقييم DBD الخاص بعيادة "&amp;B79&amp;"."&amp;CHAR(10)&amp;"نتيجتكم الحالية: "&amp;E79&amp;"%."&amp;CHAR(10)&amp;"أولوية التحسين الأولى: "&amp;F79&amp;"."&amp;IF(J79&lt;&gt;"",CHAR(10)&amp;CHAR(10)&amp;"رابط التقرير: "&amp;J79,"")&amp;CHAR(10)&amp;CHAR(10)&amp;"إذا أحببت، يمكننا مساعدتك في فهم التقرير وتحديد أفضل خطوة تالية لعيادتكم.")</x:f>
      </x:c>
      <x:c r="L79" s="12" t="str">
        <x:f>IF(D79="","",HYPERLINK("https://wa.me/"&amp;REGEXREPLACE(D79,"[^\d]","")&amp;"?text="&amp;ENCODEURL(K79),"واتساب 1"))</x:f>
      </x:c>
      <x:c r="M79" s="12" t="str">
        <x:f>IF(A79="","","مرحبًا "&amp;C79&amp;CHAR(10)&amp;CHAR(10)&amp;"بناءً على نتيجة تقييم عيادة "&amp;B79&amp;"، فإن الترشيح الأقوى لكم الآن هو: "&amp;G79&amp;"."&amp;CHAR(10)&amp;"هذا الخيار يساعدكم في معالجة أكبر فجوة حالية بشكل عملي ومباشر."&amp;IF(J79&lt;&gt;"",CHAR(10)&amp;CHAR(10)&amp;"رابط التقرير: "&amp;J79,"")&amp;CHAR(10)&amp;CHAR(10)&amp;"إذا رغبت، يمكننا توضيح لماذا هذا الكورس هو الأنسب لكم الآن.")</x:f>
      </x:c>
      <x:c r="N79" s="12" t="str">
        <x:f>IF(D79="","",HYPERLINK("https://wa.me/"&amp;REGEXREPLACE(D79,"[^\d]","")&amp;"?text="&amp;ENCODEURL(M79),"واتساب 2"))</x:f>
      </x:c>
      <x:c r="O79" s="12" t="str">
        <x:f>IF(A79="","","مرحبًا "&amp;C79&amp;CHAR(10)&amp;CHAR(10)&amp;"إذا كانت التحديات لديكم تحتاج حلًا أشمل، فالبرنامج الكامل المناسب لكم هو: "&amp;H79&amp;"."&amp;IF(I79&lt;&gt;"",CHAR(10)&amp;"كما يمكنكم أيضًا حجز: "&amp;I79&amp;".","")&amp;IF(J79&lt;&gt;"",CHAR(10)&amp;CHAR(10)&amp;"رابط التقرير: "&amp;J79,"")&amp;CHAR(10)&amp;CHAR(10)&amp;"يسعدنا مساعدتكم في اختيار المسار الأنسب حسب وضع العيادة الحالي.")</x:f>
      </x:c>
      <x:c r="P79" s="12" t="str">
        <x:f>IF(D79="","",HYPERLINK("https://wa.me/"&amp;REGEXREPLACE(D79,"[^\d]","")&amp;"?text="&amp;ENCODEURL(O79),"واتساب 3"))</x:f>
      </x:c>
    </x:row>
    <x:row r="80" ht="15" hidden="0" customHeight="1">
      <x:c r="A80" s="12" t="str">
        <x:f>IF(Leads!A80="","",Leads!A80)</x:f>
      </x:c>
      <x:c r="B80" s="12" t="str">
        <x:f>IF(Leads!F80="","",Leads!F80)</x:f>
      </x:c>
      <x:c r="C80" s="12" t="str">
        <x:f>IF(Leads!G80="","",Leads!G80)</x:f>
      </x:c>
      <x:c r="D80" s="12" t="str">
        <x:f>IF(Leads!O80="","",Leads!O80)</x:f>
      </x:c>
      <x:c r="E80" s="12" t="str">
        <x:f>IF(Leads!AV80="","",Leads!AV80)</x:f>
      </x:c>
      <x:c r="F80" s="12" t="str">
        <x:f>IF(Leads!AX80="","",Leads!AX80)</x:f>
      </x:c>
      <x:c r="G80" s="12" t="str">
        <x:f>IF(Leads!BC80="","",Leads!BC80)</x:f>
      </x:c>
      <x:c r="H80" s="12" t="str">
        <x:f>IF(Leads!BE80="","",Leads!BE80)</x:f>
      </x:c>
      <x:c r="I80" s="12" t="str">
        <x:f>IF(Leads!BG80="","",Leads!BG80)</x:f>
      </x:c>
      <x:c r="J80" s="12" t="str">
        <x:f>IF(Leads!BH80="","",Leads!BH80)</x:f>
      </x:c>
      <x:c r="K80" s="12" t="str">
        <x:f>IF(A80="","","مرحبًا "&amp;C80&amp;CHAR(10)&amp;CHAR(10)&amp;"شكرًا لإتمام تقييم DBD الخاص بعيادة "&amp;B80&amp;"."&amp;CHAR(10)&amp;"نتيجتكم الحالية: "&amp;E80&amp;"%."&amp;CHAR(10)&amp;"أولوية التحسين الأولى: "&amp;F80&amp;"."&amp;IF(J80&lt;&gt;"",CHAR(10)&amp;CHAR(10)&amp;"رابط التقرير: "&amp;J80,"")&amp;CHAR(10)&amp;CHAR(10)&amp;"إذا أحببت، يمكننا مساعدتك في فهم التقرير وتحديد أفضل خطوة تالية لعيادتكم.")</x:f>
      </x:c>
      <x:c r="L80" s="12" t="str">
        <x:f>IF(D80="","",HYPERLINK("https://wa.me/"&amp;REGEXREPLACE(D80,"[^\d]","")&amp;"?text="&amp;ENCODEURL(K80),"واتساب 1"))</x:f>
      </x:c>
      <x:c r="M80" s="12" t="str">
        <x:f>IF(A80="","","مرحبًا "&amp;C80&amp;CHAR(10)&amp;CHAR(10)&amp;"بناءً على نتيجة تقييم عيادة "&amp;B80&amp;"، فإن الترشيح الأقوى لكم الآن هو: "&amp;G80&amp;"."&amp;CHAR(10)&amp;"هذا الخيار يساعدكم في معالجة أكبر فجوة حالية بشكل عملي ومباشر."&amp;IF(J80&lt;&gt;"",CHAR(10)&amp;CHAR(10)&amp;"رابط التقرير: "&amp;J80,"")&amp;CHAR(10)&amp;CHAR(10)&amp;"إذا رغبت، يمكننا توضيح لماذا هذا الكورس هو الأنسب لكم الآن.")</x:f>
      </x:c>
      <x:c r="N80" s="12" t="str">
        <x:f>IF(D80="","",HYPERLINK("https://wa.me/"&amp;REGEXREPLACE(D80,"[^\d]","")&amp;"?text="&amp;ENCODEURL(M80),"واتساب 2"))</x:f>
      </x:c>
      <x:c r="O80" s="12" t="str">
        <x:f>IF(A80="","","مرحبًا "&amp;C80&amp;CHAR(10)&amp;CHAR(10)&amp;"إذا كانت التحديات لديكم تحتاج حلًا أشمل، فالبرنامج الكامل المناسب لكم هو: "&amp;H80&amp;"."&amp;IF(I80&lt;&gt;"",CHAR(10)&amp;"كما يمكنكم أيضًا حجز: "&amp;I80&amp;".","")&amp;IF(J80&lt;&gt;"",CHAR(10)&amp;CHAR(10)&amp;"رابط التقرير: "&amp;J80,"")&amp;CHAR(10)&amp;CHAR(10)&amp;"يسعدنا مساعدتكم في اختيار المسار الأنسب حسب وضع العيادة الحالي.")</x:f>
      </x:c>
      <x:c r="P80" s="12" t="str">
        <x:f>IF(D80="","",HYPERLINK("https://wa.me/"&amp;REGEXREPLACE(D80,"[^\d]","")&amp;"?text="&amp;ENCODEURL(O80),"واتساب 3"))</x:f>
      </x:c>
    </x:row>
    <x:row r="81" ht="15" hidden="0" customHeight="1">
      <x:c r="A81" s="12" t="str">
        <x:f>IF(Leads!A81="","",Leads!A81)</x:f>
      </x:c>
      <x:c r="B81" s="12" t="str">
        <x:f>IF(Leads!F81="","",Leads!F81)</x:f>
      </x:c>
      <x:c r="C81" s="12" t="str">
        <x:f>IF(Leads!G81="","",Leads!G81)</x:f>
      </x:c>
      <x:c r="D81" s="12" t="str">
        <x:f>IF(Leads!O81="","",Leads!O81)</x:f>
      </x:c>
      <x:c r="E81" s="12" t="str">
        <x:f>IF(Leads!AV81="","",Leads!AV81)</x:f>
      </x:c>
      <x:c r="F81" s="12" t="str">
        <x:f>IF(Leads!AX81="","",Leads!AX81)</x:f>
      </x:c>
      <x:c r="G81" s="12" t="str">
        <x:f>IF(Leads!BC81="","",Leads!BC81)</x:f>
      </x:c>
      <x:c r="H81" s="12" t="str">
        <x:f>IF(Leads!BE81="","",Leads!BE81)</x:f>
      </x:c>
      <x:c r="I81" s="12" t="str">
        <x:f>IF(Leads!BG81="","",Leads!BG81)</x:f>
      </x:c>
      <x:c r="J81" s="12" t="str">
        <x:f>IF(Leads!BH81="","",Leads!BH81)</x:f>
      </x:c>
      <x:c r="K81" s="12" t="str">
        <x:f>IF(A81="","","مرحبًا "&amp;C81&amp;CHAR(10)&amp;CHAR(10)&amp;"شكرًا لإتمام تقييم DBD الخاص بعيادة "&amp;B81&amp;"."&amp;CHAR(10)&amp;"نتيجتكم الحالية: "&amp;E81&amp;"%."&amp;CHAR(10)&amp;"أولوية التحسين الأولى: "&amp;F81&amp;"."&amp;IF(J81&lt;&gt;"",CHAR(10)&amp;CHAR(10)&amp;"رابط التقرير: "&amp;J81,"")&amp;CHAR(10)&amp;CHAR(10)&amp;"إذا أحببت، يمكننا مساعدتك في فهم التقرير وتحديد أفضل خطوة تالية لعيادتكم.")</x:f>
      </x:c>
      <x:c r="L81" s="12" t="str">
        <x:f>IF(D81="","",HYPERLINK("https://wa.me/"&amp;REGEXREPLACE(D81,"[^\d]","")&amp;"?text="&amp;ENCODEURL(K81),"واتساب 1"))</x:f>
      </x:c>
      <x:c r="M81" s="12" t="str">
        <x:f>IF(A81="","","مرحبًا "&amp;C81&amp;CHAR(10)&amp;CHAR(10)&amp;"بناءً على نتيجة تقييم عيادة "&amp;B81&amp;"، فإن الترشيح الأقوى لكم الآن هو: "&amp;G81&amp;"."&amp;CHAR(10)&amp;"هذا الخيار يساعدكم في معالجة أكبر فجوة حالية بشكل عملي ومباشر."&amp;IF(J81&lt;&gt;"",CHAR(10)&amp;CHAR(10)&amp;"رابط التقرير: "&amp;J81,"")&amp;CHAR(10)&amp;CHAR(10)&amp;"إذا رغبت، يمكننا توضيح لماذا هذا الكورس هو الأنسب لكم الآن.")</x:f>
      </x:c>
      <x:c r="N81" s="12" t="str">
        <x:f>IF(D81="","",HYPERLINK("https://wa.me/"&amp;REGEXREPLACE(D81,"[^\d]","")&amp;"?text="&amp;ENCODEURL(M81),"واتساب 2"))</x:f>
      </x:c>
      <x:c r="O81" s="12" t="str">
        <x:f>IF(A81="","","مرحبًا "&amp;C81&amp;CHAR(10)&amp;CHAR(10)&amp;"إذا كانت التحديات لديكم تحتاج حلًا أشمل، فالبرنامج الكامل المناسب لكم هو: "&amp;H81&amp;"."&amp;IF(I81&lt;&gt;"",CHAR(10)&amp;"كما يمكنكم أيضًا حجز: "&amp;I81&amp;".","")&amp;IF(J81&lt;&gt;"",CHAR(10)&amp;CHAR(10)&amp;"رابط التقرير: "&amp;J81,"")&amp;CHAR(10)&amp;CHAR(10)&amp;"يسعدنا مساعدتكم في اختيار المسار الأنسب حسب وضع العيادة الحالي.")</x:f>
      </x:c>
      <x:c r="P81" s="12" t="str">
        <x:f>IF(D81="","",HYPERLINK("https://wa.me/"&amp;REGEXREPLACE(D81,"[^\d]","")&amp;"?text="&amp;ENCODEURL(O81),"واتساب 3"))</x:f>
      </x:c>
    </x:row>
    <x:row r="82" ht="15" hidden="0" customHeight="1">
      <x:c r="A82" s="12" t="str">
        <x:f>IF(Leads!A82="","",Leads!A82)</x:f>
      </x:c>
      <x:c r="B82" s="12" t="str">
        <x:f>IF(Leads!F82="","",Leads!F82)</x:f>
      </x:c>
      <x:c r="C82" s="12" t="str">
        <x:f>IF(Leads!G82="","",Leads!G82)</x:f>
      </x:c>
      <x:c r="D82" s="12" t="str">
        <x:f>IF(Leads!O82="","",Leads!O82)</x:f>
      </x:c>
      <x:c r="E82" s="12" t="str">
        <x:f>IF(Leads!AV82="","",Leads!AV82)</x:f>
      </x:c>
      <x:c r="F82" s="12" t="str">
        <x:f>IF(Leads!AX82="","",Leads!AX82)</x:f>
      </x:c>
      <x:c r="G82" s="12" t="str">
        <x:f>IF(Leads!BC82="","",Leads!BC82)</x:f>
      </x:c>
      <x:c r="H82" s="12" t="str">
        <x:f>IF(Leads!BE82="","",Leads!BE82)</x:f>
      </x:c>
      <x:c r="I82" s="12" t="str">
        <x:f>IF(Leads!BG82="","",Leads!BG82)</x:f>
      </x:c>
      <x:c r="J82" s="12" t="str">
        <x:f>IF(Leads!BH82="","",Leads!BH82)</x:f>
      </x:c>
      <x:c r="K82" s="12" t="str">
        <x:f>IF(A82="","","مرحبًا "&amp;C82&amp;CHAR(10)&amp;CHAR(10)&amp;"شكرًا لإتمام تقييم DBD الخاص بعيادة "&amp;B82&amp;"."&amp;CHAR(10)&amp;"نتيجتكم الحالية: "&amp;E82&amp;"%."&amp;CHAR(10)&amp;"أولوية التحسين الأولى: "&amp;F82&amp;"."&amp;IF(J82&lt;&gt;"",CHAR(10)&amp;CHAR(10)&amp;"رابط التقرير: "&amp;J82,"")&amp;CHAR(10)&amp;CHAR(10)&amp;"إذا أحببت، يمكننا مساعدتك في فهم التقرير وتحديد أفضل خطوة تالية لعيادتكم.")</x:f>
      </x:c>
      <x:c r="L82" s="12" t="str">
        <x:f>IF(D82="","",HYPERLINK("https://wa.me/"&amp;REGEXREPLACE(D82,"[^\d]","")&amp;"?text="&amp;ENCODEURL(K82),"واتساب 1"))</x:f>
      </x:c>
      <x:c r="M82" s="12" t="str">
        <x:f>IF(A82="","","مرحبًا "&amp;C82&amp;CHAR(10)&amp;CHAR(10)&amp;"بناءً على نتيجة تقييم عيادة "&amp;B82&amp;"، فإن الترشيح الأقوى لكم الآن هو: "&amp;G82&amp;"."&amp;CHAR(10)&amp;"هذا الخيار يساعدكم في معالجة أكبر فجوة حالية بشكل عملي ومباشر."&amp;IF(J82&lt;&gt;"",CHAR(10)&amp;CHAR(10)&amp;"رابط التقرير: "&amp;J82,"")&amp;CHAR(10)&amp;CHAR(10)&amp;"إذا رغبت، يمكننا توضيح لماذا هذا الكورس هو الأنسب لكم الآن.")</x:f>
      </x:c>
      <x:c r="N82" s="12" t="str">
        <x:f>IF(D82="","",HYPERLINK("https://wa.me/"&amp;REGEXREPLACE(D82,"[^\d]","")&amp;"?text="&amp;ENCODEURL(M82),"واتساب 2"))</x:f>
      </x:c>
      <x:c r="O82" s="12" t="str">
        <x:f>IF(A82="","","مرحبًا "&amp;C82&amp;CHAR(10)&amp;CHAR(10)&amp;"إذا كانت التحديات لديكم تحتاج حلًا أشمل، فالبرنامج الكامل المناسب لكم هو: "&amp;H82&amp;"."&amp;IF(I82&lt;&gt;"",CHAR(10)&amp;"كما يمكنكم أيضًا حجز: "&amp;I82&amp;".","")&amp;IF(J82&lt;&gt;"",CHAR(10)&amp;CHAR(10)&amp;"رابط التقرير: "&amp;J82,"")&amp;CHAR(10)&amp;CHAR(10)&amp;"يسعدنا مساعدتكم في اختيار المسار الأنسب حسب وضع العيادة الحالي.")</x:f>
      </x:c>
      <x:c r="P82" s="12" t="str">
        <x:f>IF(D82="","",HYPERLINK("https://wa.me/"&amp;REGEXREPLACE(D82,"[^\d]","")&amp;"?text="&amp;ENCODEURL(O82),"واتساب 3"))</x:f>
      </x:c>
    </x:row>
    <x:row r="83" ht="15" hidden="0" customHeight="1">
      <x:c r="A83" s="12" t="str">
        <x:f>IF(Leads!A83="","",Leads!A83)</x:f>
      </x:c>
      <x:c r="B83" s="12" t="str">
        <x:f>IF(Leads!F83="","",Leads!F83)</x:f>
      </x:c>
      <x:c r="C83" s="12" t="str">
        <x:f>IF(Leads!G83="","",Leads!G83)</x:f>
      </x:c>
      <x:c r="D83" s="12" t="str">
        <x:f>IF(Leads!O83="","",Leads!O83)</x:f>
      </x:c>
      <x:c r="E83" s="12" t="str">
        <x:f>IF(Leads!AV83="","",Leads!AV83)</x:f>
      </x:c>
      <x:c r="F83" s="12" t="str">
        <x:f>IF(Leads!AX83="","",Leads!AX83)</x:f>
      </x:c>
      <x:c r="G83" s="12" t="str">
        <x:f>IF(Leads!BC83="","",Leads!BC83)</x:f>
      </x:c>
      <x:c r="H83" s="12" t="str">
        <x:f>IF(Leads!BE83="","",Leads!BE83)</x:f>
      </x:c>
      <x:c r="I83" s="12" t="str">
        <x:f>IF(Leads!BG83="","",Leads!BG83)</x:f>
      </x:c>
      <x:c r="J83" s="12" t="str">
        <x:f>IF(Leads!BH83="","",Leads!BH83)</x:f>
      </x:c>
      <x:c r="K83" s="12" t="str">
        <x:f>IF(A83="","","مرحبًا "&amp;C83&amp;CHAR(10)&amp;CHAR(10)&amp;"شكرًا لإتمام تقييم DBD الخاص بعيادة "&amp;B83&amp;"."&amp;CHAR(10)&amp;"نتيجتكم الحالية: "&amp;E83&amp;"%."&amp;CHAR(10)&amp;"أولوية التحسين الأولى: "&amp;F83&amp;"."&amp;IF(J83&lt;&gt;"",CHAR(10)&amp;CHAR(10)&amp;"رابط التقرير: "&amp;J83,"")&amp;CHAR(10)&amp;CHAR(10)&amp;"إذا أحببت، يمكننا مساعدتك في فهم التقرير وتحديد أفضل خطوة تالية لعيادتكم.")</x:f>
      </x:c>
      <x:c r="L83" s="12" t="str">
        <x:f>IF(D83="","",HYPERLINK("https://wa.me/"&amp;REGEXREPLACE(D83,"[^\d]","")&amp;"?text="&amp;ENCODEURL(K83),"واتساب 1"))</x:f>
      </x:c>
      <x:c r="M83" s="12" t="str">
        <x:f>IF(A83="","","مرحبًا "&amp;C83&amp;CHAR(10)&amp;CHAR(10)&amp;"بناءً على نتيجة تقييم عيادة "&amp;B83&amp;"، فإن الترشيح الأقوى لكم الآن هو: "&amp;G83&amp;"."&amp;CHAR(10)&amp;"هذا الخيار يساعدكم في معالجة أكبر فجوة حالية بشكل عملي ومباشر."&amp;IF(J83&lt;&gt;"",CHAR(10)&amp;CHAR(10)&amp;"رابط التقرير: "&amp;J83,"")&amp;CHAR(10)&amp;CHAR(10)&amp;"إذا رغبت، يمكننا توضيح لماذا هذا الكورس هو الأنسب لكم الآن.")</x:f>
      </x:c>
      <x:c r="N83" s="12" t="str">
        <x:f>IF(D83="","",HYPERLINK("https://wa.me/"&amp;REGEXREPLACE(D83,"[^\d]","")&amp;"?text="&amp;ENCODEURL(M83),"واتساب 2"))</x:f>
      </x:c>
      <x:c r="O83" s="12" t="str">
        <x:f>IF(A83="","","مرحبًا "&amp;C83&amp;CHAR(10)&amp;CHAR(10)&amp;"إذا كانت التحديات لديكم تحتاج حلًا أشمل، فالبرنامج الكامل المناسب لكم هو: "&amp;H83&amp;"."&amp;IF(I83&lt;&gt;"",CHAR(10)&amp;"كما يمكنكم أيضًا حجز: "&amp;I83&amp;".","")&amp;IF(J83&lt;&gt;"",CHAR(10)&amp;CHAR(10)&amp;"رابط التقرير: "&amp;J83,"")&amp;CHAR(10)&amp;CHAR(10)&amp;"يسعدنا مساعدتكم في اختيار المسار الأنسب حسب وضع العيادة الحالي.")</x:f>
      </x:c>
      <x:c r="P83" s="12" t="str">
        <x:f>IF(D83="","",HYPERLINK("https://wa.me/"&amp;REGEXREPLACE(D83,"[^\d]","")&amp;"?text="&amp;ENCODEURL(O83),"واتساب 3"))</x:f>
      </x:c>
    </x:row>
    <x:row r="84" ht="15" hidden="0" customHeight="1">
      <x:c r="A84" s="12" t="str">
        <x:f>IF(Leads!A84="","",Leads!A84)</x:f>
      </x:c>
      <x:c r="B84" s="12" t="str">
        <x:f>IF(Leads!F84="","",Leads!F84)</x:f>
      </x:c>
      <x:c r="C84" s="12" t="str">
        <x:f>IF(Leads!G84="","",Leads!G84)</x:f>
      </x:c>
      <x:c r="D84" s="12" t="str">
        <x:f>IF(Leads!O84="","",Leads!O84)</x:f>
      </x:c>
      <x:c r="E84" s="12" t="str">
        <x:f>IF(Leads!AV84="","",Leads!AV84)</x:f>
      </x:c>
      <x:c r="F84" s="12" t="str">
        <x:f>IF(Leads!AX84="","",Leads!AX84)</x:f>
      </x:c>
      <x:c r="G84" s="12" t="str">
        <x:f>IF(Leads!BC84="","",Leads!BC84)</x:f>
      </x:c>
      <x:c r="H84" s="12" t="str">
        <x:f>IF(Leads!BE84="","",Leads!BE84)</x:f>
      </x:c>
      <x:c r="I84" s="12" t="str">
        <x:f>IF(Leads!BG84="","",Leads!BG84)</x:f>
      </x:c>
      <x:c r="J84" s="12" t="str">
        <x:f>IF(Leads!BH84="","",Leads!BH84)</x:f>
      </x:c>
      <x:c r="K84" s="12" t="str">
        <x:f>IF(A84="","","مرحبًا "&amp;C84&amp;CHAR(10)&amp;CHAR(10)&amp;"شكرًا لإتمام تقييم DBD الخاص بعيادة "&amp;B84&amp;"."&amp;CHAR(10)&amp;"نتيجتكم الحالية: "&amp;E84&amp;"%."&amp;CHAR(10)&amp;"أولوية التحسين الأولى: "&amp;F84&amp;"."&amp;IF(J84&lt;&gt;"",CHAR(10)&amp;CHAR(10)&amp;"رابط التقرير: "&amp;J84,"")&amp;CHAR(10)&amp;CHAR(10)&amp;"إذا أحببت، يمكننا مساعدتك في فهم التقرير وتحديد أفضل خطوة تالية لعيادتكم.")</x:f>
      </x:c>
      <x:c r="L84" s="12" t="str">
        <x:f>IF(D84="","",HYPERLINK("https://wa.me/"&amp;REGEXREPLACE(D84,"[^\d]","")&amp;"?text="&amp;ENCODEURL(K84),"واتساب 1"))</x:f>
      </x:c>
      <x:c r="M84" s="12" t="str">
        <x:f>IF(A84="","","مرحبًا "&amp;C84&amp;CHAR(10)&amp;CHAR(10)&amp;"بناءً على نتيجة تقييم عيادة "&amp;B84&amp;"، فإن الترشيح الأقوى لكم الآن هو: "&amp;G84&amp;"."&amp;CHAR(10)&amp;"هذا الخيار يساعدكم في معالجة أكبر فجوة حالية بشكل عملي ومباشر."&amp;IF(J84&lt;&gt;"",CHAR(10)&amp;CHAR(10)&amp;"رابط التقرير: "&amp;J84,"")&amp;CHAR(10)&amp;CHAR(10)&amp;"إذا رغبت، يمكننا توضيح لماذا هذا الكورس هو الأنسب لكم الآن.")</x:f>
      </x:c>
      <x:c r="N84" s="12" t="str">
        <x:f>IF(D84="","",HYPERLINK("https://wa.me/"&amp;REGEXREPLACE(D84,"[^\d]","")&amp;"?text="&amp;ENCODEURL(M84),"واتساب 2"))</x:f>
      </x:c>
      <x:c r="O84" s="12" t="str">
        <x:f>IF(A84="","","مرحبًا "&amp;C84&amp;CHAR(10)&amp;CHAR(10)&amp;"إذا كانت التحديات لديكم تحتاج حلًا أشمل، فالبرنامج الكامل المناسب لكم هو: "&amp;H84&amp;"."&amp;IF(I84&lt;&gt;"",CHAR(10)&amp;"كما يمكنكم أيضًا حجز: "&amp;I84&amp;".","")&amp;IF(J84&lt;&gt;"",CHAR(10)&amp;CHAR(10)&amp;"رابط التقرير: "&amp;J84,"")&amp;CHAR(10)&amp;CHAR(10)&amp;"يسعدنا مساعدتكم في اختيار المسار الأنسب حسب وضع العيادة الحالي.")</x:f>
      </x:c>
      <x:c r="P84" s="12" t="str">
        <x:f>IF(D84="","",HYPERLINK("https://wa.me/"&amp;REGEXREPLACE(D84,"[^\d]","")&amp;"?text="&amp;ENCODEURL(O84),"واتساب 3"))</x:f>
      </x:c>
    </x:row>
    <x:row r="85" ht="15" hidden="0" customHeight="1">
      <x:c r="A85" s="12" t="str">
        <x:f>IF(Leads!A85="","",Leads!A85)</x:f>
      </x:c>
      <x:c r="B85" s="12" t="str">
        <x:f>IF(Leads!F85="","",Leads!F85)</x:f>
      </x:c>
      <x:c r="C85" s="12" t="str">
        <x:f>IF(Leads!G85="","",Leads!G85)</x:f>
      </x:c>
      <x:c r="D85" s="12" t="str">
        <x:f>IF(Leads!O85="","",Leads!O85)</x:f>
      </x:c>
      <x:c r="E85" s="12" t="str">
        <x:f>IF(Leads!AV85="","",Leads!AV85)</x:f>
      </x:c>
      <x:c r="F85" s="12" t="str">
        <x:f>IF(Leads!AX85="","",Leads!AX85)</x:f>
      </x:c>
      <x:c r="G85" s="12" t="str">
        <x:f>IF(Leads!BC85="","",Leads!BC85)</x:f>
      </x:c>
      <x:c r="H85" s="12" t="str">
        <x:f>IF(Leads!BE85="","",Leads!BE85)</x:f>
      </x:c>
      <x:c r="I85" s="12" t="str">
        <x:f>IF(Leads!BG85="","",Leads!BG85)</x:f>
      </x:c>
      <x:c r="J85" s="12" t="str">
        <x:f>IF(Leads!BH85="","",Leads!BH85)</x:f>
      </x:c>
      <x:c r="K85" s="12" t="str">
        <x:f>IF(A85="","","مرحبًا "&amp;C85&amp;CHAR(10)&amp;CHAR(10)&amp;"شكرًا لإتمام تقييم DBD الخاص بعيادة "&amp;B85&amp;"."&amp;CHAR(10)&amp;"نتيجتكم الحالية: "&amp;E85&amp;"%."&amp;CHAR(10)&amp;"أولوية التحسين الأولى: "&amp;F85&amp;"."&amp;IF(J85&lt;&gt;"",CHAR(10)&amp;CHAR(10)&amp;"رابط التقرير: "&amp;J85,"")&amp;CHAR(10)&amp;CHAR(10)&amp;"إذا أحببت، يمكننا مساعدتك في فهم التقرير وتحديد أفضل خطوة تالية لعيادتكم.")</x:f>
      </x:c>
      <x:c r="L85" s="12" t="str">
        <x:f>IF(D85="","",HYPERLINK("https://wa.me/"&amp;REGEXREPLACE(D85,"[^\d]","")&amp;"?text="&amp;ENCODEURL(K85),"واتساب 1"))</x:f>
      </x:c>
      <x:c r="M85" s="12" t="str">
        <x:f>IF(A85="","","مرحبًا "&amp;C85&amp;CHAR(10)&amp;CHAR(10)&amp;"بناءً على نتيجة تقييم عيادة "&amp;B85&amp;"، فإن الترشيح الأقوى لكم الآن هو: "&amp;G85&amp;"."&amp;CHAR(10)&amp;"هذا الخيار يساعدكم في معالجة أكبر فجوة حالية بشكل عملي ومباشر."&amp;IF(J85&lt;&gt;"",CHAR(10)&amp;CHAR(10)&amp;"رابط التقرير: "&amp;J85,"")&amp;CHAR(10)&amp;CHAR(10)&amp;"إذا رغبت، يمكننا توضيح لماذا هذا الكورس هو الأنسب لكم الآن.")</x:f>
      </x:c>
      <x:c r="N85" s="12" t="str">
        <x:f>IF(D85="","",HYPERLINK("https://wa.me/"&amp;REGEXREPLACE(D85,"[^\d]","")&amp;"?text="&amp;ENCODEURL(M85),"واتساب 2"))</x:f>
      </x:c>
      <x:c r="O85" s="12" t="str">
        <x:f>IF(A85="","","مرحبًا "&amp;C85&amp;CHAR(10)&amp;CHAR(10)&amp;"إذا كانت التحديات لديكم تحتاج حلًا أشمل، فالبرنامج الكامل المناسب لكم هو: "&amp;H85&amp;"."&amp;IF(I85&lt;&gt;"",CHAR(10)&amp;"كما يمكنكم أيضًا حجز: "&amp;I85&amp;".","")&amp;IF(J85&lt;&gt;"",CHAR(10)&amp;CHAR(10)&amp;"رابط التقرير: "&amp;J85,"")&amp;CHAR(10)&amp;CHAR(10)&amp;"يسعدنا مساعدتكم في اختيار المسار الأنسب حسب وضع العيادة الحالي.")</x:f>
      </x:c>
      <x:c r="P85" s="12" t="str">
        <x:f>IF(D85="","",HYPERLINK("https://wa.me/"&amp;REGEXREPLACE(D85,"[^\d]","")&amp;"?text="&amp;ENCODEURL(O85),"واتساب 3"))</x:f>
      </x:c>
    </x:row>
    <x:row r="86" ht="15" hidden="0" customHeight="1">
      <x:c r="A86" s="12" t="str">
        <x:f>IF(Leads!A86="","",Leads!A86)</x:f>
      </x:c>
      <x:c r="B86" s="12" t="str">
        <x:f>IF(Leads!F86="","",Leads!F86)</x:f>
      </x:c>
      <x:c r="C86" s="12" t="str">
        <x:f>IF(Leads!G86="","",Leads!G86)</x:f>
      </x:c>
      <x:c r="D86" s="12" t="str">
        <x:f>IF(Leads!O86="","",Leads!O86)</x:f>
      </x:c>
      <x:c r="E86" s="12" t="str">
        <x:f>IF(Leads!AV86="","",Leads!AV86)</x:f>
      </x:c>
      <x:c r="F86" s="12" t="str">
        <x:f>IF(Leads!AX86="","",Leads!AX86)</x:f>
      </x:c>
      <x:c r="G86" s="12" t="str">
        <x:f>IF(Leads!BC86="","",Leads!BC86)</x:f>
      </x:c>
      <x:c r="H86" s="12" t="str">
        <x:f>IF(Leads!BE86="","",Leads!BE86)</x:f>
      </x:c>
      <x:c r="I86" s="12" t="str">
        <x:f>IF(Leads!BG86="","",Leads!BG86)</x:f>
      </x:c>
      <x:c r="J86" s="12" t="str">
        <x:f>IF(Leads!BH86="","",Leads!BH86)</x:f>
      </x:c>
      <x:c r="K86" s="12" t="str">
        <x:f>IF(A86="","","مرحبًا "&amp;C86&amp;CHAR(10)&amp;CHAR(10)&amp;"شكرًا لإتمام تقييم DBD الخاص بعيادة "&amp;B86&amp;"."&amp;CHAR(10)&amp;"نتيجتكم الحالية: "&amp;E86&amp;"%."&amp;CHAR(10)&amp;"أولوية التحسين الأولى: "&amp;F86&amp;"."&amp;IF(J86&lt;&gt;"",CHAR(10)&amp;CHAR(10)&amp;"رابط التقرير: "&amp;J86,"")&amp;CHAR(10)&amp;CHAR(10)&amp;"إذا أحببت، يمكننا مساعدتك في فهم التقرير وتحديد أفضل خطوة تالية لعيادتكم.")</x:f>
      </x:c>
      <x:c r="L86" s="12" t="str">
        <x:f>IF(D86="","",HYPERLINK("https://wa.me/"&amp;REGEXREPLACE(D86,"[^\d]","")&amp;"?text="&amp;ENCODEURL(K86),"واتساب 1"))</x:f>
      </x:c>
      <x:c r="M86" s="12" t="str">
        <x:f>IF(A86="","","مرحبًا "&amp;C86&amp;CHAR(10)&amp;CHAR(10)&amp;"بناءً على نتيجة تقييم عيادة "&amp;B86&amp;"، فإن الترشيح الأقوى لكم الآن هو: "&amp;G86&amp;"."&amp;CHAR(10)&amp;"هذا الخيار يساعدكم في معالجة أكبر فجوة حالية بشكل عملي ومباشر."&amp;IF(J86&lt;&gt;"",CHAR(10)&amp;CHAR(10)&amp;"رابط التقرير: "&amp;J86,"")&amp;CHAR(10)&amp;CHAR(10)&amp;"إذا رغبت، يمكننا توضيح لماذا هذا الكورس هو الأنسب لكم الآن.")</x:f>
      </x:c>
      <x:c r="N86" s="12" t="str">
        <x:f>IF(D86="","",HYPERLINK("https://wa.me/"&amp;REGEXREPLACE(D86,"[^\d]","")&amp;"?text="&amp;ENCODEURL(M86),"واتساب 2"))</x:f>
      </x:c>
      <x:c r="O86" s="12" t="str">
        <x:f>IF(A86="","","مرحبًا "&amp;C86&amp;CHAR(10)&amp;CHAR(10)&amp;"إذا كانت التحديات لديكم تحتاج حلًا أشمل، فالبرنامج الكامل المناسب لكم هو: "&amp;H86&amp;"."&amp;IF(I86&lt;&gt;"",CHAR(10)&amp;"كما يمكنكم أيضًا حجز: "&amp;I86&amp;".","")&amp;IF(J86&lt;&gt;"",CHAR(10)&amp;CHAR(10)&amp;"رابط التقرير: "&amp;J86,"")&amp;CHAR(10)&amp;CHAR(10)&amp;"يسعدنا مساعدتكم في اختيار المسار الأنسب حسب وضع العيادة الحالي.")</x:f>
      </x:c>
      <x:c r="P86" s="12" t="str">
        <x:f>IF(D86="","",HYPERLINK("https://wa.me/"&amp;REGEXREPLACE(D86,"[^\d]","")&amp;"?text="&amp;ENCODEURL(O86),"واتساب 3"))</x:f>
      </x:c>
    </x:row>
    <x:row r="87" ht="15" hidden="0" customHeight="1">
      <x:c r="A87" s="12" t="str">
        <x:f>IF(Leads!A87="","",Leads!A87)</x:f>
      </x:c>
      <x:c r="B87" s="12" t="str">
        <x:f>IF(Leads!F87="","",Leads!F87)</x:f>
      </x:c>
      <x:c r="C87" s="12" t="str">
        <x:f>IF(Leads!G87="","",Leads!G87)</x:f>
      </x:c>
      <x:c r="D87" s="12" t="str">
        <x:f>IF(Leads!O87="","",Leads!O87)</x:f>
      </x:c>
      <x:c r="E87" s="12" t="str">
        <x:f>IF(Leads!AV87="","",Leads!AV87)</x:f>
      </x:c>
      <x:c r="F87" s="12" t="str">
        <x:f>IF(Leads!AX87="","",Leads!AX87)</x:f>
      </x:c>
      <x:c r="G87" s="12" t="str">
        <x:f>IF(Leads!BC87="","",Leads!BC87)</x:f>
      </x:c>
      <x:c r="H87" s="12" t="str">
        <x:f>IF(Leads!BE87="","",Leads!BE87)</x:f>
      </x:c>
      <x:c r="I87" s="12" t="str">
        <x:f>IF(Leads!BG87="","",Leads!BG87)</x:f>
      </x:c>
      <x:c r="J87" s="12" t="str">
        <x:f>IF(Leads!BH87="","",Leads!BH87)</x:f>
      </x:c>
      <x:c r="K87" s="12" t="str">
        <x:f>IF(A87="","","مرحبًا "&amp;C87&amp;CHAR(10)&amp;CHAR(10)&amp;"شكرًا لإتمام تقييم DBD الخاص بعيادة "&amp;B87&amp;"."&amp;CHAR(10)&amp;"نتيجتكم الحالية: "&amp;E87&amp;"%."&amp;CHAR(10)&amp;"أولوية التحسين الأولى: "&amp;F87&amp;"."&amp;IF(J87&lt;&gt;"",CHAR(10)&amp;CHAR(10)&amp;"رابط التقرير: "&amp;J87,"")&amp;CHAR(10)&amp;CHAR(10)&amp;"إذا أحببت، يمكننا مساعدتك في فهم التقرير وتحديد أفضل خطوة تالية لعيادتكم.")</x:f>
      </x:c>
      <x:c r="L87" s="12" t="str">
        <x:f>IF(D87="","",HYPERLINK("https://wa.me/"&amp;REGEXREPLACE(D87,"[^\d]","")&amp;"?text="&amp;ENCODEURL(K87),"واتساب 1"))</x:f>
      </x:c>
      <x:c r="M87" s="12" t="str">
        <x:f>IF(A87="","","مرحبًا "&amp;C87&amp;CHAR(10)&amp;CHAR(10)&amp;"بناءً على نتيجة تقييم عيادة "&amp;B87&amp;"، فإن الترشيح الأقوى لكم الآن هو: "&amp;G87&amp;"."&amp;CHAR(10)&amp;"هذا الخيار يساعدكم في معالجة أكبر فجوة حالية بشكل عملي ومباشر."&amp;IF(J87&lt;&gt;"",CHAR(10)&amp;CHAR(10)&amp;"رابط التقرير: "&amp;J87,"")&amp;CHAR(10)&amp;CHAR(10)&amp;"إذا رغبت، يمكننا توضيح لماذا هذا الكورس هو الأنسب لكم الآن.")</x:f>
      </x:c>
      <x:c r="N87" s="12" t="str">
        <x:f>IF(D87="","",HYPERLINK("https://wa.me/"&amp;REGEXREPLACE(D87,"[^\d]","")&amp;"?text="&amp;ENCODEURL(M87),"واتساب 2"))</x:f>
      </x:c>
      <x:c r="O87" s="12" t="str">
        <x:f>IF(A87="","","مرحبًا "&amp;C87&amp;CHAR(10)&amp;CHAR(10)&amp;"إذا كانت التحديات لديكم تحتاج حلًا أشمل، فالبرنامج الكامل المناسب لكم هو: "&amp;H87&amp;"."&amp;IF(I87&lt;&gt;"",CHAR(10)&amp;"كما يمكنكم أيضًا حجز: "&amp;I87&amp;".","")&amp;IF(J87&lt;&gt;"",CHAR(10)&amp;CHAR(10)&amp;"رابط التقرير: "&amp;J87,"")&amp;CHAR(10)&amp;CHAR(10)&amp;"يسعدنا مساعدتكم في اختيار المسار الأنسب حسب وضع العيادة الحالي.")</x:f>
      </x:c>
      <x:c r="P87" s="12" t="str">
        <x:f>IF(D87="","",HYPERLINK("https://wa.me/"&amp;REGEXREPLACE(D87,"[^\d]","")&amp;"?text="&amp;ENCODEURL(O87),"واتساب 3"))</x:f>
      </x:c>
    </x:row>
    <x:row r="88" ht="15" hidden="0" customHeight="1">
      <x:c r="A88" s="12" t="str">
        <x:f>IF(Leads!A88="","",Leads!A88)</x:f>
      </x:c>
      <x:c r="B88" s="12" t="str">
        <x:f>IF(Leads!F88="","",Leads!F88)</x:f>
      </x:c>
      <x:c r="C88" s="12" t="str">
        <x:f>IF(Leads!G88="","",Leads!G88)</x:f>
      </x:c>
      <x:c r="D88" s="12" t="str">
        <x:f>IF(Leads!O88="","",Leads!O88)</x:f>
      </x:c>
      <x:c r="E88" s="12" t="str">
        <x:f>IF(Leads!AV88="","",Leads!AV88)</x:f>
      </x:c>
      <x:c r="F88" s="12" t="str">
        <x:f>IF(Leads!AX88="","",Leads!AX88)</x:f>
      </x:c>
      <x:c r="G88" s="12" t="str">
        <x:f>IF(Leads!BC88="","",Leads!BC88)</x:f>
      </x:c>
      <x:c r="H88" s="12" t="str">
        <x:f>IF(Leads!BE88="","",Leads!BE88)</x:f>
      </x:c>
      <x:c r="I88" s="12" t="str">
        <x:f>IF(Leads!BG88="","",Leads!BG88)</x:f>
      </x:c>
      <x:c r="J88" s="12" t="str">
        <x:f>IF(Leads!BH88="","",Leads!BH88)</x:f>
      </x:c>
      <x:c r="K88" s="12" t="str">
        <x:f>IF(A88="","","مرحبًا "&amp;C88&amp;CHAR(10)&amp;CHAR(10)&amp;"شكرًا لإتمام تقييم DBD الخاص بعيادة "&amp;B88&amp;"."&amp;CHAR(10)&amp;"نتيجتكم الحالية: "&amp;E88&amp;"%."&amp;CHAR(10)&amp;"أولوية التحسين الأولى: "&amp;F88&amp;"."&amp;IF(J88&lt;&gt;"",CHAR(10)&amp;CHAR(10)&amp;"رابط التقرير: "&amp;J88,"")&amp;CHAR(10)&amp;CHAR(10)&amp;"إذا أحببت، يمكننا مساعدتك في فهم التقرير وتحديد أفضل خطوة تالية لعيادتكم.")</x:f>
      </x:c>
      <x:c r="L88" s="12" t="str">
        <x:f>IF(D88="","",HYPERLINK("https://wa.me/"&amp;REGEXREPLACE(D88,"[^\d]","")&amp;"?text="&amp;ENCODEURL(K88),"واتساب 1"))</x:f>
      </x:c>
      <x:c r="M88" s="12" t="str">
        <x:f>IF(A88="","","مرحبًا "&amp;C88&amp;CHAR(10)&amp;CHAR(10)&amp;"بناءً على نتيجة تقييم عيادة "&amp;B88&amp;"، فإن الترشيح الأقوى لكم الآن هو: "&amp;G88&amp;"."&amp;CHAR(10)&amp;"هذا الخيار يساعدكم في معالجة أكبر فجوة حالية بشكل عملي ومباشر."&amp;IF(J88&lt;&gt;"",CHAR(10)&amp;CHAR(10)&amp;"رابط التقرير: "&amp;J88,"")&amp;CHAR(10)&amp;CHAR(10)&amp;"إذا رغبت، يمكننا توضيح لماذا هذا الكورس هو الأنسب لكم الآن.")</x:f>
      </x:c>
      <x:c r="N88" s="12" t="str">
        <x:f>IF(D88="","",HYPERLINK("https://wa.me/"&amp;REGEXREPLACE(D88,"[^\d]","")&amp;"?text="&amp;ENCODEURL(M88),"واتساب 2"))</x:f>
      </x:c>
      <x:c r="O88" s="12" t="str">
        <x:f>IF(A88="","","مرحبًا "&amp;C88&amp;CHAR(10)&amp;CHAR(10)&amp;"إذا كانت التحديات لديكم تحتاج حلًا أشمل، فالبرنامج الكامل المناسب لكم هو: "&amp;H88&amp;"."&amp;IF(I88&lt;&gt;"",CHAR(10)&amp;"كما يمكنكم أيضًا حجز: "&amp;I88&amp;".","")&amp;IF(J88&lt;&gt;"",CHAR(10)&amp;CHAR(10)&amp;"رابط التقرير: "&amp;J88,"")&amp;CHAR(10)&amp;CHAR(10)&amp;"يسعدنا مساعدتكم في اختيار المسار الأنسب حسب وضع العيادة الحالي.")</x:f>
      </x:c>
      <x:c r="P88" s="12" t="str">
        <x:f>IF(D88="","",HYPERLINK("https://wa.me/"&amp;REGEXREPLACE(D88,"[^\d]","")&amp;"?text="&amp;ENCODEURL(O88),"واتساب 3"))</x:f>
      </x:c>
    </x:row>
    <x:row r="89" ht="15" hidden="0" customHeight="1">
      <x:c r="A89" s="12" t="str">
        <x:f>IF(Leads!A89="","",Leads!A89)</x:f>
      </x:c>
      <x:c r="B89" s="12" t="str">
        <x:f>IF(Leads!F89="","",Leads!F89)</x:f>
      </x:c>
      <x:c r="C89" s="12" t="str">
        <x:f>IF(Leads!G89="","",Leads!G89)</x:f>
      </x:c>
      <x:c r="D89" s="12" t="str">
        <x:f>IF(Leads!O89="","",Leads!O89)</x:f>
      </x:c>
      <x:c r="E89" s="12" t="str">
        <x:f>IF(Leads!AV89="","",Leads!AV89)</x:f>
      </x:c>
      <x:c r="F89" s="12" t="str">
        <x:f>IF(Leads!AX89="","",Leads!AX89)</x:f>
      </x:c>
      <x:c r="G89" s="12" t="str">
        <x:f>IF(Leads!BC89="","",Leads!BC89)</x:f>
      </x:c>
      <x:c r="H89" s="12" t="str">
        <x:f>IF(Leads!BE89="","",Leads!BE89)</x:f>
      </x:c>
      <x:c r="I89" s="12" t="str">
        <x:f>IF(Leads!BG89="","",Leads!BG89)</x:f>
      </x:c>
      <x:c r="J89" s="12" t="str">
        <x:f>IF(Leads!BH89="","",Leads!BH89)</x:f>
      </x:c>
      <x:c r="K89" s="12" t="str">
        <x:f>IF(A89="","","مرحبًا "&amp;C89&amp;CHAR(10)&amp;CHAR(10)&amp;"شكرًا لإتمام تقييم DBD الخاص بعيادة "&amp;B89&amp;"."&amp;CHAR(10)&amp;"نتيجتكم الحالية: "&amp;E89&amp;"%."&amp;CHAR(10)&amp;"أولوية التحسين الأولى: "&amp;F89&amp;"."&amp;IF(J89&lt;&gt;"",CHAR(10)&amp;CHAR(10)&amp;"رابط التقرير: "&amp;J89,"")&amp;CHAR(10)&amp;CHAR(10)&amp;"إذا أحببت، يمكننا مساعدتك في فهم التقرير وتحديد أفضل خطوة تالية لعيادتكم.")</x:f>
      </x:c>
      <x:c r="L89" s="12" t="str">
        <x:f>IF(D89="","",HYPERLINK("https://wa.me/"&amp;REGEXREPLACE(D89,"[^\d]","")&amp;"?text="&amp;ENCODEURL(K89),"واتساب 1"))</x:f>
      </x:c>
      <x:c r="M89" s="12" t="str">
        <x:f>IF(A89="","","مرحبًا "&amp;C89&amp;CHAR(10)&amp;CHAR(10)&amp;"بناءً على نتيجة تقييم عيادة "&amp;B89&amp;"، فإن الترشيح الأقوى لكم الآن هو: "&amp;G89&amp;"."&amp;CHAR(10)&amp;"هذا الخيار يساعدكم في معالجة أكبر فجوة حالية بشكل عملي ومباشر."&amp;IF(J89&lt;&gt;"",CHAR(10)&amp;CHAR(10)&amp;"رابط التقرير: "&amp;J89,"")&amp;CHAR(10)&amp;CHAR(10)&amp;"إذا رغبت، يمكننا توضيح لماذا هذا الكورس هو الأنسب لكم الآن.")</x:f>
      </x:c>
      <x:c r="N89" s="12" t="str">
        <x:f>IF(D89="","",HYPERLINK("https://wa.me/"&amp;REGEXREPLACE(D89,"[^\d]","")&amp;"?text="&amp;ENCODEURL(M89),"واتساب 2"))</x:f>
      </x:c>
      <x:c r="O89" s="12" t="str">
        <x:f>IF(A89="","","مرحبًا "&amp;C89&amp;CHAR(10)&amp;CHAR(10)&amp;"إذا كانت التحديات لديكم تحتاج حلًا أشمل، فالبرنامج الكامل المناسب لكم هو: "&amp;H89&amp;"."&amp;IF(I89&lt;&gt;"",CHAR(10)&amp;"كما يمكنكم أيضًا حجز: "&amp;I89&amp;".","")&amp;IF(J89&lt;&gt;"",CHAR(10)&amp;CHAR(10)&amp;"رابط التقرير: "&amp;J89,"")&amp;CHAR(10)&amp;CHAR(10)&amp;"يسعدنا مساعدتكم في اختيار المسار الأنسب حسب وضع العيادة الحالي.")</x:f>
      </x:c>
      <x:c r="P89" s="12" t="str">
        <x:f>IF(D89="","",HYPERLINK("https://wa.me/"&amp;REGEXREPLACE(D89,"[^\d]","")&amp;"?text="&amp;ENCODEURL(O89),"واتساب 3"))</x:f>
      </x:c>
    </x:row>
    <x:row r="90" ht="15" hidden="0" customHeight="1">
      <x:c r="A90" s="12" t="str">
        <x:f>IF(Leads!A90="","",Leads!A90)</x:f>
      </x:c>
      <x:c r="B90" s="12" t="str">
        <x:f>IF(Leads!F90="","",Leads!F90)</x:f>
      </x:c>
      <x:c r="C90" s="12" t="str">
        <x:f>IF(Leads!G90="","",Leads!G90)</x:f>
      </x:c>
      <x:c r="D90" s="12" t="str">
        <x:f>IF(Leads!O90="","",Leads!O90)</x:f>
      </x:c>
      <x:c r="E90" s="12" t="str">
        <x:f>IF(Leads!AV90="","",Leads!AV90)</x:f>
      </x:c>
      <x:c r="F90" s="12" t="str">
        <x:f>IF(Leads!AX90="","",Leads!AX90)</x:f>
      </x:c>
      <x:c r="G90" s="12" t="str">
        <x:f>IF(Leads!BC90="","",Leads!BC90)</x:f>
      </x:c>
      <x:c r="H90" s="12" t="str">
        <x:f>IF(Leads!BE90="","",Leads!BE90)</x:f>
      </x:c>
      <x:c r="I90" s="12" t="str">
        <x:f>IF(Leads!BG90="","",Leads!BG90)</x:f>
      </x:c>
      <x:c r="J90" s="12" t="str">
        <x:f>IF(Leads!BH90="","",Leads!BH90)</x:f>
      </x:c>
      <x:c r="K90" s="12" t="str">
        <x:f>IF(A90="","","مرحبًا "&amp;C90&amp;CHAR(10)&amp;CHAR(10)&amp;"شكرًا لإتمام تقييم DBD الخاص بعيادة "&amp;B90&amp;"."&amp;CHAR(10)&amp;"نتيجتكم الحالية: "&amp;E90&amp;"%."&amp;CHAR(10)&amp;"أولوية التحسين الأولى: "&amp;F90&amp;"."&amp;IF(J90&lt;&gt;"",CHAR(10)&amp;CHAR(10)&amp;"رابط التقرير: "&amp;J90,"")&amp;CHAR(10)&amp;CHAR(10)&amp;"إذا أحببت، يمكننا مساعدتك في فهم التقرير وتحديد أفضل خطوة تالية لعيادتكم.")</x:f>
      </x:c>
      <x:c r="L90" s="12" t="str">
        <x:f>IF(D90="","",HYPERLINK("https://wa.me/"&amp;REGEXREPLACE(D90,"[^\d]","")&amp;"?text="&amp;ENCODEURL(K90),"واتساب 1"))</x:f>
      </x:c>
      <x:c r="M90" s="12" t="str">
        <x:f>IF(A90="","","مرحبًا "&amp;C90&amp;CHAR(10)&amp;CHAR(10)&amp;"بناءً على نتيجة تقييم عيادة "&amp;B90&amp;"، فإن الترشيح الأقوى لكم الآن هو: "&amp;G90&amp;"."&amp;CHAR(10)&amp;"هذا الخيار يساعدكم في معالجة أكبر فجوة حالية بشكل عملي ومباشر."&amp;IF(J90&lt;&gt;"",CHAR(10)&amp;CHAR(10)&amp;"رابط التقرير: "&amp;J90,"")&amp;CHAR(10)&amp;CHAR(10)&amp;"إذا رغبت، يمكننا توضيح لماذا هذا الكورس هو الأنسب لكم الآن.")</x:f>
      </x:c>
      <x:c r="N90" s="12" t="str">
        <x:f>IF(D90="","",HYPERLINK("https://wa.me/"&amp;REGEXREPLACE(D90,"[^\d]","")&amp;"?text="&amp;ENCODEURL(M90),"واتساب 2"))</x:f>
      </x:c>
      <x:c r="O90" s="12" t="str">
        <x:f>IF(A90="","","مرحبًا "&amp;C90&amp;CHAR(10)&amp;CHAR(10)&amp;"إذا كانت التحديات لديكم تحتاج حلًا أشمل، فالبرنامج الكامل المناسب لكم هو: "&amp;H90&amp;"."&amp;IF(I90&lt;&gt;"",CHAR(10)&amp;"كما يمكنكم أيضًا حجز: "&amp;I90&amp;".","")&amp;IF(J90&lt;&gt;"",CHAR(10)&amp;CHAR(10)&amp;"رابط التقرير: "&amp;J90,"")&amp;CHAR(10)&amp;CHAR(10)&amp;"يسعدنا مساعدتكم في اختيار المسار الأنسب حسب وضع العيادة الحالي.")</x:f>
      </x:c>
      <x:c r="P90" s="12" t="str">
        <x:f>IF(D90="","",HYPERLINK("https://wa.me/"&amp;REGEXREPLACE(D90,"[^\d]","")&amp;"?text="&amp;ENCODEURL(O90),"واتساب 3"))</x:f>
      </x:c>
    </x:row>
    <x:row r="91" ht="15" hidden="0" customHeight="1">
      <x:c r="A91" s="12" t="str">
        <x:f>IF(Leads!A91="","",Leads!A91)</x:f>
      </x:c>
      <x:c r="B91" s="12" t="str">
        <x:f>IF(Leads!F91="","",Leads!F91)</x:f>
      </x:c>
      <x:c r="C91" s="12" t="str">
        <x:f>IF(Leads!G91="","",Leads!G91)</x:f>
      </x:c>
      <x:c r="D91" s="12" t="str">
        <x:f>IF(Leads!O91="","",Leads!O91)</x:f>
      </x:c>
      <x:c r="E91" s="12" t="str">
        <x:f>IF(Leads!AV91="","",Leads!AV91)</x:f>
      </x:c>
      <x:c r="F91" s="12" t="str">
        <x:f>IF(Leads!AX91="","",Leads!AX91)</x:f>
      </x:c>
      <x:c r="G91" s="12" t="str">
        <x:f>IF(Leads!BC91="","",Leads!BC91)</x:f>
      </x:c>
      <x:c r="H91" s="12" t="str">
        <x:f>IF(Leads!BE91="","",Leads!BE91)</x:f>
      </x:c>
      <x:c r="I91" s="12" t="str">
        <x:f>IF(Leads!BG91="","",Leads!BG91)</x:f>
      </x:c>
      <x:c r="J91" s="12" t="str">
        <x:f>IF(Leads!BH91="","",Leads!BH91)</x:f>
      </x:c>
      <x:c r="K91" s="12" t="str">
        <x:f>IF(A91="","","مرحبًا "&amp;C91&amp;CHAR(10)&amp;CHAR(10)&amp;"شكرًا لإتمام تقييم DBD الخاص بعيادة "&amp;B91&amp;"."&amp;CHAR(10)&amp;"نتيجتكم الحالية: "&amp;E91&amp;"%."&amp;CHAR(10)&amp;"أولوية التحسين الأولى: "&amp;F91&amp;"."&amp;IF(J91&lt;&gt;"",CHAR(10)&amp;CHAR(10)&amp;"رابط التقرير: "&amp;J91,"")&amp;CHAR(10)&amp;CHAR(10)&amp;"إذا أحببت، يمكننا مساعدتك في فهم التقرير وتحديد أفضل خطوة تالية لعيادتكم.")</x:f>
      </x:c>
      <x:c r="L91" s="12" t="str">
        <x:f>IF(D91="","",HYPERLINK("https://wa.me/"&amp;REGEXREPLACE(D91,"[^\d]","")&amp;"?text="&amp;ENCODEURL(K91),"واتساب 1"))</x:f>
      </x:c>
      <x:c r="M91" s="12" t="str">
        <x:f>IF(A91="","","مرحبًا "&amp;C91&amp;CHAR(10)&amp;CHAR(10)&amp;"بناءً على نتيجة تقييم عيادة "&amp;B91&amp;"، فإن الترشيح الأقوى لكم الآن هو: "&amp;G91&amp;"."&amp;CHAR(10)&amp;"هذا الخيار يساعدكم في معالجة أكبر فجوة حالية بشكل عملي ومباشر."&amp;IF(J91&lt;&gt;"",CHAR(10)&amp;CHAR(10)&amp;"رابط التقرير: "&amp;J91,"")&amp;CHAR(10)&amp;CHAR(10)&amp;"إذا رغبت، يمكننا توضيح لماذا هذا الكورس هو الأنسب لكم الآن.")</x:f>
      </x:c>
      <x:c r="N91" s="12" t="str">
        <x:f>IF(D91="","",HYPERLINK("https://wa.me/"&amp;REGEXREPLACE(D91,"[^\d]","")&amp;"?text="&amp;ENCODEURL(M91),"واتساب 2"))</x:f>
      </x:c>
      <x:c r="O91" s="12" t="str">
        <x:f>IF(A91="","","مرحبًا "&amp;C91&amp;CHAR(10)&amp;CHAR(10)&amp;"إذا كانت التحديات لديكم تحتاج حلًا أشمل، فالبرنامج الكامل المناسب لكم هو: "&amp;H91&amp;"."&amp;IF(I91&lt;&gt;"",CHAR(10)&amp;"كما يمكنكم أيضًا حجز: "&amp;I91&amp;".","")&amp;IF(J91&lt;&gt;"",CHAR(10)&amp;CHAR(10)&amp;"رابط التقرير: "&amp;J91,"")&amp;CHAR(10)&amp;CHAR(10)&amp;"يسعدنا مساعدتكم في اختيار المسار الأنسب حسب وضع العيادة الحالي.")</x:f>
      </x:c>
      <x:c r="P91" s="12" t="str">
        <x:f>IF(D91="","",HYPERLINK("https://wa.me/"&amp;REGEXREPLACE(D91,"[^\d]","")&amp;"?text="&amp;ENCODEURL(O91),"واتساب 3"))</x:f>
      </x:c>
    </x:row>
    <x:row r="92" ht="15" hidden="0" customHeight="1">
      <x:c r="A92" s="12" t="str">
        <x:f>IF(Leads!A92="","",Leads!A92)</x:f>
      </x:c>
      <x:c r="B92" s="12" t="str">
        <x:f>IF(Leads!F92="","",Leads!F92)</x:f>
      </x:c>
      <x:c r="C92" s="12" t="str">
        <x:f>IF(Leads!G92="","",Leads!G92)</x:f>
      </x:c>
      <x:c r="D92" s="12" t="str">
        <x:f>IF(Leads!O92="","",Leads!O92)</x:f>
      </x:c>
      <x:c r="E92" s="12" t="str">
        <x:f>IF(Leads!AV92="","",Leads!AV92)</x:f>
      </x:c>
      <x:c r="F92" s="12" t="str">
        <x:f>IF(Leads!AX92="","",Leads!AX92)</x:f>
      </x:c>
      <x:c r="G92" s="12" t="str">
        <x:f>IF(Leads!BC92="","",Leads!BC92)</x:f>
      </x:c>
      <x:c r="H92" s="12" t="str">
        <x:f>IF(Leads!BE92="","",Leads!BE92)</x:f>
      </x:c>
      <x:c r="I92" s="12" t="str">
        <x:f>IF(Leads!BG92="","",Leads!BG92)</x:f>
      </x:c>
      <x:c r="J92" s="12" t="str">
        <x:f>IF(Leads!BH92="","",Leads!BH92)</x:f>
      </x:c>
      <x:c r="K92" s="12" t="str">
        <x:f>IF(A92="","","مرحبًا "&amp;C92&amp;CHAR(10)&amp;CHAR(10)&amp;"شكرًا لإتمام تقييم DBD الخاص بعيادة "&amp;B92&amp;"."&amp;CHAR(10)&amp;"نتيجتكم الحالية: "&amp;E92&amp;"%."&amp;CHAR(10)&amp;"أولوية التحسين الأولى: "&amp;F92&amp;"."&amp;IF(J92&lt;&gt;"",CHAR(10)&amp;CHAR(10)&amp;"رابط التقرير: "&amp;J92,"")&amp;CHAR(10)&amp;CHAR(10)&amp;"إذا أحببت، يمكننا مساعدتك في فهم التقرير وتحديد أفضل خطوة تالية لعيادتكم.")</x:f>
      </x:c>
      <x:c r="L92" s="12" t="str">
        <x:f>IF(D92="","",HYPERLINK("https://wa.me/"&amp;REGEXREPLACE(D92,"[^\d]","")&amp;"?text="&amp;ENCODEURL(K92),"واتساب 1"))</x:f>
      </x:c>
      <x:c r="M92" s="12" t="str">
        <x:f>IF(A92="","","مرحبًا "&amp;C92&amp;CHAR(10)&amp;CHAR(10)&amp;"بناءً على نتيجة تقييم عيادة "&amp;B92&amp;"، فإن الترشيح الأقوى لكم الآن هو: "&amp;G92&amp;"."&amp;CHAR(10)&amp;"هذا الخيار يساعدكم في معالجة أكبر فجوة حالية بشكل عملي ومباشر."&amp;IF(J92&lt;&gt;"",CHAR(10)&amp;CHAR(10)&amp;"رابط التقرير: "&amp;J92,"")&amp;CHAR(10)&amp;CHAR(10)&amp;"إذا رغبت، يمكننا توضيح لماذا هذا الكورس هو الأنسب لكم الآن.")</x:f>
      </x:c>
      <x:c r="N92" s="12" t="str">
        <x:f>IF(D92="","",HYPERLINK("https://wa.me/"&amp;REGEXREPLACE(D92,"[^\d]","")&amp;"?text="&amp;ENCODEURL(M92),"واتساب 2"))</x:f>
      </x:c>
      <x:c r="O92" s="12" t="str">
        <x:f>IF(A92="","","مرحبًا "&amp;C92&amp;CHAR(10)&amp;CHAR(10)&amp;"إذا كانت التحديات لديكم تحتاج حلًا أشمل، فالبرنامج الكامل المناسب لكم هو: "&amp;H92&amp;"."&amp;IF(I92&lt;&gt;"",CHAR(10)&amp;"كما يمكنكم أيضًا حجز: "&amp;I92&amp;".","")&amp;IF(J92&lt;&gt;"",CHAR(10)&amp;CHAR(10)&amp;"رابط التقرير: "&amp;J92,"")&amp;CHAR(10)&amp;CHAR(10)&amp;"يسعدنا مساعدتكم في اختيار المسار الأنسب حسب وضع العيادة الحالي.")</x:f>
      </x:c>
      <x:c r="P92" s="12" t="str">
        <x:f>IF(D92="","",HYPERLINK("https://wa.me/"&amp;REGEXREPLACE(D92,"[^\d]","")&amp;"?text="&amp;ENCODEURL(O92),"واتساب 3"))</x:f>
      </x:c>
    </x:row>
    <x:row r="93" ht="15" hidden="0" customHeight="1">
      <x:c r="A93" s="12" t="str">
        <x:f>IF(Leads!A93="","",Leads!A93)</x:f>
      </x:c>
      <x:c r="B93" s="12" t="str">
        <x:f>IF(Leads!F93="","",Leads!F93)</x:f>
      </x:c>
      <x:c r="C93" s="12" t="str">
        <x:f>IF(Leads!G93="","",Leads!G93)</x:f>
      </x:c>
      <x:c r="D93" s="12" t="str">
        <x:f>IF(Leads!O93="","",Leads!O93)</x:f>
      </x:c>
      <x:c r="E93" s="12" t="str">
        <x:f>IF(Leads!AV93="","",Leads!AV93)</x:f>
      </x:c>
      <x:c r="F93" s="12" t="str">
        <x:f>IF(Leads!AX93="","",Leads!AX93)</x:f>
      </x:c>
      <x:c r="G93" s="12" t="str">
        <x:f>IF(Leads!BC93="","",Leads!BC93)</x:f>
      </x:c>
      <x:c r="H93" s="12" t="str">
        <x:f>IF(Leads!BE93="","",Leads!BE93)</x:f>
      </x:c>
      <x:c r="I93" s="12" t="str">
        <x:f>IF(Leads!BG93="","",Leads!BG93)</x:f>
      </x:c>
      <x:c r="J93" s="12" t="str">
        <x:f>IF(Leads!BH93="","",Leads!BH93)</x:f>
      </x:c>
      <x:c r="K93" s="12" t="str">
        <x:f>IF(A93="","","مرحبًا "&amp;C93&amp;CHAR(10)&amp;CHAR(10)&amp;"شكرًا لإتمام تقييم DBD الخاص بعيادة "&amp;B93&amp;"."&amp;CHAR(10)&amp;"نتيجتكم الحالية: "&amp;E93&amp;"%."&amp;CHAR(10)&amp;"أولوية التحسين الأولى: "&amp;F93&amp;"."&amp;IF(J93&lt;&gt;"",CHAR(10)&amp;CHAR(10)&amp;"رابط التقرير: "&amp;J93,"")&amp;CHAR(10)&amp;CHAR(10)&amp;"إذا أحببت، يمكننا مساعدتك في فهم التقرير وتحديد أفضل خطوة تالية لعيادتكم.")</x:f>
      </x:c>
      <x:c r="L93" s="12" t="str">
        <x:f>IF(D93="","",HYPERLINK("https://wa.me/"&amp;REGEXREPLACE(D93,"[^\d]","")&amp;"?text="&amp;ENCODEURL(K93),"واتساب 1"))</x:f>
      </x:c>
      <x:c r="M93" s="12" t="str">
        <x:f>IF(A93="","","مرحبًا "&amp;C93&amp;CHAR(10)&amp;CHAR(10)&amp;"بناءً على نتيجة تقييم عيادة "&amp;B93&amp;"، فإن الترشيح الأقوى لكم الآن هو: "&amp;G93&amp;"."&amp;CHAR(10)&amp;"هذا الخيار يساعدكم في معالجة أكبر فجوة حالية بشكل عملي ومباشر."&amp;IF(J93&lt;&gt;"",CHAR(10)&amp;CHAR(10)&amp;"رابط التقرير: "&amp;J93,"")&amp;CHAR(10)&amp;CHAR(10)&amp;"إذا رغبت، يمكننا توضيح لماذا هذا الكورس هو الأنسب لكم الآن.")</x:f>
      </x:c>
      <x:c r="N93" s="12" t="str">
        <x:f>IF(D93="","",HYPERLINK("https://wa.me/"&amp;REGEXREPLACE(D93,"[^\d]","")&amp;"?text="&amp;ENCODEURL(M93),"واتساب 2"))</x:f>
      </x:c>
      <x:c r="O93" s="12" t="str">
        <x:f>IF(A93="","","مرحبًا "&amp;C93&amp;CHAR(10)&amp;CHAR(10)&amp;"إذا كانت التحديات لديكم تحتاج حلًا أشمل، فالبرنامج الكامل المناسب لكم هو: "&amp;H93&amp;"."&amp;IF(I93&lt;&gt;"",CHAR(10)&amp;"كما يمكنكم أيضًا حجز: "&amp;I93&amp;".","")&amp;IF(J93&lt;&gt;"",CHAR(10)&amp;CHAR(10)&amp;"رابط التقرير: "&amp;J93,"")&amp;CHAR(10)&amp;CHAR(10)&amp;"يسعدنا مساعدتكم في اختيار المسار الأنسب حسب وضع العيادة الحالي.")</x:f>
      </x:c>
      <x:c r="P93" s="12" t="str">
        <x:f>IF(D93="","",HYPERLINK("https://wa.me/"&amp;REGEXREPLACE(D93,"[^\d]","")&amp;"?text="&amp;ENCODEURL(O93),"واتساب 3"))</x:f>
      </x:c>
    </x:row>
    <x:row r="94" ht="15" hidden="0" customHeight="1">
      <x:c r="A94" s="12" t="str">
        <x:f>IF(Leads!A94="","",Leads!A94)</x:f>
      </x:c>
      <x:c r="B94" s="12" t="str">
        <x:f>IF(Leads!F94="","",Leads!F94)</x:f>
      </x:c>
      <x:c r="C94" s="12" t="str">
        <x:f>IF(Leads!G94="","",Leads!G94)</x:f>
      </x:c>
      <x:c r="D94" s="12" t="str">
        <x:f>IF(Leads!O94="","",Leads!O94)</x:f>
      </x:c>
      <x:c r="E94" s="12" t="str">
        <x:f>IF(Leads!AV94="","",Leads!AV94)</x:f>
      </x:c>
      <x:c r="F94" s="12" t="str">
        <x:f>IF(Leads!AX94="","",Leads!AX94)</x:f>
      </x:c>
      <x:c r="G94" s="12" t="str">
        <x:f>IF(Leads!BC94="","",Leads!BC94)</x:f>
      </x:c>
      <x:c r="H94" s="12" t="str">
        <x:f>IF(Leads!BE94="","",Leads!BE94)</x:f>
      </x:c>
      <x:c r="I94" s="12" t="str">
        <x:f>IF(Leads!BG94="","",Leads!BG94)</x:f>
      </x:c>
      <x:c r="J94" s="12" t="str">
        <x:f>IF(Leads!BH94="","",Leads!BH94)</x:f>
      </x:c>
      <x:c r="K94" s="12" t="str">
        <x:f>IF(A94="","","مرحبًا "&amp;C94&amp;CHAR(10)&amp;CHAR(10)&amp;"شكرًا لإتمام تقييم DBD الخاص بعيادة "&amp;B94&amp;"."&amp;CHAR(10)&amp;"نتيجتكم الحالية: "&amp;E94&amp;"%."&amp;CHAR(10)&amp;"أولوية التحسين الأولى: "&amp;F94&amp;"."&amp;IF(J94&lt;&gt;"",CHAR(10)&amp;CHAR(10)&amp;"رابط التقرير: "&amp;J94,"")&amp;CHAR(10)&amp;CHAR(10)&amp;"إذا أحببت، يمكننا مساعدتك في فهم التقرير وتحديد أفضل خطوة تالية لعيادتكم.")</x:f>
      </x:c>
      <x:c r="L94" s="12" t="str">
        <x:f>IF(D94="","",HYPERLINK("https://wa.me/"&amp;REGEXREPLACE(D94,"[^\d]","")&amp;"?text="&amp;ENCODEURL(K94),"واتساب 1"))</x:f>
      </x:c>
      <x:c r="M94" s="12" t="str">
        <x:f>IF(A94="","","مرحبًا "&amp;C94&amp;CHAR(10)&amp;CHAR(10)&amp;"بناءً على نتيجة تقييم عيادة "&amp;B94&amp;"، فإن الترشيح الأقوى لكم الآن هو: "&amp;G94&amp;"."&amp;CHAR(10)&amp;"هذا الخيار يساعدكم في معالجة أكبر فجوة حالية بشكل عملي ومباشر."&amp;IF(J94&lt;&gt;"",CHAR(10)&amp;CHAR(10)&amp;"رابط التقرير: "&amp;J94,"")&amp;CHAR(10)&amp;CHAR(10)&amp;"إذا رغبت، يمكننا توضيح لماذا هذا الكورس هو الأنسب لكم الآن.")</x:f>
      </x:c>
      <x:c r="N94" s="12" t="str">
        <x:f>IF(D94="","",HYPERLINK("https://wa.me/"&amp;REGEXREPLACE(D94,"[^\d]","")&amp;"?text="&amp;ENCODEURL(M94),"واتساب 2"))</x:f>
      </x:c>
      <x:c r="O94" s="12" t="str">
        <x:f>IF(A94="","","مرحبًا "&amp;C94&amp;CHAR(10)&amp;CHAR(10)&amp;"إذا كانت التحديات لديكم تحتاج حلًا أشمل، فالبرنامج الكامل المناسب لكم هو: "&amp;H94&amp;"."&amp;IF(I94&lt;&gt;"",CHAR(10)&amp;"كما يمكنكم أيضًا حجز: "&amp;I94&amp;".","")&amp;IF(J94&lt;&gt;"",CHAR(10)&amp;CHAR(10)&amp;"رابط التقرير: "&amp;J94,"")&amp;CHAR(10)&amp;CHAR(10)&amp;"يسعدنا مساعدتكم في اختيار المسار الأنسب حسب وضع العيادة الحالي.")</x:f>
      </x:c>
      <x:c r="P94" s="12" t="str">
        <x:f>IF(D94="","",HYPERLINK("https://wa.me/"&amp;REGEXREPLACE(D94,"[^\d]","")&amp;"?text="&amp;ENCODEURL(O94),"واتساب 3"))</x:f>
      </x:c>
    </x:row>
    <x:row r="95" ht="15" hidden="0" customHeight="1">
      <x:c r="A95" s="12" t="str">
        <x:f>IF(Leads!A95="","",Leads!A95)</x:f>
      </x:c>
      <x:c r="B95" s="12" t="str">
        <x:f>IF(Leads!F95="","",Leads!F95)</x:f>
      </x:c>
      <x:c r="C95" s="12" t="str">
        <x:f>IF(Leads!G95="","",Leads!G95)</x:f>
      </x:c>
      <x:c r="D95" s="12" t="str">
        <x:f>IF(Leads!O95="","",Leads!O95)</x:f>
      </x:c>
      <x:c r="E95" s="12" t="str">
        <x:f>IF(Leads!AV95="","",Leads!AV95)</x:f>
      </x:c>
      <x:c r="F95" s="12" t="str">
        <x:f>IF(Leads!AX95="","",Leads!AX95)</x:f>
      </x:c>
      <x:c r="G95" s="12" t="str">
        <x:f>IF(Leads!BC95="","",Leads!BC95)</x:f>
      </x:c>
      <x:c r="H95" s="12" t="str">
        <x:f>IF(Leads!BE95="","",Leads!BE95)</x:f>
      </x:c>
      <x:c r="I95" s="12" t="str">
        <x:f>IF(Leads!BG95="","",Leads!BG95)</x:f>
      </x:c>
      <x:c r="J95" s="12" t="str">
        <x:f>IF(Leads!BH95="","",Leads!BH95)</x:f>
      </x:c>
      <x:c r="K95" s="12" t="str">
        <x:f>IF(A95="","","مرحبًا "&amp;C95&amp;CHAR(10)&amp;CHAR(10)&amp;"شكرًا لإتمام تقييم DBD الخاص بعيادة "&amp;B95&amp;"."&amp;CHAR(10)&amp;"نتيجتكم الحالية: "&amp;E95&amp;"%."&amp;CHAR(10)&amp;"أولوية التحسين الأولى: "&amp;F95&amp;"."&amp;IF(J95&lt;&gt;"",CHAR(10)&amp;CHAR(10)&amp;"رابط التقرير: "&amp;J95,"")&amp;CHAR(10)&amp;CHAR(10)&amp;"إذا أحببت، يمكننا مساعدتك في فهم التقرير وتحديد أفضل خطوة تالية لعيادتكم.")</x:f>
      </x:c>
      <x:c r="L95" s="12" t="str">
        <x:f>IF(D95="","",HYPERLINK("https://wa.me/"&amp;REGEXREPLACE(D95,"[^\d]","")&amp;"?text="&amp;ENCODEURL(K95),"واتساب 1"))</x:f>
      </x:c>
      <x:c r="M95" s="12" t="str">
        <x:f>IF(A95="","","مرحبًا "&amp;C95&amp;CHAR(10)&amp;CHAR(10)&amp;"بناءً على نتيجة تقييم عيادة "&amp;B95&amp;"، فإن الترشيح الأقوى لكم الآن هو: "&amp;G95&amp;"."&amp;CHAR(10)&amp;"هذا الخيار يساعدكم في معالجة أكبر فجوة حالية بشكل عملي ومباشر."&amp;IF(J95&lt;&gt;"",CHAR(10)&amp;CHAR(10)&amp;"رابط التقرير: "&amp;J95,"")&amp;CHAR(10)&amp;CHAR(10)&amp;"إذا رغبت، يمكننا توضيح لماذا هذا الكورس هو الأنسب لكم الآن.")</x:f>
      </x:c>
      <x:c r="N95" s="12" t="str">
        <x:f>IF(D95="","",HYPERLINK("https://wa.me/"&amp;REGEXREPLACE(D95,"[^\d]","")&amp;"?text="&amp;ENCODEURL(M95),"واتساب 2"))</x:f>
      </x:c>
      <x:c r="O95" s="12" t="str">
        <x:f>IF(A95="","","مرحبًا "&amp;C95&amp;CHAR(10)&amp;CHAR(10)&amp;"إذا كانت التحديات لديكم تحتاج حلًا أشمل، فالبرنامج الكامل المناسب لكم هو: "&amp;H95&amp;"."&amp;IF(I95&lt;&gt;"",CHAR(10)&amp;"كما يمكنكم أيضًا حجز: "&amp;I95&amp;".","")&amp;IF(J95&lt;&gt;"",CHAR(10)&amp;CHAR(10)&amp;"رابط التقرير: "&amp;J95,"")&amp;CHAR(10)&amp;CHAR(10)&amp;"يسعدنا مساعدتكم في اختيار المسار الأنسب حسب وضع العيادة الحالي.")</x:f>
      </x:c>
      <x:c r="P95" s="12" t="str">
        <x:f>IF(D95="","",HYPERLINK("https://wa.me/"&amp;REGEXREPLACE(D95,"[^\d]","")&amp;"?text="&amp;ENCODEURL(O95),"واتساب 3"))</x:f>
      </x:c>
    </x:row>
    <x:row r="96" ht="15" hidden="0" customHeight="1">
      <x:c r="A96" s="12" t="str">
        <x:f>IF(Leads!A96="","",Leads!A96)</x:f>
      </x:c>
      <x:c r="B96" s="12" t="str">
        <x:f>IF(Leads!F96="","",Leads!F96)</x:f>
      </x:c>
      <x:c r="C96" s="12" t="str">
        <x:f>IF(Leads!G96="","",Leads!G96)</x:f>
      </x:c>
      <x:c r="D96" s="12" t="str">
        <x:f>IF(Leads!O96="","",Leads!O96)</x:f>
      </x:c>
      <x:c r="E96" s="12" t="str">
        <x:f>IF(Leads!AV96="","",Leads!AV96)</x:f>
      </x:c>
      <x:c r="F96" s="12" t="str">
        <x:f>IF(Leads!AX96="","",Leads!AX96)</x:f>
      </x:c>
      <x:c r="G96" s="12" t="str">
        <x:f>IF(Leads!BC96="","",Leads!BC96)</x:f>
      </x:c>
      <x:c r="H96" s="12" t="str">
        <x:f>IF(Leads!BE96="","",Leads!BE96)</x:f>
      </x:c>
      <x:c r="I96" s="12" t="str">
        <x:f>IF(Leads!BG96="","",Leads!BG96)</x:f>
      </x:c>
      <x:c r="J96" s="12" t="str">
        <x:f>IF(Leads!BH96="","",Leads!BH96)</x:f>
      </x:c>
      <x:c r="K96" s="12" t="str">
        <x:f>IF(A96="","","مرحبًا "&amp;C96&amp;CHAR(10)&amp;CHAR(10)&amp;"شكرًا لإتمام تقييم DBD الخاص بعيادة "&amp;B96&amp;"."&amp;CHAR(10)&amp;"نتيجتكم الحالية: "&amp;E96&amp;"%."&amp;CHAR(10)&amp;"أولوية التحسين الأولى: "&amp;F96&amp;"."&amp;IF(J96&lt;&gt;"",CHAR(10)&amp;CHAR(10)&amp;"رابط التقرير: "&amp;J96,"")&amp;CHAR(10)&amp;CHAR(10)&amp;"إذا أحببت، يمكننا مساعدتك في فهم التقرير وتحديد أفضل خطوة تالية لعيادتكم.")</x:f>
      </x:c>
      <x:c r="L96" s="12" t="str">
        <x:f>IF(D96="","",HYPERLINK("https://wa.me/"&amp;REGEXREPLACE(D96,"[^\d]","")&amp;"?text="&amp;ENCODEURL(K96),"واتساب 1"))</x:f>
      </x:c>
      <x:c r="M96" s="12" t="str">
        <x:f>IF(A96="","","مرحبًا "&amp;C96&amp;CHAR(10)&amp;CHAR(10)&amp;"بناءً على نتيجة تقييم عيادة "&amp;B96&amp;"، فإن الترشيح الأقوى لكم الآن هو: "&amp;G96&amp;"."&amp;CHAR(10)&amp;"هذا الخيار يساعدكم في معالجة أكبر فجوة حالية بشكل عملي ومباشر."&amp;IF(J96&lt;&gt;"",CHAR(10)&amp;CHAR(10)&amp;"رابط التقرير: "&amp;J96,"")&amp;CHAR(10)&amp;CHAR(10)&amp;"إذا رغبت، يمكننا توضيح لماذا هذا الكورس هو الأنسب لكم الآن.")</x:f>
      </x:c>
      <x:c r="N96" s="12" t="str">
        <x:f>IF(D96="","",HYPERLINK("https://wa.me/"&amp;REGEXREPLACE(D96,"[^\d]","")&amp;"?text="&amp;ENCODEURL(M96),"واتساب 2"))</x:f>
      </x:c>
      <x:c r="O96" s="12" t="str">
        <x:f>IF(A96="","","مرحبًا "&amp;C96&amp;CHAR(10)&amp;CHAR(10)&amp;"إذا كانت التحديات لديكم تحتاج حلًا أشمل، فالبرنامج الكامل المناسب لكم هو: "&amp;H96&amp;"."&amp;IF(I96&lt;&gt;"",CHAR(10)&amp;"كما يمكنكم أيضًا حجز: "&amp;I96&amp;".","")&amp;IF(J96&lt;&gt;"",CHAR(10)&amp;CHAR(10)&amp;"رابط التقرير: "&amp;J96,"")&amp;CHAR(10)&amp;CHAR(10)&amp;"يسعدنا مساعدتكم في اختيار المسار الأنسب حسب وضع العيادة الحالي.")</x:f>
      </x:c>
      <x:c r="P96" s="12" t="str">
        <x:f>IF(D96="","",HYPERLINK("https://wa.me/"&amp;REGEXREPLACE(D96,"[^\d]","")&amp;"?text="&amp;ENCODEURL(O96),"واتساب 3"))</x:f>
      </x:c>
    </x:row>
    <x:row r="97" ht="15" hidden="0" customHeight="1">
      <x:c r="A97" s="12" t="str">
        <x:f>IF(Leads!A97="","",Leads!A97)</x:f>
      </x:c>
      <x:c r="B97" s="12" t="str">
        <x:f>IF(Leads!F97="","",Leads!F97)</x:f>
      </x:c>
      <x:c r="C97" s="12" t="str">
        <x:f>IF(Leads!G97="","",Leads!G97)</x:f>
      </x:c>
      <x:c r="D97" s="12" t="str">
        <x:f>IF(Leads!O97="","",Leads!O97)</x:f>
      </x:c>
      <x:c r="E97" s="12" t="str">
        <x:f>IF(Leads!AV97="","",Leads!AV97)</x:f>
      </x:c>
      <x:c r="F97" s="12" t="str">
        <x:f>IF(Leads!AX97="","",Leads!AX97)</x:f>
      </x:c>
      <x:c r="G97" s="12" t="str">
        <x:f>IF(Leads!BC97="","",Leads!BC97)</x:f>
      </x:c>
      <x:c r="H97" s="12" t="str">
        <x:f>IF(Leads!BE97="","",Leads!BE97)</x:f>
      </x:c>
      <x:c r="I97" s="12" t="str">
        <x:f>IF(Leads!BG97="","",Leads!BG97)</x:f>
      </x:c>
      <x:c r="J97" s="12" t="str">
        <x:f>IF(Leads!BH97="","",Leads!BH97)</x:f>
      </x:c>
      <x:c r="K97" s="12" t="str">
        <x:f>IF(A97="","","مرحبًا "&amp;C97&amp;CHAR(10)&amp;CHAR(10)&amp;"شكرًا لإتمام تقييم DBD الخاص بعيادة "&amp;B97&amp;"."&amp;CHAR(10)&amp;"نتيجتكم الحالية: "&amp;E97&amp;"%."&amp;CHAR(10)&amp;"أولوية التحسين الأولى: "&amp;F97&amp;"."&amp;IF(J97&lt;&gt;"",CHAR(10)&amp;CHAR(10)&amp;"رابط التقرير: "&amp;J97,"")&amp;CHAR(10)&amp;CHAR(10)&amp;"إذا أحببت، يمكننا مساعدتك في فهم التقرير وتحديد أفضل خطوة تالية لعيادتكم.")</x:f>
      </x:c>
      <x:c r="L97" s="12" t="str">
        <x:f>IF(D97="","",HYPERLINK("https://wa.me/"&amp;REGEXREPLACE(D97,"[^\d]","")&amp;"?text="&amp;ENCODEURL(K97),"واتساب 1"))</x:f>
      </x:c>
      <x:c r="M97" s="12" t="str">
        <x:f>IF(A97="","","مرحبًا "&amp;C97&amp;CHAR(10)&amp;CHAR(10)&amp;"بناءً على نتيجة تقييم عيادة "&amp;B97&amp;"، فإن الترشيح الأقوى لكم الآن هو: "&amp;G97&amp;"."&amp;CHAR(10)&amp;"هذا الخيار يساعدكم في معالجة أكبر فجوة حالية بشكل عملي ومباشر."&amp;IF(J97&lt;&gt;"",CHAR(10)&amp;CHAR(10)&amp;"رابط التقرير: "&amp;J97,"")&amp;CHAR(10)&amp;CHAR(10)&amp;"إذا رغبت، يمكننا توضيح لماذا هذا الكورس هو الأنسب لكم الآن.")</x:f>
      </x:c>
      <x:c r="N97" s="12" t="str">
        <x:f>IF(D97="","",HYPERLINK("https://wa.me/"&amp;REGEXREPLACE(D97,"[^\d]","")&amp;"?text="&amp;ENCODEURL(M97),"واتساب 2"))</x:f>
      </x:c>
      <x:c r="O97" s="12" t="str">
        <x:f>IF(A97="","","مرحبًا "&amp;C97&amp;CHAR(10)&amp;CHAR(10)&amp;"إذا كانت التحديات لديكم تحتاج حلًا أشمل، فالبرنامج الكامل المناسب لكم هو: "&amp;H97&amp;"."&amp;IF(I97&lt;&gt;"",CHAR(10)&amp;"كما يمكنكم أيضًا حجز: "&amp;I97&amp;".","")&amp;IF(J97&lt;&gt;"",CHAR(10)&amp;CHAR(10)&amp;"رابط التقرير: "&amp;J97,"")&amp;CHAR(10)&amp;CHAR(10)&amp;"يسعدنا مساعدتكم في اختيار المسار الأنسب حسب وضع العيادة الحالي.")</x:f>
      </x:c>
      <x:c r="P97" s="12" t="str">
        <x:f>IF(D97="","",HYPERLINK("https://wa.me/"&amp;REGEXREPLACE(D97,"[^\d]","")&amp;"?text="&amp;ENCODEURL(O97),"واتساب 3"))</x:f>
      </x:c>
    </x:row>
    <x:row r="98" ht="15" hidden="0" customHeight="1">
      <x:c r="A98" s="12" t="str">
        <x:f>IF(Leads!A98="","",Leads!A98)</x:f>
      </x:c>
      <x:c r="B98" s="12" t="str">
        <x:f>IF(Leads!F98="","",Leads!F98)</x:f>
      </x:c>
      <x:c r="C98" s="12" t="str">
        <x:f>IF(Leads!G98="","",Leads!G98)</x:f>
      </x:c>
      <x:c r="D98" s="12" t="str">
        <x:f>IF(Leads!O98="","",Leads!O98)</x:f>
      </x:c>
      <x:c r="E98" s="12" t="str">
        <x:f>IF(Leads!AV98="","",Leads!AV98)</x:f>
      </x:c>
      <x:c r="F98" s="12" t="str">
        <x:f>IF(Leads!AX98="","",Leads!AX98)</x:f>
      </x:c>
      <x:c r="G98" s="12" t="str">
        <x:f>IF(Leads!BC98="","",Leads!BC98)</x:f>
      </x:c>
      <x:c r="H98" s="12" t="str">
        <x:f>IF(Leads!BE98="","",Leads!BE98)</x:f>
      </x:c>
      <x:c r="I98" s="12" t="str">
        <x:f>IF(Leads!BG98="","",Leads!BG98)</x:f>
      </x:c>
      <x:c r="J98" s="12" t="str">
        <x:f>IF(Leads!BH98="","",Leads!BH98)</x:f>
      </x:c>
      <x:c r="K98" s="12" t="str">
        <x:f>IF(A98="","","مرحبًا "&amp;C98&amp;CHAR(10)&amp;CHAR(10)&amp;"شكرًا لإتمام تقييم DBD الخاص بعيادة "&amp;B98&amp;"."&amp;CHAR(10)&amp;"نتيجتكم الحالية: "&amp;E98&amp;"%."&amp;CHAR(10)&amp;"أولوية التحسين الأولى: "&amp;F98&amp;"."&amp;IF(J98&lt;&gt;"",CHAR(10)&amp;CHAR(10)&amp;"رابط التقرير: "&amp;J98,"")&amp;CHAR(10)&amp;CHAR(10)&amp;"إذا أحببت، يمكننا مساعدتك في فهم التقرير وتحديد أفضل خطوة تالية لعيادتكم.")</x:f>
      </x:c>
      <x:c r="L98" s="12" t="str">
        <x:f>IF(D98="","",HYPERLINK("https://wa.me/"&amp;REGEXREPLACE(D98,"[^\d]","")&amp;"?text="&amp;ENCODEURL(K98),"واتساب 1"))</x:f>
      </x:c>
      <x:c r="M98" s="12" t="str">
        <x:f>IF(A98="","","مرحبًا "&amp;C98&amp;CHAR(10)&amp;CHAR(10)&amp;"بناءً على نتيجة تقييم عيادة "&amp;B98&amp;"، فإن الترشيح الأقوى لكم الآن هو: "&amp;G98&amp;"."&amp;CHAR(10)&amp;"هذا الخيار يساعدكم في معالجة أكبر فجوة حالية بشكل عملي ومباشر."&amp;IF(J98&lt;&gt;"",CHAR(10)&amp;CHAR(10)&amp;"رابط التقرير: "&amp;J98,"")&amp;CHAR(10)&amp;CHAR(10)&amp;"إذا رغبت، يمكننا توضيح لماذا هذا الكورس هو الأنسب لكم الآن.")</x:f>
      </x:c>
      <x:c r="N98" s="12" t="str">
        <x:f>IF(D98="","",HYPERLINK("https://wa.me/"&amp;REGEXREPLACE(D98,"[^\d]","")&amp;"?text="&amp;ENCODEURL(M98),"واتساب 2"))</x:f>
      </x:c>
      <x:c r="O98" s="12" t="str">
        <x:f>IF(A98="","","مرحبًا "&amp;C98&amp;CHAR(10)&amp;CHAR(10)&amp;"إذا كانت التحديات لديكم تحتاج حلًا أشمل، فالبرنامج الكامل المناسب لكم هو: "&amp;H98&amp;"."&amp;IF(I98&lt;&gt;"",CHAR(10)&amp;"كما يمكنكم أيضًا حجز: "&amp;I98&amp;".","")&amp;IF(J98&lt;&gt;"",CHAR(10)&amp;CHAR(10)&amp;"رابط التقرير: "&amp;J98,"")&amp;CHAR(10)&amp;CHAR(10)&amp;"يسعدنا مساعدتكم في اختيار المسار الأنسب حسب وضع العيادة الحالي.")</x:f>
      </x:c>
      <x:c r="P98" s="12" t="str">
        <x:f>IF(D98="","",HYPERLINK("https://wa.me/"&amp;REGEXREPLACE(D98,"[^\d]","")&amp;"?text="&amp;ENCODEURL(O98),"واتساب 3"))</x:f>
      </x:c>
    </x:row>
    <x:row r="99" ht="15" hidden="0" customHeight="1">
      <x:c r="A99" s="12" t="str">
        <x:f>IF(Leads!A99="","",Leads!A99)</x:f>
      </x:c>
      <x:c r="B99" s="12" t="str">
        <x:f>IF(Leads!F99="","",Leads!F99)</x:f>
      </x:c>
      <x:c r="C99" s="12" t="str">
        <x:f>IF(Leads!G99="","",Leads!G99)</x:f>
      </x:c>
      <x:c r="D99" s="12" t="str">
        <x:f>IF(Leads!O99="","",Leads!O99)</x:f>
      </x:c>
      <x:c r="E99" s="12" t="str">
        <x:f>IF(Leads!AV99="","",Leads!AV99)</x:f>
      </x:c>
      <x:c r="F99" s="12" t="str">
        <x:f>IF(Leads!AX99="","",Leads!AX99)</x:f>
      </x:c>
      <x:c r="G99" s="12" t="str">
        <x:f>IF(Leads!BC99="","",Leads!BC99)</x:f>
      </x:c>
      <x:c r="H99" s="12" t="str">
        <x:f>IF(Leads!BE99="","",Leads!BE99)</x:f>
      </x:c>
      <x:c r="I99" s="12" t="str">
        <x:f>IF(Leads!BG99="","",Leads!BG99)</x:f>
      </x:c>
      <x:c r="J99" s="12" t="str">
        <x:f>IF(Leads!BH99="","",Leads!BH99)</x:f>
      </x:c>
      <x:c r="K99" s="12" t="str">
        <x:f>IF(A99="","","مرحبًا "&amp;C99&amp;CHAR(10)&amp;CHAR(10)&amp;"شكرًا لإتمام تقييم DBD الخاص بعيادة "&amp;B99&amp;"."&amp;CHAR(10)&amp;"نتيجتكم الحالية: "&amp;E99&amp;"%."&amp;CHAR(10)&amp;"أولوية التحسين الأولى: "&amp;F99&amp;"."&amp;IF(J99&lt;&gt;"",CHAR(10)&amp;CHAR(10)&amp;"رابط التقرير: "&amp;J99,"")&amp;CHAR(10)&amp;CHAR(10)&amp;"إذا أحببت، يمكننا مساعدتك في فهم التقرير وتحديد أفضل خطوة تالية لعيادتكم.")</x:f>
      </x:c>
      <x:c r="L99" s="12" t="str">
        <x:f>IF(D99="","",HYPERLINK("https://wa.me/"&amp;REGEXREPLACE(D99,"[^\d]","")&amp;"?text="&amp;ENCODEURL(K99),"واتساب 1"))</x:f>
      </x:c>
      <x:c r="M99" s="12" t="str">
        <x:f>IF(A99="","","مرحبًا "&amp;C99&amp;CHAR(10)&amp;CHAR(10)&amp;"بناءً على نتيجة تقييم عيادة "&amp;B99&amp;"، فإن الترشيح الأقوى لكم الآن هو: "&amp;G99&amp;"."&amp;CHAR(10)&amp;"هذا الخيار يساعدكم في معالجة أكبر فجوة حالية بشكل عملي ومباشر."&amp;IF(J99&lt;&gt;"",CHAR(10)&amp;CHAR(10)&amp;"رابط التقرير: "&amp;J99,"")&amp;CHAR(10)&amp;CHAR(10)&amp;"إذا رغبت، يمكننا توضيح لماذا هذا الكورس هو الأنسب لكم الآن.")</x:f>
      </x:c>
      <x:c r="N99" s="12" t="str">
        <x:f>IF(D99="","",HYPERLINK("https://wa.me/"&amp;REGEXREPLACE(D99,"[^\d]","")&amp;"?text="&amp;ENCODEURL(M99),"واتساب 2"))</x:f>
      </x:c>
      <x:c r="O99" s="12" t="str">
        <x:f>IF(A99="","","مرحبًا "&amp;C99&amp;CHAR(10)&amp;CHAR(10)&amp;"إذا كانت التحديات لديكم تحتاج حلًا أشمل، فالبرنامج الكامل المناسب لكم هو: "&amp;H99&amp;"."&amp;IF(I99&lt;&gt;"",CHAR(10)&amp;"كما يمكنكم أيضًا حجز: "&amp;I99&amp;".","")&amp;IF(J99&lt;&gt;"",CHAR(10)&amp;CHAR(10)&amp;"رابط التقرير: "&amp;J99,"")&amp;CHAR(10)&amp;CHAR(10)&amp;"يسعدنا مساعدتكم في اختيار المسار الأنسب حسب وضع العيادة الحالي.")</x:f>
      </x:c>
      <x:c r="P99" s="12" t="str">
        <x:f>IF(D99="","",HYPERLINK("https://wa.me/"&amp;REGEXREPLACE(D99,"[^\d]","")&amp;"?text="&amp;ENCODEURL(O99),"واتساب 3"))</x:f>
      </x:c>
    </x:row>
    <x:row r="100" ht="15" hidden="0" customHeight="1">
      <x:c r="A100" s="12" t="str">
        <x:f>IF(Leads!A100="","",Leads!A100)</x:f>
      </x:c>
      <x:c r="B100" s="12" t="str">
        <x:f>IF(Leads!F100="","",Leads!F100)</x:f>
      </x:c>
      <x:c r="C100" s="12" t="str">
        <x:f>IF(Leads!G100="","",Leads!G100)</x:f>
      </x:c>
      <x:c r="D100" s="12" t="str">
        <x:f>IF(Leads!O100="","",Leads!O100)</x:f>
      </x:c>
      <x:c r="E100" s="12" t="str">
        <x:f>IF(Leads!AV100="","",Leads!AV100)</x:f>
      </x:c>
      <x:c r="F100" s="12" t="str">
        <x:f>IF(Leads!AX100="","",Leads!AX100)</x:f>
      </x:c>
      <x:c r="G100" s="12" t="str">
        <x:f>IF(Leads!BC100="","",Leads!BC100)</x:f>
      </x:c>
      <x:c r="H100" s="12" t="str">
        <x:f>IF(Leads!BE100="","",Leads!BE100)</x:f>
      </x:c>
      <x:c r="I100" s="12" t="str">
        <x:f>IF(Leads!BG100="","",Leads!BG100)</x:f>
      </x:c>
      <x:c r="J100" s="12" t="str">
        <x:f>IF(Leads!BH100="","",Leads!BH100)</x:f>
      </x:c>
      <x:c r="K100" s="12" t="str">
        <x:f>IF(A100="","","مرحبًا "&amp;C100&amp;CHAR(10)&amp;CHAR(10)&amp;"شكرًا لإتمام تقييم DBD الخاص بعيادة "&amp;B100&amp;"."&amp;CHAR(10)&amp;"نتيجتكم الحالية: "&amp;E100&amp;"%."&amp;CHAR(10)&amp;"أولوية التحسين الأولى: "&amp;F100&amp;"."&amp;IF(J100&lt;&gt;"",CHAR(10)&amp;CHAR(10)&amp;"رابط التقرير: "&amp;J100,"")&amp;CHAR(10)&amp;CHAR(10)&amp;"إذا أحببت، يمكننا مساعدتك في فهم التقرير وتحديد أفضل خطوة تالية لعيادتكم.")</x:f>
      </x:c>
      <x:c r="L100" s="12" t="str">
        <x:f>IF(D100="","",HYPERLINK("https://wa.me/"&amp;REGEXREPLACE(D100,"[^\d]","")&amp;"?text="&amp;ENCODEURL(K100),"واتساب 1"))</x:f>
      </x:c>
      <x:c r="M100" s="12" t="str">
        <x:f>IF(A100="","","مرحبًا "&amp;C100&amp;CHAR(10)&amp;CHAR(10)&amp;"بناءً على نتيجة تقييم عيادة "&amp;B100&amp;"، فإن الترشيح الأقوى لكم الآن هو: "&amp;G100&amp;"."&amp;CHAR(10)&amp;"هذا الخيار يساعدكم في معالجة أكبر فجوة حالية بشكل عملي ومباشر."&amp;IF(J100&lt;&gt;"",CHAR(10)&amp;CHAR(10)&amp;"رابط التقرير: "&amp;J100,"")&amp;CHAR(10)&amp;CHAR(10)&amp;"إذا رغبت، يمكننا توضيح لماذا هذا الكورس هو الأنسب لكم الآن.")</x:f>
      </x:c>
      <x:c r="N100" s="12" t="str">
        <x:f>IF(D100="","",HYPERLINK("https://wa.me/"&amp;REGEXREPLACE(D100,"[^\d]","")&amp;"?text="&amp;ENCODEURL(M100),"واتساب 2"))</x:f>
      </x:c>
      <x:c r="O100" s="12" t="str">
        <x:f>IF(A100="","","مرحبًا "&amp;C100&amp;CHAR(10)&amp;CHAR(10)&amp;"إذا كانت التحديات لديكم تحتاج حلًا أشمل، فالبرنامج الكامل المناسب لكم هو: "&amp;H100&amp;"."&amp;IF(I100&lt;&gt;"",CHAR(10)&amp;"كما يمكنكم أيضًا حجز: "&amp;I100&amp;".","")&amp;IF(J100&lt;&gt;"",CHAR(10)&amp;CHAR(10)&amp;"رابط التقرير: "&amp;J100,"")&amp;CHAR(10)&amp;CHAR(10)&amp;"يسعدنا مساعدتكم في اختيار المسار الأنسب حسب وضع العيادة الحالي.")</x:f>
      </x:c>
      <x:c r="P100" s="12" t="str">
        <x:f>IF(D100="","",HYPERLINK("https://wa.me/"&amp;REGEXREPLACE(D100,"[^\d]","")&amp;"?text="&amp;ENCODEURL(O100),"واتساب 3"))</x:f>
      </x:c>
    </x:row>
    <x:row r="101" ht="15" hidden="0" customHeight="1">
      <x:c r="A101" s="12" t="str">
        <x:f>IF(Leads!A101="","",Leads!A101)</x:f>
      </x:c>
      <x:c r="B101" s="12" t="str">
        <x:f>IF(Leads!F101="","",Leads!F101)</x:f>
      </x:c>
      <x:c r="C101" s="12" t="str">
        <x:f>IF(Leads!G101="","",Leads!G101)</x:f>
      </x:c>
      <x:c r="D101" s="12" t="str">
        <x:f>IF(Leads!O101="","",Leads!O101)</x:f>
      </x:c>
      <x:c r="E101" s="12" t="str">
        <x:f>IF(Leads!AV101="","",Leads!AV101)</x:f>
      </x:c>
      <x:c r="F101" s="12" t="str">
        <x:f>IF(Leads!AX101="","",Leads!AX101)</x:f>
      </x:c>
      <x:c r="G101" s="12" t="str">
        <x:f>IF(Leads!BC101="","",Leads!BC101)</x:f>
      </x:c>
      <x:c r="H101" s="12" t="str">
        <x:f>IF(Leads!BE101="","",Leads!BE101)</x:f>
      </x:c>
      <x:c r="I101" s="12" t="str">
        <x:f>IF(Leads!BG101="","",Leads!BG101)</x:f>
      </x:c>
      <x:c r="J101" s="12" t="str">
        <x:f>IF(Leads!BH101="","",Leads!BH101)</x:f>
      </x:c>
      <x:c r="K101" s="12" t="str">
        <x:f>IF(A101="","","مرحبًا "&amp;C101&amp;CHAR(10)&amp;CHAR(10)&amp;"شكرًا لإتمام تقييم DBD الخاص بعيادة "&amp;B101&amp;"."&amp;CHAR(10)&amp;"نتيجتكم الحالية: "&amp;E101&amp;"%."&amp;CHAR(10)&amp;"أولوية التحسين الأولى: "&amp;F101&amp;"."&amp;IF(J101&lt;&gt;"",CHAR(10)&amp;CHAR(10)&amp;"رابط التقرير: "&amp;J101,"")&amp;CHAR(10)&amp;CHAR(10)&amp;"إذا أحببت، يمكننا مساعدتك في فهم التقرير وتحديد أفضل خطوة تالية لعيادتكم.")</x:f>
      </x:c>
      <x:c r="L101" s="12" t="str">
        <x:f>IF(D101="","",HYPERLINK("https://wa.me/"&amp;REGEXREPLACE(D101,"[^\d]","")&amp;"?text="&amp;ENCODEURL(K101),"واتساب 1"))</x:f>
      </x:c>
      <x:c r="M101" s="12" t="str">
        <x:f>IF(A101="","","مرحبًا "&amp;C101&amp;CHAR(10)&amp;CHAR(10)&amp;"بناءً على نتيجة تقييم عيادة "&amp;B101&amp;"، فإن الترشيح الأقوى لكم الآن هو: "&amp;G101&amp;"."&amp;CHAR(10)&amp;"هذا الخيار يساعدكم في معالجة أكبر فجوة حالية بشكل عملي ومباشر."&amp;IF(J101&lt;&gt;"",CHAR(10)&amp;CHAR(10)&amp;"رابط التقرير: "&amp;J101,"")&amp;CHAR(10)&amp;CHAR(10)&amp;"إذا رغبت، يمكننا توضيح لماذا هذا الكورس هو الأنسب لكم الآن.")</x:f>
      </x:c>
      <x:c r="N101" s="12" t="str">
        <x:f>IF(D101="","",HYPERLINK("https://wa.me/"&amp;REGEXREPLACE(D101,"[^\d]","")&amp;"?text="&amp;ENCODEURL(M101),"واتساب 2"))</x:f>
      </x:c>
      <x:c r="O101" s="12" t="str">
        <x:f>IF(A101="","","مرحبًا "&amp;C101&amp;CHAR(10)&amp;CHAR(10)&amp;"إذا كانت التحديات لديكم تحتاج حلًا أشمل، فالبرنامج الكامل المناسب لكم هو: "&amp;H101&amp;"."&amp;IF(I101&lt;&gt;"",CHAR(10)&amp;"كما يمكنكم أيضًا حجز: "&amp;I101&amp;".","")&amp;IF(J101&lt;&gt;"",CHAR(10)&amp;CHAR(10)&amp;"رابط التقرير: "&amp;J101,"")&amp;CHAR(10)&amp;CHAR(10)&amp;"يسعدنا مساعدتكم في اختيار المسار الأنسب حسب وضع العيادة الحالي.")</x:f>
      </x:c>
      <x:c r="P101" s="12" t="str">
        <x:f>IF(D101="","",HYPERLINK("https://wa.me/"&amp;REGEXREPLACE(D101,"[^\d]","")&amp;"?text="&amp;ENCODEURL(O101),"واتساب 3"))</x:f>
      </x:c>
    </x:row>
    <x:row r="102" ht="15" hidden="0" customHeight="1">
      <x:c r="A102" s="12" t="str">
        <x:f>IF(Leads!A102="","",Leads!A102)</x:f>
      </x:c>
      <x:c r="B102" s="12" t="str">
        <x:f>IF(Leads!F102="","",Leads!F102)</x:f>
      </x:c>
      <x:c r="C102" s="12" t="str">
        <x:f>IF(Leads!G102="","",Leads!G102)</x:f>
      </x:c>
      <x:c r="D102" s="12" t="str">
        <x:f>IF(Leads!O102="","",Leads!O102)</x:f>
      </x:c>
      <x:c r="E102" s="12" t="str">
        <x:f>IF(Leads!AV102="","",Leads!AV102)</x:f>
      </x:c>
      <x:c r="F102" s="12" t="str">
        <x:f>IF(Leads!AX102="","",Leads!AX102)</x:f>
      </x:c>
      <x:c r="G102" s="12" t="str">
        <x:f>IF(Leads!BC102="","",Leads!BC102)</x:f>
      </x:c>
      <x:c r="H102" s="12" t="str">
        <x:f>IF(Leads!BE102="","",Leads!BE102)</x:f>
      </x:c>
      <x:c r="I102" s="12" t="str">
        <x:f>IF(Leads!BG102="","",Leads!BG102)</x:f>
      </x:c>
      <x:c r="J102" s="12" t="str">
        <x:f>IF(Leads!BH102="","",Leads!BH102)</x:f>
      </x:c>
      <x:c r="K102" s="12" t="str">
        <x:f>IF(A102="","","مرحبًا "&amp;C102&amp;CHAR(10)&amp;CHAR(10)&amp;"شكرًا لإتمام تقييم DBD الخاص بعيادة "&amp;B102&amp;"."&amp;CHAR(10)&amp;"نتيجتكم الحالية: "&amp;E102&amp;"%."&amp;CHAR(10)&amp;"أولوية التحسين الأولى: "&amp;F102&amp;"."&amp;IF(J102&lt;&gt;"",CHAR(10)&amp;CHAR(10)&amp;"رابط التقرير: "&amp;J102,"")&amp;CHAR(10)&amp;CHAR(10)&amp;"إذا أحببت، يمكننا مساعدتك في فهم التقرير وتحديد أفضل خطوة تالية لعيادتكم.")</x:f>
      </x:c>
      <x:c r="L102" s="12" t="str">
        <x:f>IF(D102="","",HYPERLINK("https://wa.me/"&amp;REGEXREPLACE(D102,"[^\d]","")&amp;"?text="&amp;ENCODEURL(K102),"واتساب 1"))</x:f>
      </x:c>
      <x:c r="M102" s="12" t="str">
        <x:f>IF(A102="","","مرحبًا "&amp;C102&amp;CHAR(10)&amp;CHAR(10)&amp;"بناءً على نتيجة تقييم عيادة "&amp;B102&amp;"، فإن الترشيح الأقوى لكم الآن هو: "&amp;G102&amp;"."&amp;CHAR(10)&amp;"هذا الخيار يساعدكم في معالجة أكبر فجوة حالية بشكل عملي ومباشر."&amp;IF(J102&lt;&gt;"",CHAR(10)&amp;CHAR(10)&amp;"رابط التقرير: "&amp;J102,"")&amp;CHAR(10)&amp;CHAR(10)&amp;"إذا رغبت، يمكننا توضيح لماذا هذا الكورس هو الأنسب لكم الآن.")</x:f>
      </x:c>
      <x:c r="N102" s="12" t="str">
        <x:f>IF(D102="","",HYPERLINK("https://wa.me/"&amp;REGEXREPLACE(D102,"[^\d]","")&amp;"?text="&amp;ENCODEURL(M102),"واتساب 2"))</x:f>
      </x:c>
      <x:c r="O102" s="12" t="str">
        <x:f>IF(A102="","","مرحبًا "&amp;C102&amp;CHAR(10)&amp;CHAR(10)&amp;"إذا كانت التحديات لديكم تحتاج حلًا أشمل، فالبرنامج الكامل المناسب لكم هو: "&amp;H102&amp;"."&amp;IF(I102&lt;&gt;"",CHAR(10)&amp;"كما يمكنكم أيضًا حجز: "&amp;I102&amp;".","")&amp;IF(J102&lt;&gt;"",CHAR(10)&amp;CHAR(10)&amp;"رابط التقرير: "&amp;J102,"")&amp;CHAR(10)&amp;CHAR(10)&amp;"يسعدنا مساعدتكم في اختيار المسار الأنسب حسب وضع العيادة الحالي.")</x:f>
      </x:c>
      <x:c r="P102" s="12" t="str">
        <x:f>IF(D102="","",HYPERLINK("https://wa.me/"&amp;REGEXREPLACE(D102,"[^\d]","")&amp;"?text="&amp;ENCODEURL(O102),"واتساب 3"))</x:f>
      </x:c>
    </x:row>
    <x:row r="103" ht="15" hidden="0" customHeight="1">
      <x:c r="A103" s="12" t="str">
        <x:f>IF(Leads!A103="","",Leads!A103)</x:f>
      </x:c>
      <x:c r="B103" s="12" t="str">
        <x:f>IF(Leads!F103="","",Leads!F103)</x:f>
      </x:c>
      <x:c r="C103" s="12" t="str">
        <x:f>IF(Leads!G103="","",Leads!G103)</x:f>
      </x:c>
      <x:c r="D103" s="12" t="str">
        <x:f>IF(Leads!O103="","",Leads!O103)</x:f>
      </x:c>
      <x:c r="E103" s="12" t="str">
        <x:f>IF(Leads!AV103="","",Leads!AV103)</x:f>
      </x:c>
      <x:c r="F103" s="12" t="str">
        <x:f>IF(Leads!AX103="","",Leads!AX103)</x:f>
      </x:c>
      <x:c r="G103" s="12" t="str">
        <x:f>IF(Leads!BC103="","",Leads!BC103)</x:f>
      </x:c>
      <x:c r="H103" s="12" t="str">
        <x:f>IF(Leads!BE103="","",Leads!BE103)</x:f>
      </x:c>
      <x:c r="I103" s="12" t="str">
        <x:f>IF(Leads!BG103="","",Leads!BG103)</x:f>
      </x:c>
      <x:c r="J103" s="12" t="str">
        <x:f>IF(Leads!BH103="","",Leads!BH103)</x:f>
      </x:c>
      <x:c r="K103" s="12" t="str">
        <x:f>IF(A103="","","مرحبًا "&amp;C103&amp;CHAR(10)&amp;CHAR(10)&amp;"شكرًا لإتمام تقييم DBD الخاص بعيادة "&amp;B103&amp;"."&amp;CHAR(10)&amp;"نتيجتكم الحالية: "&amp;E103&amp;"%."&amp;CHAR(10)&amp;"أولوية التحسين الأولى: "&amp;F103&amp;"."&amp;IF(J103&lt;&gt;"",CHAR(10)&amp;CHAR(10)&amp;"رابط التقرير: "&amp;J103,"")&amp;CHAR(10)&amp;CHAR(10)&amp;"إذا أحببت، يمكننا مساعدتك في فهم التقرير وتحديد أفضل خطوة تالية لعيادتكم.")</x:f>
      </x:c>
      <x:c r="L103" s="12" t="str">
        <x:f>IF(D103="","",HYPERLINK("https://wa.me/"&amp;REGEXREPLACE(D103,"[^\d]","")&amp;"?text="&amp;ENCODEURL(K103),"واتساب 1"))</x:f>
      </x:c>
      <x:c r="M103" s="12" t="str">
        <x:f>IF(A103="","","مرحبًا "&amp;C103&amp;CHAR(10)&amp;CHAR(10)&amp;"بناءً على نتيجة تقييم عيادة "&amp;B103&amp;"، فإن الترشيح الأقوى لكم الآن هو: "&amp;G103&amp;"."&amp;CHAR(10)&amp;"هذا الخيار يساعدكم في معالجة أكبر فجوة حالية بشكل عملي ومباشر."&amp;IF(J103&lt;&gt;"",CHAR(10)&amp;CHAR(10)&amp;"رابط التقرير: "&amp;J103,"")&amp;CHAR(10)&amp;CHAR(10)&amp;"إذا رغبت، يمكننا توضيح لماذا هذا الكورس هو الأنسب لكم الآن.")</x:f>
      </x:c>
      <x:c r="N103" s="12" t="str">
        <x:f>IF(D103="","",HYPERLINK("https://wa.me/"&amp;REGEXREPLACE(D103,"[^\d]","")&amp;"?text="&amp;ENCODEURL(M103),"واتساب 2"))</x:f>
      </x:c>
      <x:c r="O103" s="12" t="str">
        <x:f>IF(A103="","","مرحبًا "&amp;C103&amp;CHAR(10)&amp;CHAR(10)&amp;"إذا كانت التحديات لديكم تحتاج حلًا أشمل، فالبرنامج الكامل المناسب لكم هو: "&amp;H103&amp;"."&amp;IF(I103&lt;&gt;"",CHAR(10)&amp;"كما يمكنكم أيضًا حجز: "&amp;I103&amp;".","")&amp;IF(J103&lt;&gt;"",CHAR(10)&amp;CHAR(10)&amp;"رابط التقرير: "&amp;J103,"")&amp;CHAR(10)&amp;CHAR(10)&amp;"يسعدنا مساعدتكم في اختيار المسار الأنسب حسب وضع العيادة الحالي.")</x:f>
      </x:c>
      <x:c r="P103" s="12" t="str">
        <x:f>IF(D103="","",HYPERLINK("https://wa.me/"&amp;REGEXREPLACE(D103,"[^\d]","")&amp;"?text="&amp;ENCODEURL(O103),"واتساب 3"))</x:f>
      </x:c>
    </x:row>
    <x:row r="104" ht="15" hidden="0" customHeight="1">
      <x:c r="A104" s="12" t="str">
        <x:f>IF(Leads!A104="","",Leads!A104)</x:f>
      </x:c>
      <x:c r="B104" s="12" t="str">
        <x:f>IF(Leads!F104="","",Leads!F104)</x:f>
      </x:c>
      <x:c r="C104" s="12" t="str">
        <x:f>IF(Leads!G104="","",Leads!G104)</x:f>
      </x:c>
      <x:c r="D104" s="12" t="str">
        <x:f>IF(Leads!O104="","",Leads!O104)</x:f>
      </x:c>
      <x:c r="E104" s="12" t="str">
        <x:f>IF(Leads!AV104="","",Leads!AV104)</x:f>
      </x:c>
      <x:c r="F104" s="12" t="str">
        <x:f>IF(Leads!AX104="","",Leads!AX104)</x:f>
      </x:c>
      <x:c r="G104" s="12" t="str">
        <x:f>IF(Leads!BC104="","",Leads!BC104)</x:f>
      </x:c>
      <x:c r="H104" s="12" t="str">
        <x:f>IF(Leads!BE104="","",Leads!BE104)</x:f>
      </x:c>
      <x:c r="I104" s="12" t="str">
        <x:f>IF(Leads!BG104="","",Leads!BG104)</x:f>
      </x:c>
      <x:c r="J104" s="12" t="str">
        <x:f>IF(Leads!BH104="","",Leads!BH104)</x:f>
      </x:c>
      <x:c r="K104" s="12" t="str">
        <x:f>IF(A104="","","مرحبًا "&amp;C104&amp;CHAR(10)&amp;CHAR(10)&amp;"شكرًا لإتمام تقييم DBD الخاص بعيادة "&amp;B104&amp;"."&amp;CHAR(10)&amp;"نتيجتكم الحالية: "&amp;E104&amp;"%."&amp;CHAR(10)&amp;"أولوية التحسين الأولى: "&amp;F104&amp;"."&amp;IF(J104&lt;&gt;"",CHAR(10)&amp;CHAR(10)&amp;"رابط التقرير: "&amp;J104,"")&amp;CHAR(10)&amp;CHAR(10)&amp;"إذا أحببت، يمكننا مساعدتك في فهم التقرير وتحديد أفضل خطوة تالية لعيادتكم.")</x:f>
      </x:c>
      <x:c r="L104" s="12" t="str">
        <x:f>IF(D104="","",HYPERLINK("https://wa.me/"&amp;REGEXREPLACE(D104,"[^\d]","")&amp;"?text="&amp;ENCODEURL(K104),"واتساب 1"))</x:f>
      </x:c>
      <x:c r="M104" s="12" t="str">
        <x:f>IF(A104="","","مرحبًا "&amp;C104&amp;CHAR(10)&amp;CHAR(10)&amp;"بناءً على نتيجة تقييم عيادة "&amp;B104&amp;"، فإن الترشيح الأقوى لكم الآن هو: "&amp;G104&amp;"."&amp;CHAR(10)&amp;"هذا الخيار يساعدكم في معالجة أكبر فجوة حالية بشكل عملي ومباشر."&amp;IF(J104&lt;&gt;"",CHAR(10)&amp;CHAR(10)&amp;"رابط التقرير: "&amp;J104,"")&amp;CHAR(10)&amp;CHAR(10)&amp;"إذا رغبت، يمكننا توضيح لماذا هذا الكورس هو الأنسب لكم الآن.")</x:f>
      </x:c>
      <x:c r="N104" s="12" t="str">
        <x:f>IF(D104="","",HYPERLINK("https://wa.me/"&amp;REGEXREPLACE(D104,"[^\d]","")&amp;"?text="&amp;ENCODEURL(M104),"واتساب 2"))</x:f>
      </x:c>
      <x:c r="O104" s="12" t="str">
        <x:f>IF(A104="","","مرحبًا "&amp;C104&amp;CHAR(10)&amp;CHAR(10)&amp;"إذا كانت التحديات لديكم تحتاج حلًا أشمل، فالبرنامج الكامل المناسب لكم هو: "&amp;H104&amp;"."&amp;IF(I104&lt;&gt;"",CHAR(10)&amp;"كما يمكنكم أيضًا حجز: "&amp;I104&amp;".","")&amp;IF(J104&lt;&gt;"",CHAR(10)&amp;CHAR(10)&amp;"رابط التقرير: "&amp;J104,"")&amp;CHAR(10)&amp;CHAR(10)&amp;"يسعدنا مساعدتكم في اختيار المسار الأنسب حسب وضع العيادة الحالي.")</x:f>
      </x:c>
      <x:c r="P104" s="12" t="str">
        <x:f>IF(D104="","",HYPERLINK("https://wa.me/"&amp;REGEXREPLACE(D104,"[^\d]","")&amp;"?text="&amp;ENCODEURL(O104),"واتساب 3"))</x:f>
      </x:c>
    </x:row>
    <x:row r="105" ht="15" hidden="0" customHeight="1">
      <x:c r="A105" s="12" t="str">
        <x:f>IF(Leads!A105="","",Leads!A105)</x:f>
      </x:c>
      <x:c r="B105" s="12" t="str">
        <x:f>IF(Leads!F105="","",Leads!F105)</x:f>
      </x:c>
      <x:c r="C105" s="12" t="str">
        <x:f>IF(Leads!G105="","",Leads!G105)</x:f>
      </x:c>
      <x:c r="D105" s="12" t="str">
        <x:f>IF(Leads!O105="","",Leads!O105)</x:f>
      </x:c>
      <x:c r="E105" s="12" t="str">
        <x:f>IF(Leads!AV105="","",Leads!AV105)</x:f>
      </x:c>
      <x:c r="F105" s="12" t="str">
        <x:f>IF(Leads!AX105="","",Leads!AX105)</x:f>
      </x:c>
      <x:c r="G105" s="12" t="str">
        <x:f>IF(Leads!BC105="","",Leads!BC105)</x:f>
      </x:c>
      <x:c r="H105" s="12" t="str">
        <x:f>IF(Leads!BE105="","",Leads!BE105)</x:f>
      </x:c>
      <x:c r="I105" s="12" t="str">
        <x:f>IF(Leads!BG105="","",Leads!BG105)</x:f>
      </x:c>
      <x:c r="J105" s="12" t="str">
        <x:f>IF(Leads!BH105="","",Leads!BH105)</x:f>
      </x:c>
      <x:c r="K105" s="12" t="str">
        <x:f>IF(A105="","","مرحبًا "&amp;C105&amp;CHAR(10)&amp;CHAR(10)&amp;"شكرًا لإتمام تقييم DBD الخاص بعيادة "&amp;B105&amp;"."&amp;CHAR(10)&amp;"نتيجتكم الحالية: "&amp;E105&amp;"%."&amp;CHAR(10)&amp;"أولوية التحسين الأولى: "&amp;F105&amp;"."&amp;IF(J105&lt;&gt;"",CHAR(10)&amp;CHAR(10)&amp;"رابط التقرير: "&amp;J105,"")&amp;CHAR(10)&amp;CHAR(10)&amp;"إذا أحببت، يمكننا مساعدتك في فهم التقرير وتحديد أفضل خطوة تالية لعيادتكم.")</x:f>
      </x:c>
      <x:c r="L105" s="12" t="str">
        <x:f>IF(D105="","",HYPERLINK("https://wa.me/"&amp;REGEXREPLACE(D105,"[^\d]","")&amp;"?text="&amp;ENCODEURL(K105),"واتساب 1"))</x:f>
      </x:c>
      <x:c r="M105" s="12" t="str">
        <x:f>IF(A105="","","مرحبًا "&amp;C105&amp;CHAR(10)&amp;CHAR(10)&amp;"بناءً على نتيجة تقييم عيادة "&amp;B105&amp;"، فإن الترشيح الأقوى لكم الآن هو: "&amp;G105&amp;"."&amp;CHAR(10)&amp;"هذا الخيار يساعدكم في معالجة أكبر فجوة حالية بشكل عملي ومباشر."&amp;IF(J105&lt;&gt;"",CHAR(10)&amp;CHAR(10)&amp;"رابط التقرير: "&amp;J105,"")&amp;CHAR(10)&amp;CHAR(10)&amp;"إذا رغبت، يمكننا توضيح لماذا هذا الكورس هو الأنسب لكم الآن.")</x:f>
      </x:c>
      <x:c r="N105" s="12" t="str">
        <x:f>IF(D105="","",HYPERLINK("https://wa.me/"&amp;REGEXREPLACE(D105,"[^\d]","")&amp;"?text="&amp;ENCODEURL(M105),"واتساب 2"))</x:f>
      </x:c>
      <x:c r="O105" s="12" t="str">
        <x:f>IF(A105="","","مرحبًا "&amp;C105&amp;CHAR(10)&amp;CHAR(10)&amp;"إذا كانت التحديات لديكم تحتاج حلًا أشمل، فالبرنامج الكامل المناسب لكم هو: "&amp;H105&amp;"."&amp;IF(I105&lt;&gt;"",CHAR(10)&amp;"كما يمكنكم أيضًا حجز: "&amp;I105&amp;".","")&amp;IF(J105&lt;&gt;"",CHAR(10)&amp;CHAR(10)&amp;"رابط التقرير: "&amp;J105,"")&amp;CHAR(10)&amp;CHAR(10)&amp;"يسعدنا مساعدتكم في اختيار المسار الأنسب حسب وضع العيادة الحالي.")</x:f>
      </x:c>
      <x:c r="P105" s="12" t="str">
        <x:f>IF(D105="","",HYPERLINK("https://wa.me/"&amp;REGEXREPLACE(D105,"[^\d]","")&amp;"?text="&amp;ENCODEURL(O105),"واتساب 3"))</x:f>
      </x:c>
    </x:row>
    <x:row r="106" ht="15" hidden="0" customHeight="1">
      <x:c r="A106" s="12" t="str">
        <x:f>IF(Leads!A106="","",Leads!A106)</x:f>
      </x:c>
      <x:c r="B106" s="12" t="str">
        <x:f>IF(Leads!F106="","",Leads!F106)</x:f>
      </x:c>
      <x:c r="C106" s="12" t="str">
        <x:f>IF(Leads!G106="","",Leads!G106)</x:f>
      </x:c>
      <x:c r="D106" s="12" t="str">
        <x:f>IF(Leads!O106="","",Leads!O106)</x:f>
      </x:c>
      <x:c r="E106" s="12" t="str">
        <x:f>IF(Leads!AV106="","",Leads!AV106)</x:f>
      </x:c>
      <x:c r="F106" s="12" t="str">
        <x:f>IF(Leads!AX106="","",Leads!AX106)</x:f>
      </x:c>
      <x:c r="G106" s="12" t="str">
        <x:f>IF(Leads!BC106="","",Leads!BC106)</x:f>
      </x:c>
      <x:c r="H106" s="12" t="str">
        <x:f>IF(Leads!BE106="","",Leads!BE106)</x:f>
      </x:c>
      <x:c r="I106" s="12" t="str">
        <x:f>IF(Leads!BG106="","",Leads!BG106)</x:f>
      </x:c>
      <x:c r="J106" s="12" t="str">
        <x:f>IF(Leads!BH106="","",Leads!BH106)</x:f>
      </x:c>
      <x:c r="K106" s="12" t="str">
        <x:f>IF(A106="","","مرحبًا "&amp;C106&amp;CHAR(10)&amp;CHAR(10)&amp;"شكرًا لإتمام تقييم DBD الخاص بعيادة "&amp;B106&amp;"."&amp;CHAR(10)&amp;"نتيجتكم الحالية: "&amp;E106&amp;"%."&amp;CHAR(10)&amp;"أولوية التحسين الأولى: "&amp;F106&amp;"."&amp;IF(J106&lt;&gt;"",CHAR(10)&amp;CHAR(10)&amp;"رابط التقرير: "&amp;J106,"")&amp;CHAR(10)&amp;CHAR(10)&amp;"إذا أحببت، يمكننا مساعدتك في فهم التقرير وتحديد أفضل خطوة تالية لعيادتكم.")</x:f>
      </x:c>
      <x:c r="L106" s="12" t="str">
        <x:f>IF(D106="","",HYPERLINK("https://wa.me/"&amp;REGEXREPLACE(D106,"[^\d]","")&amp;"?text="&amp;ENCODEURL(K106),"واتساب 1"))</x:f>
      </x:c>
      <x:c r="M106" s="12" t="str">
        <x:f>IF(A106="","","مرحبًا "&amp;C106&amp;CHAR(10)&amp;CHAR(10)&amp;"بناءً على نتيجة تقييم عيادة "&amp;B106&amp;"، فإن الترشيح الأقوى لكم الآن هو: "&amp;G106&amp;"."&amp;CHAR(10)&amp;"هذا الخيار يساعدكم في معالجة أكبر فجوة حالية بشكل عملي ومباشر."&amp;IF(J106&lt;&gt;"",CHAR(10)&amp;CHAR(10)&amp;"رابط التقرير: "&amp;J106,"")&amp;CHAR(10)&amp;CHAR(10)&amp;"إذا رغبت، يمكننا توضيح لماذا هذا الكورس هو الأنسب لكم الآن.")</x:f>
      </x:c>
      <x:c r="N106" s="12" t="str">
        <x:f>IF(D106="","",HYPERLINK("https://wa.me/"&amp;REGEXREPLACE(D106,"[^\d]","")&amp;"?text="&amp;ENCODEURL(M106),"واتساب 2"))</x:f>
      </x:c>
      <x:c r="O106" s="12" t="str">
        <x:f>IF(A106="","","مرحبًا "&amp;C106&amp;CHAR(10)&amp;CHAR(10)&amp;"إذا كانت التحديات لديكم تحتاج حلًا أشمل، فالبرنامج الكامل المناسب لكم هو: "&amp;H106&amp;"."&amp;IF(I106&lt;&gt;"",CHAR(10)&amp;"كما يمكنكم أيضًا حجز: "&amp;I106&amp;".","")&amp;IF(J106&lt;&gt;"",CHAR(10)&amp;CHAR(10)&amp;"رابط التقرير: "&amp;J106,"")&amp;CHAR(10)&amp;CHAR(10)&amp;"يسعدنا مساعدتكم في اختيار المسار الأنسب حسب وضع العيادة الحالي.")</x:f>
      </x:c>
      <x:c r="P106" s="12" t="str">
        <x:f>IF(D106="","",HYPERLINK("https://wa.me/"&amp;REGEXREPLACE(D106,"[^\d]","")&amp;"?text="&amp;ENCODEURL(O106),"واتساب 3"))</x:f>
      </x:c>
    </x:row>
    <x:row r="107" ht="15" hidden="0" customHeight="1">
      <x:c r="A107" s="12" t="str">
        <x:f>IF(Leads!A107="","",Leads!A107)</x:f>
      </x:c>
      <x:c r="B107" s="12" t="str">
        <x:f>IF(Leads!F107="","",Leads!F107)</x:f>
      </x:c>
      <x:c r="C107" s="12" t="str">
        <x:f>IF(Leads!G107="","",Leads!G107)</x:f>
      </x:c>
      <x:c r="D107" s="12" t="str">
        <x:f>IF(Leads!O107="","",Leads!O107)</x:f>
      </x:c>
      <x:c r="E107" s="12" t="str">
        <x:f>IF(Leads!AV107="","",Leads!AV107)</x:f>
      </x:c>
      <x:c r="F107" s="12" t="str">
        <x:f>IF(Leads!AX107="","",Leads!AX107)</x:f>
      </x:c>
      <x:c r="G107" s="12" t="str">
        <x:f>IF(Leads!BC107="","",Leads!BC107)</x:f>
      </x:c>
      <x:c r="H107" s="12" t="str">
        <x:f>IF(Leads!BE107="","",Leads!BE107)</x:f>
      </x:c>
      <x:c r="I107" s="12" t="str">
        <x:f>IF(Leads!BG107="","",Leads!BG107)</x:f>
      </x:c>
      <x:c r="J107" s="12" t="str">
        <x:f>IF(Leads!BH107="","",Leads!BH107)</x:f>
      </x:c>
      <x:c r="K107" s="12" t="str">
        <x:f>IF(A107="","","مرحبًا "&amp;C107&amp;CHAR(10)&amp;CHAR(10)&amp;"شكرًا لإتمام تقييم DBD الخاص بعيادة "&amp;B107&amp;"."&amp;CHAR(10)&amp;"نتيجتكم الحالية: "&amp;E107&amp;"%."&amp;CHAR(10)&amp;"أولوية التحسين الأولى: "&amp;F107&amp;"."&amp;IF(J107&lt;&gt;"",CHAR(10)&amp;CHAR(10)&amp;"رابط التقرير: "&amp;J107,"")&amp;CHAR(10)&amp;CHAR(10)&amp;"إذا أحببت، يمكننا مساعدتك في فهم التقرير وتحديد أفضل خطوة تالية لعيادتكم.")</x:f>
      </x:c>
      <x:c r="L107" s="12" t="str">
        <x:f>IF(D107="","",HYPERLINK("https://wa.me/"&amp;REGEXREPLACE(D107,"[^\d]","")&amp;"?text="&amp;ENCODEURL(K107),"واتساب 1"))</x:f>
      </x:c>
      <x:c r="M107" s="12" t="str">
        <x:f>IF(A107="","","مرحبًا "&amp;C107&amp;CHAR(10)&amp;CHAR(10)&amp;"بناءً على نتيجة تقييم عيادة "&amp;B107&amp;"، فإن الترشيح الأقوى لكم الآن هو: "&amp;G107&amp;"."&amp;CHAR(10)&amp;"هذا الخيار يساعدكم في معالجة أكبر فجوة حالية بشكل عملي ومباشر."&amp;IF(J107&lt;&gt;"",CHAR(10)&amp;CHAR(10)&amp;"رابط التقرير: "&amp;J107,"")&amp;CHAR(10)&amp;CHAR(10)&amp;"إذا رغبت، يمكننا توضيح لماذا هذا الكورس هو الأنسب لكم الآن.")</x:f>
      </x:c>
      <x:c r="N107" s="12" t="str">
        <x:f>IF(D107="","",HYPERLINK("https://wa.me/"&amp;REGEXREPLACE(D107,"[^\d]","")&amp;"?text="&amp;ENCODEURL(M107),"واتساب 2"))</x:f>
      </x:c>
      <x:c r="O107" s="12" t="str">
        <x:f>IF(A107="","","مرحبًا "&amp;C107&amp;CHAR(10)&amp;CHAR(10)&amp;"إذا كانت التحديات لديكم تحتاج حلًا أشمل، فالبرنامج الكامل المناسب لكم هو: "&amp;H107&amp;"."&amp;IF(I107&lt;&gt;"",CHAR(10)&amp;"كما يمكنكم أيضًا حجز: "&amp;I107&amp;".","")&amp;IF(J107&lt;&gt;"",CHAR(10)&amp;CHAR(10)&amp;"رابط التقرير: "&amp;J107,"")&amp;CHAR(10)&amp;CHAR(10)&amp;"يسعدنا مساعدتكم في اختيار المسار الأنسب حسب وضع العيادة الحالي.")</x:f>
      </x:c>
      <x:c r="P107" s="12" t="str">
        <x:f>IF(D107="","",HYPERLINK("https://wa.me/"&amp;REGEXREPLACE(D107,"[^\d]","")&amp;"?text="&amp;ENCODEURL(O107),"واتساب 3"))</x:f>
      </x:c>
    </x:row>
    <x:row r="108" ht="15" hidden="0" customHeight="1">
      <x:c r="A108" s="12" t="str">
        <x:f>IF(Leads!A108="","",Leads!A108)</x:f>
      </x:c>
      <x:c r="B108" s="12" t="str">
        <x:f>IF(Leads!F108="","",Leads!F108)</x:f>
      </x:c>
      <x:c r="C108" s="12" t="str">
        <x:f>IF(Leads!G108="","",Leads!G108)</x:f>
      </x:c>
      <x:c r="D108" s="12" t="str">
        <x:f>IF(Leads!O108="","",Leads!O108)</x:f>
      </x:c>
      <x:c r="E108" s="12" t="str">
        <x:f>IF(Leads!AV108="","",Leads!AV108)</x:f>
      </x:c>
      <x:c r="F108" s="12" t="str">
        <x:f>IF(Leads!AX108="","",Leads!AX108)</x:f>
      </x:c>
      <x:c r="G108" s="12" t="str">
        <x:f>IF(Leads!BC108="","",Leads!BC108)</x:f>
      </x:c>
      <x:c r="H108" s="12" t="str">
        <x:f>IF(Leads!BE108="","",Leads!BE108)</x:f>
      </x:c>
      <x:c r="I108" s="12" t="str">
        <x:f>IF(Leads!BG108="","",Leads!BG108)</x:f>
      </x:c>
      <x:c r="J108" s="12" t="str">
        <x:f>IF(Leads!BH108="","",Leads!BH108)</x:f>
      </x:c>
      <x:c r="K108" s="12" t="str">
        <x:f>IF(A108="","","مرحبًا "&amp;C108&amp;CHAR(10)&amp;CHAR(10)&amp;"شكرًا لإتمام تقييم DBD الخاص بعيادة "&amp;B108&amp;"."&amp;CHAR(10)&amp;"نتيجتكم الحالية: "&amp;E108&amp;"%."&amp;CHAR(10)&amp;"أولوية التحسين الأولى: "&amp;F108&amp;"."&amp;IF(J108&lt;&gt;"",CHAR(10)&amp;CHAR(10)&amp;"رابط التقرير: "&amp;J108,"")&amp;CHAR(10)&amp;CHAR(10)&amp;"إذا أحببت، يمكننا مساعدتك في فهم التقرير وتحديد أفضل خطوة تالية لعيادتكم.")</x:f>
      </x:c>
      <x:c r="L108" s="12" t="str">
        <x:f>IF(D108="","",HYPERLINK("https://wa.me/"&amp;REGEXREPLACE(D108,"[^\d]","")&amp;"?text="&amp;ENCODEURL(K108),"واتساب 1"))</x:f>
      </x:c>
      <x:c r="M108" s="12" t="str">
        <x:f>IF(A108="","","مرحبًا "&amp;C108&amp;CHAR(10)&amp;CHAR(10)&amp;"بناءً على نتيجة تقييم عيادة "&amp;B108&amp;"، فإن الترشيح الأقوى لكم الآن هو: "&amp;G108&amp;"."&amp;CHAR(10)&amp;"هذا الخيار يساعدكم في معالجة أكبر فجوة حالية بشكل عملي ومباشر."&amp;IF(J108&lt;&gt;"",CHAR(10)&amp;CHAR(10)&amp;"رابط التقرير: "&amp;J108,"")&amp;CHAR(10)&amp;CHAR(10)&amp;"إذا رغبت، يمكننا توضيح لماذا هذا الكورس هو الأنسب لكم الآن.")</x:f>
      </x:c>
      <x:c r="N108" s="12" t="str">
        <x:f>IF(D108="","",HYPERLINK("https://wa.me/"&amp;REGEXREPLACE(D108,"[^\d]","")&amp;"?text="&amp;ENCODEURL(M108),"واتساب 2"))</x:f>
      </x:c>
      <x:c r="O108" s="12" t="str">
        <x:f>IF(A108="","","مرحبًا "&amp;C108&amp;CHAR(10)&amp;CHAR(10)&amp;"إذا كانت التحديات لديكم تحتاج حلًا أشمل، فالبرنامج الكامل المناسب لكم هو: "&amp;H108&amp;"."&amp;IF(I108&lt;&gt;"",CHAR(10)&amp;"كما يمكنكم أيضًا حجز: "&amp;I108&amp;".","")&amp;IF(J108&lt;&gt;"",CHAR(10)&amp;CHAR(10)&amp;"رابط التقرير: "&amp;J108,"")&amp;CHAR(10)&amp;CHAR(10)&amp;"يسعدنا مساعدتكم في اختيار المسار الأنسب حسب وضع العيادة الحالي.")</x:f>
      </x:c>
      <x:c r="P108" s="12" t="str">
        <x:f>IF(D108="","",HYPERLINK("https://wa.me/"&amp;REGEXREPLACE(D108,"[^\d]","")&amp;"?text="&amp;ENCODEURL(O108),"واتساب 3"))</x:f>
      </x:c>
    </x:row>
    <x:row r="109" ht="15" hidden="0" customHeight="1">
      <x:c r="A109" s="12" t="str">
        <x:f>IF(Leads!A109="","",Leads!A109)</x:f>
      </x:c>
      <x:c r="B109" s="12" t="str">
        <x:f>IF(Leads!F109="","",Leads!F109)</x:f>
      </x:c>
      <x:c r="C109" s="12" t="str">
        <x:f>IF(Leads!G109="","",Leads!G109)</x:f>
      </x:c>
      <x:c r="D109" s="12" t="str">
        <x:f>IF(Leads!O109="","",Leads!O109)</x:f>
      </x:c>
      <x:c r="E109" s="12" t="str">
        <x:f>IF(Leads!AV109="","",Leads!AV109)</x:f>
      </x:c>
      <x:c r="F109" s="12" t="str">
        <x:f>IF(Leads!AX109="","",Leads!AX109)</x:f>
      </x:c>
      <x:c r="G109" s="12" t="str">
        <x:f>IF(Leads!BC109="","",Leads!BC109)</x:f>
      </x:c>
      <x:c r="H109" s="12" t="str">
        <x:f>IF(Leads!BE109="","",Leads!BE109)</x:f>
      </x:c>
      <x:c r="I109" s="12" t="str">
        <x:f>IF(Leads!BG109="","",Leads!BG109)</x:f>
      </x:c>
      <x:c r="J109" s="12" t="str">
        <x:f>IF(Leads!BH109="","",Leads!BH109)</x:f>
      </x:c>
      <x:c r="K109" s="12" t="str">
        <x:f>IF(A109="","","مرحبًا "&amp;C109&amp;CHAR(10)&amp;CHAR(10)&amp;"شكرًا لإتمام تقييم DBD الخاص بعيادة "&amp;B109&amp;"."&amp;CHAR(10)&amp;"نتيجتكم الحالية: "&amp;E109&amp;"%."&amp;CHAR(10)&amp;"أولوية التحسين الأولى: "&amp;F109&amp;"."&amp;IF(J109&lt;&gt;"",CHAR(10)&amp;CHAR(10)&amp;"رابط التقرير: "&amp;J109,"")&amp;CHAR(10)&amp;CHAR(10)&amp;"إذا أحببت، يمكننا مساعدتك في فهم التقرير وتحديد أفضل خطوة تالية لعيادتكم.")</x:f>
      </x:c>
      <x:c r="L109" s="12" t="str">
        <x:f>IF(D109="","",HYPERLINK("https://wa.me/"&amp;REGEXREPLACE(D109,"[^\d]","")&amp;"?text="&amp;ENCODEURL(K109),"واتساب 1"))</x:f>
      </x:c>
      <x:c r="M109" s="12" t="str">
        <x:f>IF(A109="","","مرحبًا "&amp;C109&amp;CHAR(10)&amp;CHAR(10)&amp;"بناءً على نتيجة تقييم عيادة "&amp;B109&amp;"، فإن الترشيح الأقوى لكم الآن هو: "&amp;G109&amp;"."&amp;CHAR(10)&amp;"هذا الخيار يساعدكم في معالجة أكبر فجوة حالية بشكل عملي ومباشر."&amp;IF(J109&lt;&gt;"",CHAR(10)&amp;CHAR(10)&amp;"رابط التقرير: "&amp;J109,"")&amp;CHAR(10)&amp;CHAR(10)&amp;"إذا رغبت، يمكننا توضيح لماذا هذا الكورس هو الأنسب لكم الآن.")</x:f>
      </x:c>
      <x:c r="N109" s="12" t="str">
        <x:f>IF(D109="","",HYPERLINK("https://wa.me/"&amp;REGEXREPLACE(D109,"[^\d]","")&amp;"?text="&amp;ENCODEURL(M109),"واتساب 2"))</x:f>
      </x:c>
      <x:c r="O109" s="12" t="str">
        <x:f>IF(A109="","","مرحبًا "&amp;C109&amp;CHAR(10)&amp;CHAR(10)&amp;"إذا كانت التحديات لديكم تحتاج حلًا أشمل، فالبرنامج الكامل المناسب لكم هو: "&amp;H109&amp;"."&amp;IF(I109&lt;&gt;"",CHAR(10)&amp;"كما يمكنكم أيضًا حجز: "&amp;I109&amp;".","")&amp;IF(J109&lt;&gt;"",CHAR(10)&amp;CHAR(10)&amp;"رابط التقرير: "&amp;J109,"")&amp;CHAR(10)&amp;CHAR(10)&amp;"يسعدنا مساعدتكم في اختيار المسار الأنسب حسب وضع العيادة الحالي.")</x:f>
      </x:c>
      <x:c r="P109" s="12" t="str">
        <x:f>IF(D109="","",HYPERLINK("https://wa.me/"&amp;REGEXREPLACE(D109,"[^\d]","")&amp;"?text="&amp;ENCODEURL(O109),"واتساب 3"))</x:f>
      </x:c>
    </x:row>
    <x:row r="110" ht="15" hidden="0" customHeight="1">
      <x:c r="A110" s="12" t="str">
        <x:f>IF(Leads!A110="","",Leads!A110)</x:f>
      </x:c>
      <x:c r="B110" s="12" t="str">
        <x:f>IF(Leads!F110="","",Leads!F110)</x:f>
      </x:c>
      <x:c r="C110" s="12" t="str">
        <x:f>IF(Leads!G110="","",Leads!G110)</x:f>
      </x:c>
      <x:c r="D110" s="12" t="str">
        <x:f>IF(Leads!O110="","",Leads!O110)</x:f>
      </x:c>
      <x:c r="E110" s="12" t="str">
        <x:f>IF(Leads!AV110="","",Leads!AV110)</x:f>
      </x:c>
      <x:c r="F110" s="12" t="str">
        <x:f>IF(Leads!AX110="","",Leads!AX110)</x:f>
      </x:c>
      <x:c r="G110" s="12" t="str">
        <x:f>IF(Leads!BC110="","",Leads!BC110)</x:f>
      </x:c>
      <x:c r="H110" s="12" t="str">
        <x:f>IF(Leads!BE110="","",Leads!BE110)</x:f>
      </x:c>
      <x:c r="I110" s="12" t="str">
        <x:f>IF(Leads!BG110="","",Leads!BG110)</x:f>
      </x:c>
      <x:c r="J110" s="12" t="str">
        <x:f>IF(Leads!BH110="","",Leads!BH110)</x:f>
      </x:c>
      <x:c r="K110" s="12" t="str">
        <x:f>IF(A110="","","مرحبًا "&amp;C110&amp;CHAR(10)&amp;CHAR(10)&amp;"شكرًا لإتمام تقييم DBD الخاص بعيادة "&amp;B110&amp;"."&amp;CHAR(10)&amp;"نتيجتكم الحالية: "&amp;E110&amp;"%."&amp;CHAR(10)&amp;"أولوية التحسين الأولى: "&amp;F110&amp;"."&amp;IF(J110&lt;&gt;"",CHAR(10)&amp;CHAR(10)&amp;"رابط التقرير: "&amp;J110,"")&amp;CHAR(10)&amp;CHAR(10)&amp;"إذا أحببت، يمكننا مساعدتك في فهم التقرير وتحديد أفضل خطوة تالية لعيادتكم.")</x:f>
      </x:c>
      <x:c r="L110" s="12" t="str">
        <x:f>IF(D110="","",HYPERLINK("https://wa.me/"&amp;REGEXREPLACE(D110,"[^\d]","")&amp;"?text="&amp;ENCODEURL(K110),"واتساب 1"))</x:f>
      </x:c>
      <x:c r="M110" s="12" t="str">
        <x:f>IF(A110="","","مرحبًا "&amp;C110&amp;CHAR(10)&amp;CHAR(10)&amp;"بناءً على نتيجة تقييم عيادة "&amp;B110&amp;"، فإن الترشيح الأقوى لكم الآن هو: "&amp;G110&amp;"."&amp;CHAR(10)&amp;"هذا الخيار يساعدكم في معالجة أكبر فجوة حالية بشكل عملي ومباشر."&amp;IF(J110&lt;&gt;"",CHAR(10)&amp;CHAR(10)&amp;"رابط التقرير: "&amp;J110,"")&amp;CHAR(10)&amp;CHAR(10)&amp;"إذا رغبت، يمكننا توضيح لماذا هذا الكورس هو الأنسب لكم الآن.")</x:f>
      </x:c>
      <x:c r="N110" s="12" t="str">
        <x:f>IF(D110="","",HYPERLINK("https://wa.me/"&amp;REGEXREPLACE(D110,"[^\d]","")&amp;"?text="&amp;ENCODEURL(M110),"واتساب 2"))</x:f>
      </x:c>
      <x:c r="O110" s="12" t="str">
        <x:f>IF(A110="","","مرحبًا "&amp;C110&amp;CHAR(10)&amp;CHAR(10)&amp;"إذا كانت التحديات لديكم تحتاج حلًا أشمل، فالبرنامج الكامل المناسب لكم هو: "&amp;H110&amp;"."&amp;IF(I110&lt;&gt;"",CHAR(10)&amp;"كما يمكنكم أيضًا حجز: "&amp;I110&amp;".","")&amp;IF(J110&lt;&gt;"",CHAR(10)&amp;CHAR(10)&amp;"رابط التقرير: "&amp;J110,"")&amp;CHAR(10)&amp;CHAR(10)&amp;"يسعدنا مساعدتكم في اختيار المسار الأنسب حسب وضع العيادة الحالي.")</x:f>
      </x:c>
      <x:c r="P110" s="12" t="str">
        <x:f>IF(D110="","",HYPERLINK("https://wa.me/"&amp;REGEXREPLACE(D110,"[^\d]","")&amp;"?text="&amp;ENCODEURL(O110),"واتساب 3"))</x:f>
      </x:c>
    </x:row>
    <x:row r="111" ht="15" hidden="0" customHeight="1">
      <x:c r="A111" s="12" t="str">
        <x:f>IF(Leads!A111="","",Leads!A111)</x:f>
      </x:c>
      <x:c r="B111" s="12" t="str">
        <x:f>IF(Leads!F111="","",Leads!F111)</x:f>
      </x:c>
      <x:c r="C111" s="12" t="str">
        <x:f>IF(Leads!G111="","",Leads!G111)</x:f>
      </x:c>
      <x:c r="D111" s="12" t="str">
        <x:f>IF(Leads!O111="","",Leads!O111)</x:f>
      </x:c>
      <x:c r="E111" s="12" t="str">
        <x:f>IF(Leads!AV111="","",Leads!AV111)</x:f>
      </x:c>
      <x:c r="F111" s="12" t="str">
        <x:f>IF(Leads!AX111="","",Leads!AX111)</x:f>
      </x:c>
      <x:c r="G111" s="12" t="str">
        <x:f>IF(Leads!BC111="","",Leads!BC111)</x:f>
      </x:c>
      <x:c r="H111" s="12" t="str">
        <x:f>IF(Leads!BE111="","",Leads!BE111)</x:f>
      </x:c>
      <x:c r="I111" s="12" t="str">
        <x:f>IF(Leads!BG111="","",Leads!BG111)</x:f>
      </x:c>
      <x:c r="J111" s="12" t="str">
        <x:f>IF(Leads!BH111="","",Leads!BH111)</x:f>
      </x:c>
      <x:c r="K111" s="12" t="str">
        <x:f>IF(A111="","","مرحبًا "&amp;C111&amp;CHAR(10)&amp;CHAR(10)&amp;"شكرًا لإتمام تقييم DBD الخاص بعيادة "&amp;B111&amp;"."&amp;CHAR(10)&amp;"نتيجتكم الحالية: "&amp;E111&amp;"%."&amp;CHAR(10)&amp;"أولوية التحسين الأولى: "&amp;F111&amp;"."&amp;IF(J111&lt;&gt;"",CHAR(10)&amp;CHAR(10)&amp;"رابط التقرير: "&amp;J111,"")&amp;CHAR(10)&amp;CHAR(10)&amp;"إذا أحببت، يمكننا مساعدتك في فهم التقرير وتحديد أفضل خطوة تالية لعيادتكم.")</x:f>
      </x:c>
      <x:c r="L111" s="12" t="str">
        <x:f>IF(D111="","",HYPERLINK("https://wa.me/"&amp;REGEXREPLACE(D111,"[^\d]","")&amp;"?text="&amp;ENCODEURL(K111),"واتساب 1"))</x:f>
      </x:c>
      <x:c r="M111" s="12" t="str">
        <x:f>IF(A111="","","مرحبًا "&amp;C111&amp;CHAR(10)&amp;CHAR(10)&amp;"بناءً على نتيجة تقييم عيادة "&amp;B111&amp;"، فإن الترشيح الأقوى لكم الآن هو: "&amp;G111&amp;"."&amp;CHAR(10)&amp;"هذا الخيار يساعدكم في معالجة أكبر فجوة حالية بشكل عملي ومباشر."&amp;IF(J111&lt;&gt;"",CHAR(10)&amp;CHAR(10)&amp;"رابط التقرير: "&amp;J111,"")&amp;CHAR(10)&amp;CHAR(10)&amp;"إذا رغبت، يمكننا توضيح لماذا هذا الكورس هو الأنسب لكم الآن.")</x:f>
      </x:c>
      <x:c r="N111" s="12" t="str">
        <x:f>IF(D111="","",HYPERLINK("https://wa.me/"&amp;REGEXREPLACE(D111,"[^\d]","")&amp;"?text="&amp;ENCODEURL(M111),"واتساب 2"))</x:f>
      </x:c>
      <x:c r="O111" s="12" t="str">
        <x:f>IF(A111="","","مرحبًا "&amp;C111&amp;CHAR(10)&amp;CHAR(10)&amp;"إذا كانت التحديات لديكم تحتاج حلًا أشمل، فالبرنامج الكامل المناسب لكم هو: "&amp;H111&amp;"."&amp;IF(I111&lt;&gt;"",CHAR(10)&amp;"كما يمكنكم أيضًا حجز: "&amp;I111&amp;".","")&amp;IF(J111&lt;&gt;"",CHAR(10)&amp;CHAR(10)&amp;"رابط التقرير: "&amp;J111,"")&amp;CHAR(10)&amp;CHAR(10)&amp;"يسعدنا مساعدتكم في اختيار المسار الأنسب حسب وضع العيادة الحالي.")</x:f>
      </x:c>
      <x:c r="P111" s="12" t="str">
        <x:f>IF(D111="","",HYPERLINK("https://wa.me/"&amp;REGEXREPLACE(D111,"[^\d]","")&amp;"?text="&amp;ENCODEURL(O111),"واتساب 3"))</x:f>
      </x:c>
    </x:row>
    <x:row r="112" ht="15" hidden="0" customHeight="1">
      <x:c r="A112" s="12" t="str">
        <x:f>IF(Leads!A112="","",Leads!A112)</x:f>
      </x:c>
      <x:c r="B112" s="12" t="str">
        <x:f>IF(Leads!F112="","",Leads!F112)</x:f>
      </x:c>
      <x:c r="C112" s="12" t="str">
        <x:f>IF(Leads!G112="","",Leads!G112)</x:f>
      </x:c>
      <x:c r="D112" s="12" t="str">
        <x:f>IF(Leads!O112="","",Leads!O112)</x:f>
      </x:c>
      <x:c r="E112" s="12" t="str">
        <x:f>IF(Leads!AV112="","",Leads!AV112)</x:f>
      </x:c>
      <x:c r="F112" s="12" t="str">
        <x:f>IF(Leads!AX112="","",Leads!AX112)</x:f>
      </x:c>
      <x:c r="G112" s="12" t="str">
        <x:f>IF(Leads!BC112="","",Leads!BC112)</x:f>
      </x:c>
      <x:c r="H112" s="12" t="str">
        <x:f>IF(Leads!BE112="","",Leads!BE112)</x:f>
      </x:c>
      <x:c r="I112" s="12" t="str">
        <x:f>IF(Leads!BG112="","",Leads!BG112)</x:f>
      </x:c>
      <x:c r="J112" s="12" t="str">
        <x:f>IF(Leads!BH112="","",Leads!BH112)</x:f>
      </x:c>
      <x:c r="K112" s="12" t="str">
        <x:f>IF(A112="","","مرحبًا "&amp;C112&amp;CHAR(10)&amp;CHAR(10)&amp;"شكرًا لإتمام تقييم DBD الخاص بعيادة "&amp;B112&amp;"."&amp;CHAR(10)&amp;"نتيجتكم الحالية: "&amp;E112&amp;"%."&amp;CHAR(10)&amp;"أولوية التحسين الأولى: "&amp;F112&amp;"."&amp;IF(J112&lt;&gt;"",CHAR(10)&amp;CHAR(10)&amp;"رابط التقرير: "&amp;J112,"")&amp;CHAR(10)&amp;CHAR(10)&amp;"إذا أحببت، يمكننا مساعدتك في فهم التقرير وتحديد أفضل خطوة تالية لعيادتكم.")</x:f>
      </x:c>
      <x:c r="L112" s="12" t="str">
        <x:f>IF(D112="","",HYPERLINK("https://wa.me/"&amp;REGEXREPLACE(D112,"[^\d]","")&amp;"?text="&amp;ENCODEURL(K112),"واتساب 1"))</x:f>
      </x:c>
      <x:c r="M112" s="12" t="str">
        <x:f>IF(A112="","","مرحبًا "&amp;C112&amp;CHAR(10)&amp;CHAR(10)&amp;"بناءً على نتيجة تقييم عيادة "&amp;B112&amp;"، فإن الترشيح الأقوى لكم الآن هو: "&amp;G112&amp;"."&amp;CHAR(10)&amp;"هذا الخيار يساعدكم في معالجة أكبر فجوة حالية بشكل عملي ومباشر."&amp;IF(J112&lt;&gt;"",CHAR(10)&amp;CHAR(10)&amp;"رابط التقرير: "&amp;J112,"")&amp;CHAR(10)&amp;CHAR(10)&amp;"إذا رغبت، يمكننا توضيح لماذا هذا الكورس هو الأنسب لكم الآن.")</x:f>
      </x:c>
      <x:c r="N112" s="12" t="str">
        <x:f>IF(D112="","",HYPERLINK("https://wa.me/"&amp;REGEXREPLACE(D112,"[^\d]","")&amp;"?text="&amp;ENCODEURL(M112),"واتساب 2"))</x:f>
      </x:c>
      <x:c r="O112" s="12" t="str">
        <x:f>IF(A112="","","مرحبًا "&amp;C112&amp;CHAR(10)&amp;CHAR(10)&amp;"إذا كانت التحديات لديكم تحتاج حلًا أشمل، فالبرنامج الكامل المناسب لكم هو: "&amp;H112&amp;"."&amp;IF(I112&lt;&gt;"",CHAR(10)&amp;"كما يمكنكم أيضًا حجز: "&amp;I112&amp;".","")&amp;IF(J112&lt;&gt;"",CHAR(10)&amp;CHAR(10)&amp;"رابط التقرير: "&amp;J112,"")&amp;CHAR(10)&amp;CHAR(10)&amp;"يسعدنا مساعدتكم في اختيار المسار الأنسب حسب وضع العيادة الحالي.")</x:f>
      </x:c>
      <x:c r="P112" s="12" t="str">
        <x:f>IF(D112="","",HYPERLINK("https://wa.me/"&amp;REGEXREPLACE(D112,"[^\d]","")&amp;"?text="&amp;ENCODEURL(O112),"واتساب 3"))</x:f>
      </x:c>
    </x:row>
    <x:row r="113" ht="15" hidden="0" customHeight="1">
      <x:c r="A113" s="12" t="str">
        <x:f>IF(Leads!A113="","",Leads!A113)</x:f>
      </x:c>
      <x:c r="B113" s="12" t="str">
        <x:f>IF(Leads!F113="","",Leads!F113)</x:f>
      </x:c>
      <x:c r="C113" s="12" t="str">
        <x:f>IF(Leads!G113="","",Leads!G113)</x:f>
      </x:c>
      <x:c r="D113" s="12" t="str">
        <x:f>IF(Leads!O113="","",Leads!O113)</x:f>
      </x:c>
      <x:c r="E113" s="12" t="str">
        <x:f>IF(Leads!AV113="","",Leads!AV113)</x:f>
      </x:c>
      <x:c r="F113" s="12" t="str">
        <x:f>IF(Leads!AX113="","",Leads!AX113)</x:f>
      </x:c>
      <x:c r="G113" s="12" t="str">
        <x:f>IF(Leads!BC113="","",Leads!BC113)</x:f>
      </x:c>
      <x:c r="H113" s="12" t="str">
        <x:f>IF(Leads!BE113="","",Leads!BE113)</x:f>
      </x:c>
      <x:c r="I113" s="12" t="str">
        <x:f>IF(Leads!BG113="","",Leads!BG113)</x:f>
      </x:c>
      <x:c r="J113" s="12" t="str">
        <x:f>IF(Leads!BH113="","",Leads!BH113)</x:f>
      </x:c>
      <x:c r="K113" s="12" t="str">
        <x:f>IF(A113="","","مرحبًا "&amp;C113&amp;CHAR(10)&amp;CHAR(10)&amp;"شكرًا لإتمام تقييم DBD الخاص بعيادة "&amp;B113&amp;"."&amp;CHAR(10)&amp;"نتيجتكم الحالية: "&amp;E113&amp;"%."&amp;CHAR(10)&amp;"أولوية التحسين الأولى: "&amp;F113&amp;"."&amp;IF(J113&lt;&gt;"",CHAR(10)&amp;CHAR(10)&amp;"رابط التقرير: "&amp;J113,"")&amp;CHAR(10)&amp;CHAR(10)&amp;"إذا أحببت، يمكننا مساعدتك في فهم التقرير وتحديد أفضل خطوة تالية لعيادتكم.")</x:f>
      </x:c>
      <x:c r="L113" s="12" t="str">
        <x:f>IF(D113="","",HYPERLINK("https://wa.me/"&amp;REGEXREPLACE(D113,"[^\d]","")&amp;"?text="&amp;ENCODEURL(K113),"واتساب 1"))</x:f>
      </x:c>
      <x:c r="M113" s="12" t="str">
        <x:f>IF(A113="","","مرحبًا "&amp;C113&amp;CHAR(10)&amp;CHAR(10)&amp;"بناءً على نتيجة تقييم عيادة "&amp;B113&amp;"، فإن الترشيح الأقوى لكم الآن هو: "&amp;G113&amp;"."&amp;CHAR(10)&amp;"هذا الخيار يساعدكم في معالجة أكبر فجوة حالية بشكل عملي ومباشر."&amp;IF(J113&lt;&gt;"",CHAR(10)&amp;CHAR(10)&amp;"رابط التقرير: "&amp;J113,"")&amp;CHAR(10)&amp;CHAR(10)&amp;"إذا رغبت، يمكننا توضيح لماذا هذا الكورس هو الأنسب لكم الآن.")</x:f>
      </x:c>
      <x:c r="N113" s="12" t="str">
        <x:f>IF(D113="","",HYPERLINK("https://wa.me/"&amp;REGEXREPLACE(D113,"[^\d]","")&amp;"?text="&amp;ENCODEURL(M113),"واتساب 2"))</x:f>
      </x:c>
      <x:c r="O113" s="12" t="str">
        <x:f>IF(A113="","","مرحبًا "&amp;C113&amp;CHAR(10)&amp;CHAR(10)&amp;"إذا كانت التحديات لديكم تحتاج حلًا أشمل، فالبرنامج الكامل المناسب لكم هو: "&amp;H113&amp;"."&amp;IF(I113&lt;&gt;"",CHAR(10)&amp;"كما يمكنكم أيضًا حجز: "&amp;I113&amp;".","")&amp;IF(J113&lt;&gt;"",CHAR(10)&amp;CHAR(10)&amp;"رابط التقرير: "&amp;J113,"")&amp;CHAR(10)&amp;CHAR(10)&amp;"يسعدنا مساعدتكم في اختيار المسار الأنسب حسب وضع العيادة الحالي.")</x:f>
      </x:c>
      <x:c r="P113" s="12" t="str">
        <x:f>IF(D113="","",HYPERLINK("https://wa.me/"&amp;REGEXREPLACE(D113,"[^\d]","")&amp;"?text="&amp;ENCODEURL(O113),"واتساب 3"))</x:f>
      </x:c>
    </x:row>
    <x:row r="114" ht="15" hidden="0" customHeight="1">
      <x:c r="A114" s="12" t="str">
        <x:f>IF(Leads!A114="","",Leads!A114)</x:f>
      </x:c>
      <x:c r="B114" s="12" t="str">
        <x:f>IF(Leads!F114="","",Leads!F114)</x:f>
      </x:c>
      <x:c r="C114" s="12" t="str">
        <x:f>IF(Leads!G114="","",Leads!G114)</x:f>
      </x:c>
      <x:c r="D114" s="12" t="str">
        <x:f>IF(Leads!O114="","",Leads!O114)</x:f>
      </x:c>
      <x:c r="E114" s="12" t="str">
        <x:f>IF(Leads!AV114="","",Leads!AV114)</x:f>
      </x:c>
      <x:c r="F114" s="12" t="str">
        <x:f>IF(Leads!AX114="","",Leads!AX114)</x:f>
      </x:c>
      <x:c r="G114" s="12" t="str">
        <x:f>IF(Leads!BC114="","",Leads!BC114)</x:f>
      </x:c>
      <x:c r="H114" s="12" t="str">
        <x:f>IF(Leads!BE114="","",Leads!BE114)</x:f>
      </x:c>
      <x:c r="I114" s="12" t="str">
        <x:f>IF(Leads!BG114="","",Leads!BG114)</x:f>
      </x:c>
      <x:c r="J114" s="12" t="str">
        <x:f>IF(Leads!BH114="","",Leads!BH114)</x:f>
      </x:c>
      <x:c r="K114" s="12" t="str">
        <x:f>IF(A114="","","مرحبًا "&amp;C114&amp;CHAR(10)&amp;CHAR(10)&amp;"شكرًا لإتمام تقييم DBD الخاص بعيادة "&amp;B114&amp;"."&amp;CHAR(10)&amp;"نتيجتكم الحالية: "&amp;E114&amp;"%."&amp;CHAR(10)&amp;"أولوية التحسين الأولى: "&amp;F114&amp;"."&amp;IF(J114&lt;&gt;"",CHAR(10)&amp;CHAR(10)&amp;"رابط التقرير: "&amp;J114,"")&amp;CHAR(10)&amp;CHAR(10)&amp;"إذا أحببت، يمكننا مساعدتك في فهم التقرير وتحديد أفضل خطوة تالية لعيادتكم.")</x:f>
      </x:c>
      <x:c r="L114" s="12" t="str">
        <x:f>IF(D114="","",HYPERLINK("https://wa.me/"&amp;REGEXREPLACE(D114,"[^\d]","")&amp;"?text="&amp;ENCODEURL(K114),"واتساب 1"))</x:f>
      </x:c>
      <x:c r="M114" s="12" t="str">
        <x:f>IF(A114="","","مرحبًا "&amp;C114&amp;CHAR(10)&amp;CHAR(10)&amp;"بناءً على نتيجة تقييم عيادة "&amp;B114&amp;"، فإن الترشيح الأقوى لكم الآن هو: "&amp;G114&amp;"."&amp;CHAR(10)&amp;"هذا الخيار يساعدكم في معالجة أكبر فجوة حالية بشكل عملي ومباشر."&amp;IF(J114&lt;&gt;"",CHAR(10)&amp;CHAR(10)&amp;"رابط التقرير: "&amp;J114,"")&amp;CHAR(10)&amp;CHAR(10)&amp;"إذا رغبت، يمكننا توضيح لماذا هذا الكورس هو الأنسب لكم الآن.")</x:f>
      </x:c>
      <x:c r="N114" s="12" t="str">
        <x:f>IF(D114="","",HYPERLINK("https://wa.me/"&amp;REGEXREPLACE(D114,"[^\d]","")&amp;"?text="&amp;ENCODEURL(M114),"واتساب 2"))</x:f>
      </x:c>
      <x:c r="O114" s="12" t="str">
        <x:f>IF(A114="","","مرحبًا "&amp;C114&amp;CHAR(10)&amp;CHAR(10)&amp;"إذا كانت التحديات لديكم تحتاج حلًا أشمل، فالبرنامج الكامل المناسب لكم هو: "&amp;H114&amp;"."&amp;IF(I114&lt;&gt;"",CHAR(10)&amp;"كما يمكنكم أيضًا حجز: "&amp;I114&amp;".","")&amp;IF(J114&lt;&gt;"",CHAR(10)&amp;CHAR(10)&amp;"رابط التقرير: "&amp;J114,"")&amp;CHAR(10)&amp;CHAR(10)&amp;"يسعدنا مساعدتكم في اختيار المسار الأنسب حسب وضع العيادة الحالي.")</x:f>
      </x:c>
      <x:c r="P114" s="12" t="str">
        <x:f>IF(D114="","",HYPERLINK("https://wa.me/"&amp;REGEXREPLACE(D114,"[^\d]","")&amp;"?text="&amp;ENCODEURL(O114),"واتساب 3"))</x:f>
      </x:c>
    </x:row>
    <x:row r="115" ht="15" hidden="0" customHeight="1">
      <x:c r="A115" s="12" t="str">
        <x:f>IF(Leads!A115="","",Leads!A115)</x:f>
      </x:c>
      <x:c r="B115" s="12" t="str">
        <x:f>IF(Leads!F115="","",Leads!F115)</x:f>
      </x:c>
      <x:c r="C115" s="12" t="str">
        <x:f>IF(Leads!G115="","",Leads!G115)</x:f>
      </x:c>
      <x:c r="D115" s="12" t="str">
        <x:f>IF(Leads!O115="","",Leads!O115)</x:f>
      </x:c>
      <x:c r="E115" s="12" t="str">
        <x:f>IF(Leads!AV115="","",Leads!AV115)</x:f>
      </x:c>
      <x:c r="F115" s="12" t="str">
        <x:f>IF(Leads!AX115="","",Leads!AX115)</x:f>
      </x:c>
      <x:c r="G115" s="12" t="str">
        <x:f>IF(Leads!BC115="","",Leads!BC115)</x:f>
      </x:c>
      <x:c r="H115" s="12" t="str">
        <x:f>IF(Leads!BE115="","",Leads!BE115)</x:f>
      </x:c>
      <x:c r="I115" s="12" t="str">
        <x:f>IF(Leads!BG115="","",Leads!BG115)</x:f>
      </x:c>
      <x:c r="J115" s="12" t="str">
        <x:f>IF(Leads!BH115="","",Leads!BH115)</x:f>
      </x:c>
      <x:c r="K115" s="12" t="str">
        <x:f>IF(A115="","","مرحبًا "&amp;C115&amp;CHAR(10)&amp;CHAR(10)&amp;"شكرًا لإتمام تقييم DBD الخاص بعيادة "&amp;B115&amp;"."&amp;CHAR(10)&amp;"نتيجتكم الحالية: "&amp;E115&amp;"%."&amp;CHAR(10)&amp;"أولوية التحسين الأولى: "&amp;F115&amp;"."&amp;IF(J115&lt;&gt;"",CHAR(10)&amp;CHAR(10)&amp;"رابط التقرير: "&amp;J115,"")&amp;CHAR(10)&amp;CHAR(10)&amp;"إذا أحببت، يمكننا مساعدتك في فهم التقرير وتحديد أفضل خطوة تالية لعيادتكم.")</x:f>
      </x:c>
      <x:c r="L115" s="12" t="str">
        <x:f>IF(D115="","",HYPERLINK("https://wa.me/"&amp;REGEXREPLACE(D115,"[^\d]","")&amp;"?text="&amp;ENCODEURL(K115),"واتساب 1"))</x:f>
      </x:c>
      <x:c r="M115" s="12" t="str">
        <x:f>IF(A115="","","مرحبًا "&amp;C115&amp;CHAR(10)&amp;CHAR(10)&amp;"بناءً على نتيجة تقييم عيادة "&amp;B115&amp;"، فإن الترشيح الأقوى لكم الآن هو: "&amp;G115&amp;"."&amp;CHAR(10)&amp;"هذا الخيار يساعدكم في معالجة أكبر فجوة حالية بشكل عملي ومباشر."&amp;IF(J115&lt;&gt;"",CHAR(10)&amp;CHAR(10)&amp;"رابط التقرير: "&amp;J115,"")&amp;CHAR(10)&amp;CHAR(10)&amp;"إذا رغبت، يمكننا توضيح لماذا هذا الكورس هو الأنسب لكم الآن.")</x:f>
      </x:c>
      <x:c r="N115" s="12" t="str">
        <x:f>IF(D115="","",HYPERLINK("https://wa.me/"&amp;REGEXREPLACE(D115,"[^\d]","")&amp;"?text="&amp;ENCODEURL(M115),"واتساب 2"))</x:f>
      </x:c>
      <x:c r="O115" s="12" t="str">
        <x:f>IF(A115="","","مرحبًا "&amp;C115&amp;CHAR(10)&amp;CHAR(10)&amp;"إذا كانت التحديات لديكم تحتاج حلًا أشمل، فالبرنامج الكامل المناسب لكم هو: "&amp;H115&amp;"."&amp;IF(I115&lt;&gt;"",CHAR(10)&amp;"كما يمكنكم أيضًا حجز: "&amp;I115&amp;".","")&amp;IF(J115&lt;&gt;"",CHAR(10)&amp;CHAR(10)&amp;"رابط التقرير: "&amp;J115,"")&amp;CHAR(10)&amp;CHAR(10)&amp;"يسعدنا مساعدتكم في اختيار المسار الأنسب حسب وضع العيادة الحالي.")</x:f>
      </x:c>
      <x:c r="P115" s="12" t="str">
        <x:f>IF(D115="","",HYPERLINK("https://wa.me/"&amp;REGEXREPLACE(D115,"[^\d]","")&amp;"?text="&amp;ENCODEURL(O115),"واتساب 3"))</x:f>
      </x:c>
    </x:row>
    <x:row r="116" ht="15" hidden="0" customHeight="1">
      <x:c r="A116" s="12" t="str">
        <x:f>IF(Leads!A116="","",Leads!A116)</x:f>
      </x:c>
      <x:c r="B116" s="12" t="str">
        <x:f>IF(Leads!F116="","",Leads!F116)</x:f>
      </x:c>
      <x:c r="C116" s="12" t="str">
        <x:f>IF(Leads!G116="","",Leads!G116)</x:f>
      </x:c>
      <x:c r="D116" s="12" t="str">
        <x:f>IF(Leads!O116="","",Leads!O116)</x:f>
      </x:c>
      <x:c r="E116" s="12" t="str">
        <x:f>IF(Leads!AV116="","",Leads!AV116)</x:f>
      </x:c>
      <x:c r="F116" s="12" t="str">
        <x:f>IF(Leads!AX116="","",Leads!AX116)</x:f>
      </x:c>
      <x:c r="G116" s="12" t="str">
        <x:f>IF(Leads!BC116="","",Leads!BC116)</x:f>
      </x:c>
      <x:c r="H116" s="12" t="str">
        <x:f>IF(Leads!BE116="","",Leads!BE116)</x:f>
      </x:c>
      <x:c r="I116" s="12" t="str">
        <x:f>IF(Leads!BG116="","",Leads!BG116)</x:f>
      </x:c>
      <x:c r="J116" s="12" t="str">
        <x:f>IF(Leads!BH116="","",Leads!BH116)</x:f>
      </x:c>
      <x:c r="K116" s="12" t="str">
        <x:f>IF(A116="","","مرحبًا "&amp;C116&amp;CHAR(10)&amp;CHAR(10)&amp;"شكرًا لإتمام تقييم DBD الخاص بعيادة "&amp;B116&amp;"."&amp;CHAR(10)&amp;"نتيجتكم الحالية: "&amp;E116&amp;"%."&amp;CHAR(10)&amp;"أولوية التحسين الأولى: "&amp;F116&amp;"."&amp;IF(J116&lt;&gt;"",CHAR(10)&amp;CHAR(10)&amp;"رابط التقرير: "&amp;J116,"")&amp;CHAR(10)&amp;CHAR(10)&amp;"إذا أحببت، يمكننا مساعدتك في فهم التقرير وتحديد أفضل خطوة تالية لعيادتكم.")</x:f>
      </x:c>
      <x:c r="L116" s="12" t="str">
        <x:f>IF(D116="","",HYPERLINK("https://wa.me/"&amp;REGEXREPLACE(D116,"[^\d]","")&amp;"?text="&amp;ENCODEURL(K116),"واتساب 1"))</x:f>
      </x:c>
      <x:c r="M116" s="12" t="str">
        <x:f>IF(A116="","","مرحبًا "&amp;C116&amp;CHAR(10)&amp;CHAR(10)&amp;"بناءً على نتيجة تقييم عيادة "&amp;B116&amp;"، فإن الترشيح الأقوى لكم الآن هو: "&amp;G116&amp;"."&amp;CHAR(10)&amp;"هذا الخيار يساعدكم في معالجة أكبر فجوة حالية بشكل عملي ومباشر."&amp;IF(J116&lt;&gt;"",CHAR(10)&amp;CHAR(10)&amp;"رابط التقرير: "&amp;J116,"")&amp;CHAR(10)&amp;CHAR(10)&amp;"إذا رغبت، يمكننا توضيح لماذا هذا الكورس هو الأنسب لكم الآن.")</x:f>
      </x:c>
      <x:c r="N116" s="12" t="str">
        <x:f>IF(D116="","",HYPERLINK("https://wa.me/"&amp;REGEXREPLACE(D116,"[^\d]","")&amp;"?text="&amp;ENCODEURL(M116),"واتساب 2"))</x:f>
      </x:c>
      <x:c r="O116" s="12" t="str">
        <x:f>IF(A116="","","مرحبًا "&amp;C116&amp;CHAR(10)&amp;CHAR(10)&amp;"إذا كانت التحديات لديكم تحتاج حلًا أشمل، فالبرنامج الكامل المناسب لكم هو: "&amp;H116&amp;"."&amp;IF(I116&lt;&gt;"",CHAR(10)&amp;"كما يمكنكم أيضًا حجز: "&amp;I116&amp;".","")&amp;IF(J116&lt;&gt;"",CHAR(10)&amp;CHAR(10)&amp;"رابط التقرير: "&amp;J116,"")&amp;CHAR(10)&amp;CHAR(10)&amp;"يسعدنا مساعدتكم في اختيار المسار الأنسب حسب وضع العيادة الحالي.")</x:f>
      </x:c>
      <x:c r="P116" s="12" t="str">
        <x:f>IF(D116="","",HYPERLINK("https://wa.me/"&amp;REGEXREPLACE(D116,"[^\d]","")&amp;"?text="&amp;ENCODEURL(O116),"واتساب 3"))</x:f>
      </x:c>
    </x:row>
    <x:row r="117" ht="15" hidden="0" customHeight="1">
      <x:c r="A117" s="12" t="str">
        <x:f>IF(Leads!A117="","",Leads!A117)</x:f>
      </x:c>
      <x:c r="B117" s="12" t="str">
        <x:f>IF(Leads!F117="","",Leads!F117)</x:f>
      </x:c>
      <x:c r="C117" s="12" t="str">
        <x:f>IF(Leads!G117="","",Leads!G117)</x:f>
      </x:c>
      <x:c r="D117" s="12" t="str">
        <x:f>IF(Leads!O117="","",Leads!O117)</x:f>
      </x:c>
      <x:c r="E117" s="12" t="str">
        <x:f>IF(Leads!AV117="","",Leads!AV117)</x:f>
      </x:c>
      <x:c r="F117" s="12" t="str">
        <x:f>IF(Leads!AX117="","",Leads!AX117)</x:f>
      </x:c>
      <x:c r="G117" s="12" t="str">
        <x:f>IF(Leads!BC117="","",Leads!BC117)</x:f>
      </x:c>
      <x:c r="H117" s="12" t="str">
        <x:f>IF(Leads!BE117="","",Leads!BE117)</x:f>
      </x:c>
      <x:c r="I117" s="12" t="str">
        <x:f>IF(Leads!BG117="","",Leads!BG117)</x:f>
      </x:c>
      <x:c r="J117" s="12" t="str">
        <x:f>IF(Leads!BH117="","",Leads!BH117)</x:f>
      </x:c>
      <x:c r="K117" s="12" t="str">
        <x:f>IF(A117="","","مرحبًا "&amp;C117&amp;CHAR(10)&amp;CHAR(10)&amp;"شكرًا لإتمام تقييم DBD الخاص بعيادة "&amp;B117&amp;"."&amp;CHAR(10)&amp;"نتيجتكم الحالية: "&amp;E117&amp;"%."&amp;CHAR(10)&amp;"أولوية التحسين الأولى: "&amp;F117&amp;"."&amp;IF(J117&lt;&gt;"",CHAR(10)&amp;CHAR(10)&amp;"رابط التقرير: "&amp;J117,"")&amp;CHAR(10)&amp;CHAR(10)&amp;"إذا أحببت، يمكننا مساعدتك في فهم التقرير وتحديد أفضل خطوة تالية لعيادتكم.")</x:f>
      </x:c>
      <x:c r="L117" s="12" t="str">
        <x:f>IF(D117="","",HYPERLINK("https://wa.me/"&amp;REGEXREPLACE(D117,"[^\d]","")&amp;"?text="&amp;ENCODEURL(K117),"واتساب 1"))</x:f>
      </x:c>
      <x:c r="M117" s="12" t="str">
        <x:f>IF(A117="","","مرحبًا "&amp;C117&amp;CHAR(10)&amp;CHAR(10)&amp;"بناءً على نتيجة تقييم عيادة "&amp;B117&amp;"، فإن الترشيح الأقوى لكم الآن هو: "&amp;G117&amp;"."&amp;CHAR(10)&amp;"هذا الخيار يساعدكم في معالجة أكبر فجوة حالية بشكل عملي ومباشر."&amp;IF(J117&lt;&gt;"",CHAR(10)&amp;CHAR(10)&amp;"رابط التقرير: "&amp;J117,"")&amp;CHAR(10)&amp;CHAR(10)&amp;"إذا رغبت، يمكننا توضيح لماذا هذا الكورس هو الأنسب لكم الآن.")</x:f>
      </x:c>
      <x:c r="N117" s="12" t="str">
        <x:f>IF(D117="","",HYPERLINK("https://wa.me/"&amp;REGEXREPLACE(D117,"[^\d]","")&amp;"?text="&amp;ENCODEURL(M117),"واتساب 2"))</x:f>
      </x:c>
      <x:c r="O117" s="12" t="str">
        <x:f>IF(A117="","","مرحبًا "&amp;C117&amp;CHAR(10)&amp;CHAR(10)&amp;"إذا كانت التحديات لديكم تحتاج حلًا أشمل، فالبرنامج الكامل المناسب لكم هو: "&amp;H117&amp;"."&amp;IF(I117&lt;&gt;"",CHAR(10)&amp;"كما يمكنكم أيضًا حجز: "&amp;I117&amp;".","")&amp;IF(J117&lt;&gt;"",CHAR(10)&amp;CHAR(10)&amp;"رابط التقرير: "&amp;J117,"")&amp;CHAR(10)&amp;CHAR(10)&amp;"يسعدنا مساعدتكم في اختيار المسار الأنسب حسب وضع العيادة الحالي.")</x:f>
      </x:c>
      <x:c r="P117" s="12" t="str">
        <x:f>IF(D117="","",HYPERLINK("https://wa.me/"&amp;REGEXREPLACE(D117,"[^\d]","")&amp;"?text="&amp;ENCODEURL(O117),"واتساب 3"))</x:f>
      </x:c>
    </x:row>
    <x:row r="118" ht="15" hidden="0" customHeight="1">
      <x:c r="A118" s="12" t="str">
        <x:f>IF(Leads!A118="","",Leads!A118)</x:f>
      </x:c>
      <x:c r="B118" s="12" t="str">
        <x:f>IF(Leads!F118="","",Leads!F118)</x:f>
      </x:c>
      <x:c r="C118" s="12" t="str">
        <x:f>IF(Leads!G118="","",Leads!G118)</x:f>
      </x:c>
      <x:c r="D118" s="12" t="str">
        <x:f>IF(Leads!O118="","",Leads!O118)</x:f>
      </x:c>
      <x:c r="E118" s="12" t="str">
        <x:f>IF(Leads!AV118="","",Leads!AV118)</x:f>
      </x:c>
      <x:c r="F118" s="12" t="str">
        <x:f>IF(Leads!AX118="","",Leads!AX118)</x:f>
      </x:c>
      <x:c r="G118" s="12" t="str">
        <x:f>IF(Leads!BC118="","",Leads!BC118)</x:f>
      </x:c>
      <x:c r="H118" s="12" t="str">
        <x:f>IF(Leads!BE118="","",Leads!BE118)</x:f>
      </x:c>
      <x:c r="I118" s="12" t="str">
        <x:f>IF(Leads!BG118="","",Leads!BG118)</x:f>
      </x:c>
      <x:c r="J118" s="12" t="str">
        <x:f>IF(Leads!BH118="","",Leads!BH118)</x:f>
      </x:c>
      <x:c r="K118" s="12" t="str">
        <x:f>IF(A118="","","مرحبًا "&amp;C118&amp;CHAR(10)&amp;CHAR(10)&amp;"شكرًا لإتمام تقييم DBD الخاص بعيادة "&amp;B118&amp;"."&amp;CHAR(10)&amp;"نتيجتكم الحالية: "&amp;E118&amp;"%."&amp;CHAR(10)&amp;"أولوية التحسين الأولى: "&amp;F118&amp;"."&amp;IF(J118&lt;&gt;"",CHAR(10)&amp;CHAR(10)&amp;"رابط التقرير: "&amp;J118,"")&amp;CHAR(10)&amp;CHAR(10)&amp;"إذا أحببت، يمكننا مساعدتك في فهم التقرير وتحديد أفضل خطوة تالية لعيادتكم.")</x:f>
      </x:c>
      <x:c r="L118" s="12" t="str">
        <x:f>IF(D118="","",HYPERLINK("https://wa.me/"&amp;REGEXREPLACE(D118,"[^\d]","")&amp;"?text="&amp;ENCODEURL(K118),"واتساب 1"))</x:f>
      </x:c>
      <x:c r="M118" s="12" t="str">
        <x:f>IF(A118="","","مرحبًا "&amp;C118&amp;CHAR(10)&amp;CHAR(10)&amp;"بناءً على نتيجة تقييم عيادة "&amp;B118&amp;"، فإن الترشيح الأقوى لكم الآن هو: "&amp;G118&amp;"."&amp;CHAR(10)&amp;"هذا الخيار يساعدكم في معالجة أكبر فجوة حالية بشكل عملي ومباشر."&amp;IF(J118&lt;&gt;"",CHAR(10)&amp;CHAR(10)&amp;"رابط التقرير: "&amp;J118,"")&amp;CHAR(10)&amp;CHAR(10)&amp;"إذا رغبت، يمكننا توضيح لماذا هذا الكورس هو الأنسب لكم الآن.")</x:f>
      </x:c>
      <x:c r="N118" s="12" t="str">
        <x:f>IF(D118="","",HYPERLINK("https://wa.me/"&amp;REGEXREPLACE(D118,"[^\d]","")&amp;"?text="&amp;ENCODEURL(M118),"واتساب 2"))</x:f>
      </x:c>
      <x:c r="O118" s="12" t="str">
        <x:f>IF(A118="","","مرحبًا "&amp;C118&amp;CHAR(10)&amp;CHAR(10)&amp;"إذا كانت التحديات لديكم تحتاج حلًا أشمل، فالبرنامج الكامل المناسب لكم هو: "&amp;H118&amp;"."&amp;IF(I118&lt;&gt;"",CHAR(10)&amp;"كما يمكنكم أيضًا حجز: "&amp;I118&amp;".","")&amp;IF(J118&lt;&gt;"",CHAR(10)&amp;CHAR(10)&amp;"رابط التقرير: "&amp;J118,"")&amp;CHAR(10)&amp;CHAR(10)&amp;"يسعدنا مساعدتكم في اختيار المسار الأنسب حسب وضع العيادة الحالي.")</x:f>
      </x:c>
      <x:c r="P118" s="12" t="str">
        <x:f>IF(D118="","",HYPERLINK("https://wa.me/"&amp;REGEXREPLACE(D118,"[^\d]","")&amp;"?text="&amp;ENCODEURL(O118),"واتساب 3"))</x:f>
      </x:c>
    </x:row>
    <x:row r="119" ht="15" hidden="0" customHeight="1">
      <x:c r="A119" s="12" t="str">
        <x:f>IF(Leads!A119="","",Leads!A119)</x:f>
      </x:c>
      <x:c r="B119" s="12" t="str">
        <x:f>IF(Leads!F119="","",Leads!F119)</x:f>
      </x:c>
      <x:c r="C119" s="12" t="str">
        <x:f>IF(Leads!G119="","",Leads!G119)</x:f>
      </x:c>
      <x:c r="D119" s="12" t="str">
        <x:f>IF(Leads!O119="","",Leads!O119)</x:f>
      </x:c>
      <x:c r="E119" s="12" t="str">
        <x:f>IF(Leads!AV119="","",Leads!AV119)</x:f>
      </x:c>
      <x:c r="F119" s="12" t="str">
        <x:f>IF(Leads!AX119="","",Leads!AX119)</x:f>
      </x:c>
      <x:c r="G119" s="12" t="str">
        <x:f>IF(Leads!BC119="","",Leads!BC119)</x:f>
      </x:c>
      <x:c r="H119" s="12" t="str">
        <x:f>IF(Leads!BE119="","",Leads!BE119)</x:f>
      </x:c>
      <x:c r="I119" s="12" t="str">
        <x:f>IF(Leads!BG119="","",Leads!BG119)</x:f>
      </x:c>
      <x:c r="J119" s="12" t="str">
        <x:f>IF(Leads!BH119="","",Leads!BH119)</x:f>
      </x:c>
      <x:c r="K119" s="12" t="str">
        <x:f>IF(A119="","","مرحبًا "&amp;C119&amp;CHAR(10)&amp;CHAR(10)&amp;"شكرًا لإتمام تقييم DBD الخاص بعيادة "&amp;B119&amp;"."&amp;CHAR(10)&amp;"نتيجتكم الحالية: "&amp;E119&amp;"%."&amp;CHAR(10)&amp;"أولوية التحسين الأولى: "&amp;F119&amp;"."&amp;IF(J119&lt;&gt;"",CHAR(10)&amp;CHAR(10)&amp;"رابط التقرير: "&amp;J119,"")&amp;CHAR(10)&amp;CHAR(10)&amp;"إذا أحببت، يمكننا مساعدتك في فهم التقرير وتحديد أفضل خطوة تالية لعيادتكم.")</x:f>
      </x:c>
      <x:c r="L119" s="12" t="str">
        <x:f>IF(D119="","",HYPERLINK("https://wa.me/"&amp;REGEXREPLACE(D119,"[^\d]","")&amp;"?text="&amp;ENCODEURL(K119),"واتساب 1"))</x:f>
      </x:c>
      <x:c r="M119" s="12" t="str">
        <x:f>IF(A119="","","مرحبًا "&amp;C119&amp;CHAR(10)&amp;CHAR(10)&amp;"بناءً على نتيجة تقييم عيادة "&amp;B119&amp;"، فإن الترشيح الأقوى لكم الآن هو: "&amp;G119&amp;"."&amp;CHAR(10)&amp;"هذا الخيار يساعدكم في معالجة أكبر فجوة حالية بشكل عملي ومباشر."&amp;IF(J119&lt;&gt;"",CHAR(10)&amp;CHAR(10)&amp;"رابط التقرير: "&amp;J119,"")&amp;CHAR(10)&amp;CHAR(10)&amp;"إذا رغبت، يمكننا توضيح لماذا هذا الكورس هو الأنسب لكم الآن.")</x:f>
      </x:c>
      <x:c r="N119" s="12" t="str">
        <x:f>IF(D119="","",HYPERLINK("https://wa.me/"&amp;REGEXREPLACE(D119,"[^\d]","")&amp;"?text="&amp;ENCODEURL(M119),"واتساب 2"))</x:f>
      </x:c>
      <x:c r="O119" s="12" t="str">
        <x:f>IF(A119="","","مرحبًا "&amp;C119&amp;CHAR(10)&amp;CHAR(10)&amp;"إذا كانت التحديات لديكم تحتاج حلًا أشمل، فالبرنامج الكامل المناسب لكم هو: "&amp;H119&amp;"."&amp;IF(I119&lt;&gt;"",CHAR(10)&amp;"كما يمكنكم أيضًا حجز: "&amp;I119&amp;".","")&amp;IF(J119&lt;&gt;"",CHAR(10)&amp;CHAR(10)&amp;"رابط التقرير: "&amp;J119,"")&amp;CHAR(10)&amp;CHAR(10)&amp;"يسعدنا مساعدتكم في اختيار المسار الأنسب حسب وضع العيادة الحالي.")</x:f>
      </x:c>
      <x:c r="P119" s="12" t="str">
        <x:f>IF(D119="","",HYPERLINK("https://wa.me/"&amp;REGEXREPLACE(D119,"[^\d]","")&amp;"?text="&amp;ENCODEURL(O119),"واتساب 3"))</x:f>
      </x:c>
    </x:row>
    <x:row r="120" ht="15" hidden="0" customHeight="1">
      <x:c r="A120" s="12" t="str">
        <x:f>IF(Leads!A120="","",Leads!A120)</x:f>
      </x:c>
      <x:c r="B120" s="12" t="str">
        <x:f>IF(Leads!F120="","",Leads!F120)</x:f>
      </x:c>
      <x:c r="C120" s="12" t="str">
        <x:f>IF(Leads!G120="","",Leads!G120)</x:f>
      </x:c>
      <x:c r="D120" s="12" t="str">
        <x:f>IF(Leads!O120="","",Leads!O120)</x:f>
      </x:c>
      <x:c r="E120" s="12" t="str">
        <x:f>IF(Leads!AV120="","",Leads!AV120)</x:f>
      </x:c>
      <x:c r="F120" s="12" t="str">
        <x:f>IF(Leads!AX120="","",Leads!AX120)</x:f>
      </x:c>
      <x:c r="G120" s="12" t="str">
        <x:f>IF(Leads!BC120="","",Leads!BC120)</x:f>
      </x:c>
      <x:c r="H120" s="12" t="str">
        <x:f>IF(Leads!BE120="","",Leads!BE120)</x:f>
      </x:c>
      <x:c r="I120" s="12" t="str">
        <x:f>IF(Leads!BG120="","",Leads!BG120)</x:f>
      </x:c>
      <x:c r="J120" s="12" t="str">
        <x:f>IF(Leads!BH120="","",Leads!BH120)</x:f>
      </x:c>
      <x:c r="K120" s="12" t="str">
        <x:f>IF(A120="","","مرحبًا "&amp;C120&amp;CHAR(10)&amp;CHAR(10)&amp;"شكرًا لإتمام تقييم DBD الخاص بعيادة "&amp;B120&amp;"."&amp;CHAR(10)&amp;"نتيجتكم الحالية: "&amp;E120&amp;"%."&amp;CHAR(10)&amp;"أولوية التحسين الأولى: "&amp;F120&amp;"."&amp;IF(J120&lt;&gt;"",CHAR(10)&amp;CHAR(10)&amp;"رابط التقرير: "&amp;J120,"")&amp;CHAR(10)&amp;CHAR(10)&amp;"إذا أحببت، يمكننا مساعدتك في فهم التقرير وتحديد أفضل خطوة تالية لعيادتكم.")</x:f>
      </x:c>
      <x:c r="L120" s="12" t="str">
        <x:f>IF(D120="","",HYPERLINK("https://wa.me/"&amp;REGEXREPLACE(D120,"[^\d]","")&amp;"?text="&amp;ENCODEURL(K120),"واتساب 1"))</x:f>
      </x:c>
      <x:c r="M120" s="12" t="str">
        <x:f>IF(A120="","","مرحبًا "&amp;C120&amp;CHAR(10)&amp;CHAR(10)&amp;"بناءً على نتيجة تقييم عيادة "&amp;B120&amp;"، فإن الترشيح الأقوى لكم الآن هو: "&amp;G120&amp;"."&amp;CHAR(10)&amp;"هذا الخيار يساعدكم في معالجة أكبر فجوة حالية بشكل عملي ومباشر."&amp;IF(J120&lt;&gt;"",CHAR(10)&amp;CHAR(10)&amp;"رابط التقرير: "&amp;J120,"")&amp;CHAR(10)&amp;CHAR(10)&amp;"إذا رغبت، يمكننا توضيح لماذا هذا الكورس هو الأنسب لكم الآن.")</x:f>
      </x:c>
      <x:c r="N120" s="12" t="str">
        <x:f>IF(D120="","",HYPERLINK("https://wa.me/"&amp;REGEXREPLACE(D120,"[^\d]","")&amp;"?text="&amp;ENCODEURL(M120),"واتساب 2"))</x:f>
      </x:c>
      <x:c r="O120" s="12" t="str">
        <x:f>IF(A120="","","مرحبًا "&amp;C120&amp;CHAR(10)&amp;CHAR(10)&amp;"إذا كانت التحديات لديكم تحتاج حلًا أشمل، فالبرنامج الكامل المناسب لكم هو: "&amp;H120&amp;"."&amp;IF(I120&lt;&gt;"",CHAR(10)&amp;"كما يمكنكم أيضًا حجز: "&amp;I120&amp;".","")&amp;IF(J120&lt;&gt;"",CHAR(10)&amp;CHAR(10)&amp;"رابط التقرير: "&amp;J120,"")&amp;CHAR(10)&amp;CHAR(10)&amp;"يسعدنا مساعدتكم في اختيار المسار الأنسب حسب وضع العيادة الحالي.")</x:f>
      </x:c>
      <x:c r="P120" s="12" t="str">
        <x:f>IF(D120="","",HYPERLINK("https://wa.me/"&amp;REGEXREPLACE(D120,"[^\d]","")&amp;"?text="&amp;ENCODEURL(O120),"واتساب 3"))</x:f>
      </x:c>
    </x:row>
    <x:row r="121" ht="15" hidden="0" customHeight="1">
      <x:c r="A121" s="12" t="str">
        <x:f>IF(Leads!A121="","",Leads!A121)</x:f>
      </x:c>
      <x:c r="B121" s="12" t="str">
        <x:f>IF(Leads!F121="","",Leads!F121)</x:f>
      </x:c>
      <x:c r="C121" s="12" t="str">
        <x:f>IF(Leads!G121="","",Leads!G121)</x:f>
      </x:c>
      <x:c r="D121" s="12" t="str">
        <x:f>IF(Leads!O121="","",Leads!O121)</x:f>
      </x:c>
      <x:c r="E121" s="12" t="str">
        <x:f>IF(Leads!AV121="","",Leads!AV121)</x:f>
      </x:c>
      <x:c r="F121" s="12" t="str">
        <x:f>IF(Leads!AX121="","",Leads!AX121)</x:f>
      </x:c>
      <x:c r="G121" s="12" t="str">
        <x:f>IF(Leads!BC121="","",Leads!BC121)</x:f>
      </x:c>
      <x:c r="H121" s="12" t="str">
        <x:f>IF(Leads!BE121="","",Leads!BE121)</x:f>
      </x:c>
      <x:c r="I121" s="12" t="str">
        <x:f>IF(Leads!BG121="","",Leads!BG121)</x:f>
      </x:c>
      <x:c r="J121" s="12" t="str">
        <x:f>IF(Leads!BH121="","",Leads!BH121)</x:f>
      </x:c>
      <x:c r="K121" s="12" t="str">
        <x:f>IF(A121="","","مرحبًا "&amp;C121&amp;CHAR(10)&amp;CHAR(10)&amp;"شكرًا لإتمام تقييم DBD الخاص بعيادة "&amp;B121&amp;"."&amp;CHAR(10)&amp;"نتيجتكم الحالية: "&amp;E121&amp;"%."&amp;CHAR(10)&amp;"أولوية التحسين الأولى: "&amp;F121&amp;"."&amp;IF(J121&lt;&gt;"",CHAR(10)&amp;CHAR(10)&amp;"رابط التقرير: "&amp;J121,"")&amp;CHAR(10)&amp;CHAR(10)&amp;"إذا أحببت، يمكننا مساعدتك في فهم التقرير وتحديد أفضل خطوة تالية لعيادتكم.")</x:f>
      </x:c>
      <x:c r="L121" s="12" t="str">
        <x:f>IF(D121="","",HYPERLINK("https://wa.me/"&amp;REGEXREPLACE(D121,"[^\d]","")&amp;"?text="&amp;ENCODEURL(K121),"واتساب 1"))</x:f>
      </x:c>
      <x:c r="M121" s="12" t="str">
        <x:f>IF(A121="","","مرحبًا "&amp;C121&amp;CHAR(10)&amp;CHAR(10)&amp;"بناءً على نتيجة تقييم عيادة "&amp;B121&amp;"، فإن الترشيح الأقوى لكم الآن هو: "&amp;G121&amp;"."&amp;CHAR(10)&amp;"هذا الخيار يساعدكم في معالجة أكبر فجوة حالية بشكل عملي ومباشر."&amp;IF(J121&lt;&gt;"",CHAR(10)&amp;CHAR(10)&amp;"رابط التقرير: "&amp;J121,"")&amp;CHAR(10)&amp;CHAR(10)&amp;"إذا رغبت، يمكننا توضيح لماذا هذا الكورس هو الأنسب لكم الآن.")</x:f>
      </x:c>
      <x:c r="N121" s="12" t="str">
        <x:f>IF(D121="","",HYPERLINK("https://wa.me/"&amp;REGEXREPLACE(D121,"[^\d]","")&amp;"?text="&amp;ENCODEURL(M121),"واتساب 2"))</x:f>
      </x:c>
      <x:c r="O121" s="12" t="str">
        <x:f>IF(A121="","","مرحبًا "&amp;C121&amp;CHAR(10)&amp;CHAR(10)&amp;"إذا كانت التحديات لديكم تحتاج حلًا أشمل، فالبرنامج الكامل المناسب لكم هو: "&amp;H121&amp;"."&amp;IF(I121&lt;&gt;"",CHAR(10)&amp;"كما يمكنكم أيضًا حجز: "&amp;I121&amp;".","")&amp;IF(J121&lt;&gt;"",CHAR(10)&amp;CHAR(10)&amp;"رابط التقرير: "&amp;J121,"")&amp;CHAR(10)&amp;CHAR(10)&amp;"يسعدنا مساعدتكم في اختيار المسار الأنسب حسب وضع العيادة الحالي.")</x:f>
      </x:c>
      <x:c r="P121" s="12" t="str">
        <x:f>IF(D121="","",HYPERLINK("https://wa.me/"&amp;REGEXREPLACE(D121,"[^\d]","")&amp;"?text="&amp;ENCODEURL(O121),"واتساب 3"))</x:f>
      </x:c>
    </x:row>
    <x:row r="122" ht="15" hidden="0" customHeight="1">
      <x:c r="A122" s="12" t="str">
        <x:f>IF(Leads!A122="","",Leads!A122)</x:f>
      </x:c>
      <x:c r="B122" s="12" t="str">
        <x:f>IF(Leads!F122="","",Leads!F122)</x:f>
      </x:c>
      <x:c r="C122" s="12" t="str">
        <x:f>IF(Leads!G122="","",Leads!G122)</x:f>
      </x:c>
      <x:c r="D122" s="12" t="str">
        <x:f>IF(Leads!O122="","",Leads!O122)</x:f>
      </x:c>
      <x:c r="E122" s="12" t="str">
        <x:f>IF(Leads!AV122="","",Leads!AV122)</x:f>
      </x:c>
      <x:c r="F122" s="12" t="str">
        <x:f>IF(Leads!AX122="","",Leads!AX122)</x:f>
      </x:c>
      <x:c r="G122" s="12" t="str">
        <x:f>IF(Leads!BC122="","",Leads!BC122)</x:f>
      </x:c>
      <x:c r="H122" s="12" t="str">
        <x:f>IF(Leads!BE122="","",Leads!BE122)</x:f>
      </x:c>
      <x:c r="I122" s="12" t="str">
        <x:f>IF(Leads!BG122="","",Leads!BG122)</x:f>
      </x:c>
      <x:c r="J122" s="12" t="str">
        <x:f>IF(Leads!BH122="","",Leads!BH122)</x:f>
      </x:c>
      <x:c r="K122" s="12" t="str">
        <x:f>IF(A122="","","مرحبًا "&amp;C122&amp;CHAR(10)&amp;CHAR(10)&amp;"شكرًا لإتمام تقييم DBD الخاص بعيادة "&amp;B122&amp;"."&amp;CHAR(10)&amp;"نتيجتكم الحالية: "&amp;E122&amp;"%."&amp;CHAR(10)&amp;"أولوية التحسين الأولى: "&amp;F122&amp;"."&amp;IF(J122&lt;&gt;"",CHAR(10)&amp;CHAR(10)&amp;"رابط التقرير: "&amp;J122,"")&amp;CHAR(10)&amp;CHAR(10)&amp;"إذا أحببت، يمكننا مساعدتك في فهم التقرير وتحديد أفضل خطوة تالية لعيادتكم.")</x:f>
      </x:c>
      <x:c r="L122" s="12" t="str">
        <x:f>IF(D122="","",HYPERLINK("https://wa.me/"&amp;REGEXREPLACE(D122,"[^\d]","")&amp;"?text="&amp;ENCODEURL(K122),"واتساب 1"))</x:f>
      </x:c>
      <x:c r="M122" s="12" t="str">
        <x:f>IF(A122="","","مرحبًا "&amp;C122&amp;CHAR(10)&amp;CHAR(10)&amp;"بناءً على نتيجة تقييم عيادة "&amp;B122&amp;"، فإن الترشيح الأقوى لكم الآن هو: "&amp;G122&amp;"."&amp;CHAR(10)&amp;"هذا الخيار يساعدكم في معالجة أكبر فجوة حالية بشكل عملي ومباشر."&amp;IF(J122&lt;&gt;"",CHAR(10)&amp;CHAR(10)&amp;"رابط التقرير: "&amp;J122,"")&amp;CHAR(10)&amp;CHAR(10)&amp;"إذا رغبت، يمكننا توضيح لماذا هذا الكورس هو الأنسب لكم الآن.")</x:f>
      </x:c>
      <x:c r="N122" s="12" t="str">
        <x:f>IF(D122="","",HYPERLINK("https://wa.me/"&amp;REGEXREPLACE(D122,"[^\d]","")&amp;"?text="&amp;ENCODEURL(M122),"واتساب 2"))</x:f>
      </x:c>
      <x:c r="O122" s="12" t="str">
        <x:f>IF(A122="","","مرحبًا "&amp;C122&amp;CHAR(10)&amp;CHAR(10)&amp;"إذا كانت التحديات لديكم تحتاج حلًا أشمل، فالبرنامج الكامل المناسب لكم هو: "&amp;H122&amp;"."&amp;IF(I122&lt;&gt;"",CHAR(10)&amp;"كما يمكنكم أيضًا حجز: "&amp;I122&amp;".","")&amp;IF(J122&lt;&gt;"",CHAR(10)&amp;CHAR(10)&amp;"رابط التقرير: "&amp;J122,"")&amp;CHAR(10)&amp;CHAR(10)&amp;"يسعدنا مساعدتكم في اختيار المسار الأنسب حسب وضع العيادة الحالي.")</x:f>
      </x:c>
      <x:c r="P122" s="12" t="str">
        <x:f>IF(D122="","",HYPERLINK("https://wa.me/"&amp;REGEXREPLACE(D122,"[^\d]","")&amp;"?text="&amp;ENCODEURL(O122),"واتساب 3"))</x:f>
      </x:c>
    </x:row>
    <x:row r="123" ht="15" hidden="0" customHeight="1">
      <x:c r="A123" s="12" t="str">
        <x:f>IF(Leads!A123="","",Leads!A123)</x:f>
      </x:c>
      <x:c r="B123" s="12" t="str">
        <x:f>IF(Leads!F123="","",Leads!F123)</x:f>
      </x:c>
      <x:c r="C123" s="12" t="str">
        <x:f>IF(Leads!G123="","",Leads!G123)</x:f>
      </x:c>
      <x:c r="D123" s="12" t="str">
        <x:f>IF(Leads!O123="","",Leads!O123)</x:f>
      </x:c>
      <x:c r="E123" s="12" t="str">
        <x:f>IF(Leads!AV123="","",Leads!AV123)</x:f>
      </x:c>
      <x:c r="F123" s="12" t="str">
        <x:f>IF(Leads!AX123="","",Leads!AX123)</x:f>
      </x:c>
      <x:c r="G123" s="12" t="str">
        <x:f>IF(Leads!BC123="","",Leads!BC123)</x:f>
      </x:c>
      <x:c r="H123" s="12" t="str">
        <x:f>IF(Leads!BE123="","",Leads!BE123)</x:f>
      </x:c>
      <x:c r="I123" s="12" t="str">
        <x:f>IF(Leads!BG123="","",Leads!BG123)</x:f>
      </x:c>
      <x:c r="J123" s="12" t="str">
        <x:f>IF(Leads!BH123="","",Leads!BH123)</x:f>
      </x:c>
      <x:c r="K123" s="12" t="str">
        <x:f>IF(A123="","","مرحبًا "&amp;C123&amp;CHAR(10)&amp;CHAR(10)&amp;"شكرًا لإتمام تقييم DBD الخاص بعيادة "&amp;B123&amp;"."&amp;CHAR(10)&amp;"نتيجتكم الحالية: "&amp;E123&amp;"%."&amp;CHAR(10)&amp;"أولوية التحسين الأولى: "&amp;F123&amp;"."&amp;IF(J123&lt;&gt;"",CHAR(10)&amp;CHAR(10)&amp;"رابط التقرير: "&amp;J123,"")&amp;CHAR(10)&amp;CHAR(10)&amp;"إذا أحببت، يمكننا مساعدتك في فهم التقرير وتحديد أفضل خطوة تالية لعيادتكم.")</x:f>
      </x:c>
      <x:c r="L123" s="12" t="str">
        <x:f>IF(D123="","",HYPERLINK("https://wa.me/"&amp;REGEXREPLACE(D123,"[^\d]","")&amp;"?text="&amp;ENCODEURL(K123),"واتساب 1"))</x:f>
      </x:c>
      <x:c r="M123" s="12" t="str">
        <x:f>IF(A123="","","مرحبًا "&amp;C123&amp;CHAR(10)&amp;CHAR(10)&amp;"بناءً على نتيجة تقييم عيادة "&amp;B123&amp;"، فإن الترشيح الأقوى لكم الآن هو: "&amp;G123&amp;"."&amp;CHAR(10)&amp;"هذا الخيار يساعدكم في معالجة أكبر فجوة حالية بشكل عملي ومباشر."&amp;IF(J123&lt;&gt;"",CHAR(10)&amp;CHAR(10)&amp;"رابط التقرير: "&amp;J123,"")&amp;CHAR(10)&amp;CHAR(10)&amp;"إذا رغبت، يمكننا توضيح لماذا هذا الكورس هو الأنسب لكم الآن.")</x:f>
      </x:c>
      <x:c r="N123" s="12" t="str">
        <x:f>IF(D123="","",HYPERLINK("https://wa.me/"&amp;REGEXREPLACE(D123,"[^\d]","")&amp;"?text="&amp;ENCODEURL(M123),"واتساب 2"))</x:f>
      </x:c>
      <x:c r="O123" s="12" t="str">
        <x:f>IF(A123="","","مرحبًا "&amp;C123&amp;CHAR(10)&amp;CHAR(10)&amp;"إذا كانت التحديات لديكم تحتاج حلًا أشمل، فالبرنامج الكامل المناسب لكم هو: "&amp;H123&amp;"."&amp;IF(I123&lt;&gt;"",CHAR(10)&amp;"كما يمكنكم أيضًا حجز: "&amp;I123&amp;".","")&amp;IF(J123&lt;&gt;"",CHAR(10)&amp;CHAR(10)&amp;"رابط التقرير: "&amp;J123,"")&amp;CHAR(10)&amp;CHAR(10)&amp;"يسعدنا مساعدتكم في اختيار المسار الأنسب حسب وضع العيادة الحالي.")</x:f>
      </x:c>
      <x:c r="P123" s="12" t="str">
        <x:f>IF(D123="","",HYPERLINK("https://wa.me/"&amp;REGEXREPLACE(D123,"[^\d]","")&amp;"?text="&amp;ENCODEURL(O123),"واتساب 3"))</x:f>
      </x:c>
    </x:row>
    <x:row r="124" ht="15" hidden="0" customHeight="1">
      <x:c r="A124" s="12" t="str">
        <x:f>IF(Leads!A124="","",Leads!A124)</x:f>
      </x:c>
      <x:c r="B124" s="12" t="str">
        <x:f>IF(Leads!F124="","",Leads!F124)</x:f>
      </x:c>
      <x:c r="C124" s="12" t="str">
        <x:f>IF(Leads!G124="","",Leads!G124)</x:f>
      </x:c>
      <x:c r="D124" s="12" t="str">
        <x:f>IF(Leads!O124="","",Leads!O124)</x:f>
      </x:c>
      <x:c r="E124" s="12" t="str">
        <x:f>IF(Leads!AV124="","",Leads!AV124)</x:f>
      </x:c>
      <x:c r="F124" s="12" t="str">
        <x:f>IF(Leads!AX124="","",Leads!AX124)</x:f>
      </x:c>
      <x:c r="G124" s="12" t="str">
        <x:f>IF(Leads!BC124="","",Leads!BC124)</x:f>
      </x:c>
      <x:c r="H124" s="12" t="str">
        <x:f>IF(Leads!BE124="","",Leads!BE124)</x:f>
      </x:c>
      <x:c r="I124" s="12" t="str">
        <x:f>IF(Leads!BG124="","",Leads!BG124)</x:f>
      </x:c>
      <x:c r="J124" s="12" t="str">
        <x:f>IF(Leads!BH124="","",Leads!BH124)</x:f>
      </x:c>
      <x:c r="K124" s="12" t="str">
        <x:f>IF(A124="","","مرحبًا "&amp;C124&amp;CHAR(10)&amp;CHAR(10)&amp;"شكرًا لإتمام تقييم DBD الخاص بعيادة "&amp;B124&amp;"."&amp;CHAR(10)&amp;"نتيجتكم الحالية: "&amp;E124&amp;"%."&amp;CHAR(10)&amp;"أولوية التحسين الأولى: "&amp;F124&amp;"."&amp;IF(J124&lt;&gt;"",CHAR(10)&amp;CHAR(10)&amp;"رابط التقرير: "&amp;J124,"")&amp;CHAR(10)&amp;CHAR(10)&amp;"إذا أحببت، يمكننا مساعدتك في فهم التقرير وتحديد أفضل خطوة تالية لعيادتكم.")</x:f>
      </x:c>
      <x:c r="L124" s="12" t="str">
        <x:f>IF(D124="","",HYPERLINK("https://wa.me/"&amp;REGEXREPLACE(D124,"[^\d]","")&amp;"?text="&amp;ENCODEURL(K124),"واتساب 1"))</x:f>
      </x:c>
      <x:c r="M124" s="12" t="str">
        <x:f>IF(A124="","","مرحبًا "&amp;C124&amp;CHAR(10)&amp;CHAR(10)&amp;"بناءً على نتيجة تقييم عيادة "&amp;B124&amp;"، فإن الترشيح الأقوى لكم الآن هو: "&amp;G124&amp;"."&amp;CHAR(10)&amp;"هذا الخيار يساعدكم في معالجة أكبر فجوة حالية بشكل عملي ومباشر."&amp;IF(J124&lt;&gt;"",CHAR(10)&amp;CHAR(10)&amp;"رابط التقرير: "&amp;J124,"")&amp;CHAR(10)&amp;CHAR(10)&amp;"إذا رغبت، يمكننا توضيح لماذا هذا الكورس هو الأنسب لكم الآن.")</x:f>
      </x:c>
      <x:c r="N124" s="12" t="str">
        <x:f>IF(D124="","",HYPERLINK("https://wa.me/"&amp;REGEXREPLACE(D124,"[^\d]","")&amp;"?text="&amp;ENCODEURL(M124),"واتساب 2"))</x:f>
      </x:c>
      <x:c r="O124" s="12" t="str">
        <x:f>IF(A124="","","مرحبًا "&amp;C124&amp;CHAR(10)&amp;CHAR(10)&amp;"إذا كانت التحديات لديكم تحتاج حلًا أشمل، فالبرنامج الكامل المناسب لكم هو: "&amp;H124&amp;"."&amp;IF(I124&lt;&gt;"",CHAR(10)&amp;"كما يمكنكم أيضًا حجز: "&amp;I124&amp;".","")&amp;IF(J124&lt;&gt;"",CHAR(10)&amp;CHAR(10)&amp;"رابط التقرير: "&amp;J124,"")&amp;CHAR(10)&amp;CHAR(10)&amp;"يسعدنا مساعدتكم في اختيار المسار الأنسب حسب وضع العيادة الحالي.")</x:f>
      </x:c>
      <x:c r="P124" s="12" t="str">
        <x:f>IF(D124="","",HYPERLINK("https://wa.me/"&amp;REGEXREPLACE(D124,"[^\d]","")&amp;"?text="&amp;ENCODEURL(O124),"واتساب 3"))</x:f>
      </x:c>
    </x:row>
    <x:row r="125" ht="15" hidden="0" customHeight="1">
      <x:c r="A125" s="12" t="str">
        <x:f>IF(Leads!A125="","",Leads!A125)</x:f>
      </x:c>
      <x:c r="B125" s="12" t="str">
        <x:f>IF(Leads!F125="","",Leads!F125)</x:f>
      </x:c>
      <x:c r="C125" s="12" t="str">
        <x:f>IF(Leads!G125="","",Leads!G125)</x:f>
      </x:c>
      <x:c r="D125" s="12" t="str">
        <x:f>IF(Leads!O125="","",Leads!O125)</x:f>
      </x:c>
      <x:c r="E125" s="12" t="str">
        <x:f>IF(Leads!AV125="","",Leads!AV125)</x:f>
      </x:c>
      <x:c r="F125" s="12" t="str">
        <x:f>IF(Leads!AX125="","",Leads!AX125)</x:f>
      </x:c>
      <x:c r="G125" s="12" t="str">
        <x:f>IF(Leads!BC125="","",Leads!BC125)</x:f>
      </x:c>
      <x:c r="H125" s="12" t="str">
        <x:f>IF(Leads!BE125="","",Leads!BE125)</x:f>
      </x:c>
      <x:c r="I125" s="12" t="str">
        <x:f>IF(Leads!BG125="","",Leads!BG125)</x:f>
      </x:c>
      <x:c r="J125" s="12" t="str">
        <x:f>IF(Leads!BH125="","",Leads!BH125)</x:f>
      </x:c>
      <x:c r="K125" s="12" t="str">
        <x:f>IF(A125="","","مرحبًا "&amp;C125&amp;CHAR(10)&amp;CHAR(10)&amp;"شكرًا لإتمام تقييم DBD الخاص بعيادة "&amp;B125&amp;"."&amp;CHAR(10)&amp;"نتيجتكم الحالية: "&amp;E125&amp;"%."&amp;CHAR(10)&amp;"أولوية التحسين الأولى: "&amp;F125&amp;"."&amp;IF(J125&lt;&gt;"",CHAR(10)&amp;CHAR(10)&amp;"رابط التقرير: "&amp;J125,"")&amp;CHAR(10)&amp;CHAR(10)&amp;"إذا أحببت، يمكننا مساعدتك في فهم التقرير وتحديد أفضل خطوة تالية لعيادتكم.")</x:f>
      </x:c>
      <x:c r="L125" s="12" t="str">
        <x:f>IF(D125="","",HYPERLINK("https://wa.me/"&amp;REGEXREPLACE(D125,"[^\d]","")&amp;"?text="&amp;ENCODEURL(K125),"واتساب 1"))</x:f>
      </x:c>
      <x:c r="M125" s="12" t="str">
        <x:f>IF(A125="","","مرحبًا "&amp;C125&amp;CHAR(10)&amp;CHAR(10)&amp;"بناءً على نتيجة تقييم عيادة "&amp;B125&amp;"، فإن الترشيح الأقوى لكم الآن هو: "&amp;G125&amp;"."&amp;CHAR(10)&amp;"هذا الخيار يساعدكم في معالجة أكبر فجوة حالية بشكل عملي ومباشر."&amp;IF(J125&lt;&gt;"",CHAR(10)&amp;CHAR(10)&amp;"رابط التقرير: "&amp;J125,"")&amp;CHAR(10)&amp;CHAR(10)&amp;"إذا رغبت، يمكننا توضيح لماذا هذا الكورس هو الأنسب لكم الآن.")</x:f>
      </x:c>
      <x:c r="N125" s="12" t="str">
        <x:f>IF(D125="","",HYPERLINK("https://wa.me/"&amp;REGEXREPLACE(D125,"[^\d]","")&amp;"?text="&amp;ENCODEURL(M125),"واتساب 2"))</x:f>
      </x:c>
      <x:c r="O125" s="12" t="str">
        <x:f>IF(A125="","","مرحبًا "&amp;C125&amp;CHAR(10)&amp;CHAR(10)&amp;"إذا كانت التحديات لديكم تحتاج حلًا أشمل، فالبرنامج الكامل المناسب لكم هو: "&amp;H125&amp;"."&amp;IF(I125&lt;&gt;"",CHAR(10)&amp;"كما يمكنكم أيضًا حجز: "&amp;I125&amp;".","")&amp;IF(J125&lt;&gt;"",CHAR(10)&amp;CHAR(10)&amp;"رابط التقرير: "&amp;J125,"")&amp;CHAR(10)&amp;CHAR(10)&amp;"يسعدنا مساعدتكم في اختيار المسار الأنسب حسب وضع العيادة الحالي.")</x:f>
      </x:c>
      <x:c r="P125" s="12" t="str">
        <x:f>IF(D125="","",HYPERLINK("https://wa.me/"&amp;REGEXREPLACE(D125,"[^\d]","")&amp;"?text="&amp;ENCODEURL(O125),"واتساب 3"))</x:f>
      </x:c>
    </x:row>
    <x:row r="126" ht="15" hidden="0" customHeight="1">
      <x:c r="A126" s="12" t="str">
        <x:f>IF(Leads!A126="","",Leads!A126)</x:f>
      </x:c>
      <x:c r="B126" s="12" t="str">
        <x:f>IF(Leads!F126="","",Leads!F126)</x:f>
      </x:c>
      <x:c r="C126" s="12" t="str">
        <x:f>IF(Leads!G126="","",Leads!G126)</x:f>
      </x:c>
      <x:c r="D126" s="12" t="str">
        <x:f>IF(Leads!O126="","",Leads!O126)</x:f>
      </x:c>
      <x:c r="E126" s="12" t="str">
        <x:f>IF(Leads!AV126="","",Leads!AV126)</x:f>
      </x:c>
      <x:c r="F126" s="12" t="str">
        <x:f>IF(Leads!AX126="","",Leads!AX126)</x:f>
      </x:c>
      <x:c r="G126" s="12" t="str">
        <x:f>IF(Leads!BC126="","",Leads!BC126)</x:f>
      </x:c>
      <x:c r="H126" s="12" t="str">
        <x:f>IF(Leads!BE126="","",Leads!BE126)</x:f>
      </x:c>
      <x:c r="I126" s="12" t="str">
        <x:f>IF(Leads!BG126="","",Leads!BG126)</x:f>
      </x:c>
      <x:c r="J126" s="12" t="str">
        <x:f>IF(Leads!BH126="","",Leads!BH126)</x:f>
      </x:c>
      <x:c r="K126" s="12" t="str">
        <x:f>IF(A126="","","مرحبًا "&amp;C126&amp;CHAR(10)&amp;CHAR(10)&amp;"شكرًا لإتمام تقييم DBD الخاص بعيادة "&amp;B126&amp;"."&amp;CHAR(10)&amp;"نتيجتكم الحالية: "&amp;E126&amp;"%."&amp;CHAR(10)&amp;"أولوية التحسين الأولى: "&amp;F126&amp;"."&amp;IF(J126&lt;&gt;"",CHAR(10)&amp;CHAR(10)&amp;"رابط التقرير: "&amp;J126,"")&amp;CHAR(10)&amp;CHAR(10)&amp;"إذا أحببت، يمكننا مساعدتك في فهم التقرير وتحديد أفضل خطوة تالية لعيادتكم.")</x:f>
      </x:c>
      <x:c r="L126" s="12" t="str">
        <x:f>IF(D126="","",HYPERLINK("https://wa.me/"&amp;REGEXREPLACE(D126,"[^\d]","")&amp;"?text="&amp;ENCODEURL(K126),"واتساب 1"))</x:f>
      </x:c>
      <x:c r="M126" s="12" t="str">
        <x:f>IF(A126="","","مرحبًا "&amp;C126&amp;CHAR(10)&amp;CHAR(10)&amp;"بناءً على نتيجة تقييم عيادة "&amp;B126&amp;"، فإن الترشيح الأقوى لكم الآن هو: "&amp;G126&amp;"."&amp;CHAR(10)&amp;"هذا الخيار يساعدكم في معالجة أكبر فجوة حالية بشكل عملي ومباشر."&amp;IF(J126&lt;&gt;"",CHAR(10)&amp;CHAR(10)&amp;"رابط التقرير: "&amp;J126,"")&amp;CHAR(10)&amp;CHAR(10)&amp;"إذا رغبت، يمكننا توضيح لماذا هذا الكورس هو الأنسب لكم الآن.")</x:f>
      </x:c>
      <x:c r="N126" s="12" t="str">
        <x:f>IF(D126="","",HYPERLINK("https://wa.me/"&amp;REGEXREPLACE(D126,"[^\d]","")&amp;"?text="&amp;ENCODEURL(M126),"واتساب 2"))</x:f>
      </x:c>
      <x:c r="O126" s="12" t="str">
        <x:f>IF(A126="","","مرحبًا "&amp;C126&amp;CHAR(10)&amp;CHAR(10)&amp;"إذا كانت التحديات لديكم تحتاج حلًا أشمل، فالبرنامج الكامل المناسب لكم هو: "&amp;H126&amp;"."&amp;IF(I126&lt;&gt;"",CHAR(10)&amp;"كما يمكنكم أيضًا حجز: "&amp;I126&amp;".","")&amp;IF(J126&lt;&gt;"",CHAR(10)&amp;CHAR(10)&amp;"رابط التقرير: "&amp;J126,"")&amp;CHAR(10)&amp;CHAR(10)&amp;"يسعدنا مساعدتكم في اختيار المسار الأنسب حسب وضع العيادة الحالي.")</x:f>
      </x:c>
      <x:c r="P126" s="12" t="str">
        <x:f>IF(D126="","",HYPERLINK("https://wa.me/"&amp;REGEXREPLACE(D126,"[^\d]","")&amp;"?text="&amp;ENCODEURL(O126),"واتساب 3"))</x:f>
      </x:c>
    </x:row>
    <x:row r="127" ht="15" hidden="0" customHeight="1">
      <x:c r="A127" s="12" t="str">
        <x:f>IF(Leads!A127="","",Leads!A127)</x:f>
      </x:c>
      <x:c r="B127" s="12" t="str">
        <x:f>IF(Leads!F127="","",Leads!F127)</x:f>
      </x:c>
      <x:c r="C127" s="12" t="str">
        <x:f>IF(Leads!G127="","",Leads!G127)</x:f>
      </x:c>
      <x:c r="D127" s="12" t="str">
        <x:f>IF(Leads!O127="","",Leads!O127)</x:f>
      </x:c>
      <x:c r="E127" s="12" t="str">
        <x:f>IF(Leads!AV127="","",Leads!AV127)</x:f>
      </x:c>
      <x:c r="F127" s="12" t="str">
        <x:f>IF(Leads!AX127="","",Leads!AX127)</x:f>
      </x:c>
      <x:c r="G127" s="12" t="str">
        <x:f>IF(Leads!BC127="","",Leads!BC127)</x:f>
      </x:c>
      <x:c r="H127" s="12" t="str">
        <x:f>IF(Leads!BE127="","",Leads!BE127)</x:f>
      </x:c>
      <x:c r="I127" s="12" t="str">
        <x:f>IF(Leads!BG127="","",Leads!BG127)</x:f>
      </x:c>
      <x:c r="J127" s="12" t="str">
        <x:f>IF(Leads!BH127="","",Leads!BH127)</x:f>
      </x:c>
      <x:c r="K127" s="12" t="str">
        <x:f>IF(A127="","","مرحبًا "&amp;C127&amp;CHAR(10)&amp;CHAR(10)&amp;"شكرًا لإتمام تقييم DBD الخاص بعيادة "&amp;B127&amp;"."&amp;CHAR(10)&amp;"نتيجتكم الحالية: "&amp;E127&amp;"%."&amp;CHAR(10)&amp;"أولوية التحسين الأولى: "&amp;F127&amp;"."&amp;IF(J127&lt;&gt;"",CHAR(10)&amp;CHAR(10)&amp;"رابط التقرير: "&amp;J127,"")&amp;CHAR(10)&amp;CHAR(10)&amp;"إذا أحببت، يمكننا مساعدتك في فهم التقرير وتحديد أفضل خطوة تالية لعيادتكم.")</x:f>
      </x:c>
      <x:c r="L127" s="12" t="str">
        <x:f>IF(D127="","",HYPERLINK("https://wa.me/"&amp;REGEXREPLACE(D127,"[^\d]","")&amp;"?text="&amp;ENCODEURL(K127),"واتساب 1"))</x:f>
      </x:c>
      <x:c r="M127" s="12" t="str">
        <x:f>IF(A127="","","مرحبًا "&amp;C127&amp;CHAR(10)&amp;CHAR(10)&amp;"بناءً على نتيجة تقييم عيادة "&amp;B127&amp;"، فإن الترشيح الأقوى لكم الآن هو: "&amp;G127&amp;"."&amp;CHAR(10)&amp;"هذا الخيار يساعدكم في معالجة أكبر فجوة حالية بشكل عملي ومباشر."&amp;IF(J127&lt;&gt;"",CHAR(10)&amp;CHAR(10)&amp;"رابط التقرير: "&amp;J127,"")&amp;CHAR(10)&amp;CHAR(10)&amp;"إذا رغبت، يمكننا توضيح لماذا هذا الكورس هو الأنسب لكم الآن.")</x:f>
      </x:c>
      <x:c r="N127" s="12" t="str">
        <x:f>IF(D127="","",HYPERLINK("https://wa.me/"&amp;REGEXREPLACE(D127,"[^\d]","")&amp;"?text="&amp;ENCODEURL(M127),"واتساب 2"))</x:f>
      </x:c>
      <x:c r="O127" s="12" t="str">
        <x:f>IF(A127="","","مرحبًا "&amp;C127&amp;CHAR(10)&amp;CHAR(10)&amp;"إذا كانت التحديات لديكم تحتاج حلًا أشمل، فالبرنامج الكامل المناسب لكم هو: "&amp;H127&amp;"."&amp;IF(I127&lt;&gt;"",CHAR(10)&amp;"كما يمكنكم أيضًا حجز: "&amp;I127&amp;".","")&amp;IF(J127&lt;&gt;"",CHAR(10)&amp;CHAR(10)&amp;"رابط التقرير: "&amp;J127,"")&amp;CHAR(10)&amp;CHAR(10)&amp;"يسعدنا مساعدتكم في اختيار المسار الأنسب حسب وضع العيادة الحالي.")</x:f>
      </x:c>
      <x:c r="P127" s="12" t="str">
        <x:f>IF(D127="","",HYPERLINK("https://wa.me/"&amp;REGEXREPLACE(D127,"[^\d]","")&amp;"?text="&amp;ENCODEURL(O127),"واتساب 3"))</x:f>
      </x:c>
    </x:row>
    <x:row r="128" ht="15" hidden="0" customHeight="1">
      <x:c r="A128" s="12" t="str">
        <x:f>IF(Leads!A128="","",Leads!A128)</x:f>
      </x:c>
      <x:c r="B128" s="12" t="str">
        <x:f>IF(Leads!F128="","",Leads!F128)</x:f>
      </x:c>
      <x:c r="C128" s="12" t="str">
        <x:f>IF(Leads!G128="","",Leads!G128)</x:f>
      </x:c>
      <x:c r="D128" s="12" t="str">
        <x:f>IF(Leads!O128="","",Leads!O128)</x:f>
      </x:c>
      <x:c r="E128" s="12" t="str">
        <x:f>IF(Leads!AV128="","",Leads!AV128)</x:f>
      </x:c>
      <x:c r="F128" s="12" t="str">
        <x:f>IF(Leads!AX128="","",Leads!AX128)</x:f>
      </x:c>
      <x:c r="G128" s="12" t="str">
        <x:f>IF(Leads!BC128="","",Leads!BC128)</x:f>
      </x:c>
      <x:c r="H128" s="12" t="str">
        <x:f>IF(Leads!BE128="","",Leads!BE128)</x:f>
      </x:c>
      <x:c r="I128" s="12" t="str">
        <x:f>IF(Leads!BG128="","",Leads!BG128)</x:f>
      </x:c>
      <x:c r="J128" s="12" t="str">
        <x:f>IF(Leads!BH128="","",Leads!BH128)</x:f>
      </x:c>
      <x:c r="K128" s="12" t="str">
        <x:f>IF(A128="","","مرحبًا "&amp;C128&amp;CHAR(10)&amp;CHAR(10)&amp;"شكرًا لإتمام تقييم DBD الخاص بعيادة "&amp;B128&amp;"."&amp;CHAR(10)&amp;"نتيجتكم الحالية: "&amp;E128&amp;"%."&amp;CHAR(10)&amp;"أولوية التحسين الأولى: "&amp;F128&amp;"."&amp;IF(J128&lt;&gt;"",CHAR(10)&amp;CHAR(10)&amp;"رابط التقرير: "&amp;J128,"")&amp;CHAR(10)&amp;CHAR(10)&amp;"إذا أحببت، يمكننا مساعدتك في فهم التقرير وتحديد أفضل خطوة تالية لعيادتكم.")</x:f>
      </x:c>
      <x:c r="L128" s="12" t="str">
        <x:f>IF(D128="","",HYPERLINK("https://wa.me/"&amp;REGEXREPLACE(D128,"[^\d]","")&amp;"?text="&amp;ENCODEURL(K128),"واتساب 1"))</x:f>
      </x:c>
      <x:c r="M128" s="12" t="str">
        <x:f>IF(A128="","","مرحبًا "&amp;C128&amp;CHAR(10)&amp;CHAR(10)&amp;"بناءً على نتيجة تقييم عيادة "&amp;B128&amp;"، فإن الترشيح الأقوى لكم الآن هو: "&amp;G128&amp;"."&amp;CHAR(10)&amp;"هذا الخيار يساعدكم في معالجة أكبر فجوة حالية بشكل عملي ومباشر."&amp;IF(J128&lt;&gt;"",CHAR(10)&amp;CHAR(10)&amp;"رابط التقرير: "&amp;J128,"")&amp;CHAR(10)&amp;CHAR(10)&amp;"إذا رغبت، يمكننا توضيح لماذا هذا الكورس هو الأنسب لكم الآن.")</x:f>
      </x:c>
      <x:c r="N128" s="12" t="str">
        <x:f>IF(D128="","",HYPERLINK("https://wa.me/"&amp;REGEXREPLACE(D128,"[^\d]","")&amp;"?text="&amp;ENCODEURL(M128),"واتساب 2"))</x:f>
      </x:c>
      <x:c r="O128" s="12" t="str">
        <x:f>IF(A128="","","مرحبًا "&amp;C128&amp;CHAR(10)&amp;CHAR(10)&amp;"إذا كانت التحديات لديكم تحتاج حلًا أشمل، فالبرنامج الكامل المناسب لكم هو: "&amp;H128&amp;"."&amp;IF(I128&lt;&gt;"",CHAR(10)&amp;"كما يمكنكم أيضًا حجز: "&amp;I128&amp;".","")&amp;IF(J128&lt;&gt;"",CHAR(10)&amp;CHAR(10)&amp;"رابط التقرير: "&amp;J128,"")&amp;CHAR(10)&amp;CHAR(10)&amp;"يسعدنا مساعدتكم في اختيار المسار الأنسب حسب وضع العيادة الحالي.")</x:f>
      </x:c>
      <x:c r="P128" s="12" t="str">
        <x:f>IF(D128="","",HYPERLINK("https://wa.me/"&amp;REGEXREPLACE(D128,"[^\d]","")&amp;"?text="&amp;ENCODEURL(O128),"واتساب 3"))</x:f>
      </x:c>
    </x:row>
    <x:row r="129" ht="15" hidden="0" customHeight="1">
      <x:c r="A129" s="12" t="str">
        <x:f>IF(Leads!A129="","",Leads!A129)</x:f>
      </x:c>
      <x:c r="B129" s="12" t="str">
        <x:f>IF(Leads!F129="","",Leads!F129)</x:f>
      </x:c>
      <x:c r="C129" s="12" t="str">
        <x:f>IF(Leads!G129="","",Leads!G129)</x:f>
      </x:c>
      <x:c r="D129" s="12" t="str">
        <x:f>IF(Leads!O129="","",Leads!O129)</x:f>
      </x:c>
      <x:c r="E129" s="12" t="str">
        <x:f>IF(Leads!AV129="","",Leads!AV129)</x:f>
      </x:c>
      <x:c r="F129" s="12" t="str">
        <x:f>IF(Leads!AX129="","",Leads!AX129)</x:f>
      </x:c>
      <x:c r="G129" s="12" t="str">
        <x:f>IF(Leads!BC129="","",Leads!BC129)</x:f>
      </x:c>
      <x:c r="H129" s="12" t="str">
        <x:f>IF(Leads!BE129="","",Leads!BE129)</x:f>
      </x:c>
      <x:c r="I129" s="12" t="str">
        <x:f>IF(Leads!BG129="","",Leads!BG129)</x:f>
      </x:c>
      <x:c r="J129" s="12" t="str">
        <x:f>IF(Leads!BH129="","",Leads!BH129)</x:f>
      </x:c>
      <x:c r="K129" s="12" t="str">
        <x:f>IF(A129="","","مرحبًا "&amp;C129&amp;CHAR(10)&amp;CHAR(10)&amp;"شكرًا لإتمام تقييم DBD الخاص بعيادة "&amp;B129&amp;"."&amp;CHAR(10)&amp;"نتيجتكم الحالية: "&amp;E129&amp;"%."&amp;CHAR(10)&amp;"أولوية التحسين الأولى: "&amp;F129&amp;"."&amp;IF(J129&lt;&gt;"",CHAR(10)&amp;CHAR(10)&amp;"رابط التقرير: "&amp;J129,"")&amp;CHAR(10)&amp;CHAR(10)&amp;"إذا أحببت، يمكننا مساعدتك في فهم التقرير وتحديد أفضل خطوة تالية لعيادتكم.")</x:f>
      </x:c>
      <x:c r="L129" s="12" t="str">
        <x:f>IF(D129="","",HYPERLINK("https://wa.me/"&amp;REGEXREPLACE(D129,"[^\d]","")&amp;"?text="&amp;ENCODEURL(K129),"واتساب 1"))</x:f>
      </x:c>
      <x:c r="M129" s="12" t="str">
        <x:f>IF(A129="","","مرحبًا "&amp;C129&amp;CHAR(10)&amp;CHAR(10)&amp;"بناءً على نتيجة تقييم عيادة "&amp;B129&amp;"، فإن الترشيح الأقوى لكم الآن هو: "&amp;G129&amp;"."&amp;CHAR(10)&amp;"هذا الخيار يساعدكم في معالجة أكبر فجوة حالية بشكل عملي ومباشر."&amp;IF(J129&lt;&gt;"",CHAR(10)&amp;CHAR(10)&amp;"رابط التقرير: "&amp;J129,"")&amp;CHAR(10)&amp;CHAR(10)&amp;"إذا رغبت، يمكننا توضيح لماذا هذا الكورس هو الأنسب لكم الآن.")</x:f>
      </x:c>
      <x:c r="N129" s="12" t="str">
        <x:f>IF(D129="","",HYPERLINK("https://wa.me/"&amp;REGEXREPLACE(D129,"[^\d]","")&amp;"?text="&amp;ENCODEURL(M129),"واتساب 2"))</x:f>
      </x:c>
      <x:c r="O129" s="12" t="str">
        <x:f>IF(A129="","","مرحبًا "&amp;C129&amp;CHAR(10)&amp;CHAR(10)&amp;"إذا كانت التحديات لديكم تحتاج حلًا أشمل، فالبرنامج الكامل المناسب لكم هو: "&amp;H129&amp;"."&amp;IF(I129&lt;&gt;"",CHAR(10)&amp;"كما يمكنكم أيضًا حجز: "&amp;I129&amp;".","")&amp;IF(J129&lt;&gt;"",CHAR(10)&amp;CHAR(10)&amp;"رابط التقرير: "&amp;J129,"")&amp;CHAR(10)&amp;CHAR(10)&amp;"يسعدنا مساعدتكم في اختيار المسار الأنسب حسب وضع العيادة الحالي.")</x:f>
      </x:c>
      <x:c r="P129" s="12" t="str">
        <x:f>IF(D129="","",HYPERLINK("https://wa.me/"&amp;REGEXREPLACE(D129,"[^\d]","")&amp;"?text="&amp;ENCODEURL(O129),"واتساب 3"))</x:f>
      </x:c>
    </x:row>
    <x:row r="130" ht="15" hidden="0" customHeight="1">
      <x:c r="A130" s="12" t="str">
        <x:f>IF(Leads!A130="","",Leads!A130)</x:f>
      </x:c>
      <x:c r="B130" s="12" t="str">
        <x:f>IF(Leads!F130="","",Leads!F130)</x:f>
      </x:c>
      <x:c r="C130" s="12" t="str">
        <x:f>IF(Leads!G130="","",Leads!G130)</x:f>
      </x:c>
      <x:c r="D130" s="12" t="str">
        <x:f>IF(Leads!O130="","",Leads!O130)</x:f>
      </x:c>
      <x:c r="E130" s="12" t="str">
        <x:f>IF(Leads!AV130="","",Leads!AV130)</x:f>
      </x:c>
      <x:c r="F130" s="12" t="str">
        <x:f>IF(Leads!AX130="","",Leads!AX130)</x:f>
      </x:c>
      <x:c r="G130" s="12" t="str">
        <x:f>IF(Leads!BC130="","",Leads!BC130)</x:f>
      </x:c>
      <x:c r="H130" s="12" t="str">
        <x:f>IF(Leads!BE130="","",Leads!BE130)</x:f>
      </x:c>
      <x:c r="I130" s="12" t="str">
        <x:f>IF(Leads!BG130="","",Leads!BG130)</x:f>
      </x:c>
      <x:c r="J130" s="12" t="str">
        <x:f>IF(Leads!BH130="","",Leads!BH130)</x:f>
      </x:c>
      <x:c r="K130" s="12" t="str">
        <x:f>IF(A130="","","مرحبًا "&amp;C130&amp;CHAR(10)&amp;CHAR(10)&amp;"شكرًا لإتمام تقييم DBD الخاص بعيادة "&amp;B130&amp;"."&amp;CHAR(10)&amp;"نتيجتكم الحالية: "&amp;E130&amp;"%."&amp;CHAR(10)&amp;"أولوية التحسين الأولى: "&amp;F130&amp;"."&amp;IF(J130&lt;&gt;"",CHAR(10)&amp;CHAR(10)&amp;"رابط التقرير: "&amp;J130,"")&amp;CHAR(10)&amp;CHAR(10)&amp;"إذا أحببت، يمكننا مساعدتك في فهم التقرير وتحديد أفضل خطوة تالية لعيادتكم.")</x:f>
      </x:c>
      <x:c r="L130" s="12" t="str">
        <x:f>IF(D130="","",HYPERLINK("https://wa.me/"&amp;REGEXREPLACE(D130,"[^\d]","")&amp;"?text="&amp;ENCODEURL(K130),"واتساب 1"))</x:f>
      </x:c>
      <x:c r="M130" s="12" t="str">
        <x:f>IF(A130="","","مرحبًا "&amp;C130&amp;CHAR(10)&amp;CHAR(10)&amp;"بناءً على نتيجة تقييم عيادة "&amp;B130&amp;"، فإن الترشيح الأقوى لكم الآن هو: "&amp;G130&amp;"."&amp;CHAR(10)&amp;"هذا الخيار يساعدكم في معالجة أكبر فجوة حالية بشكل عملي ومباشر."&amp;IF(J130&lt;&gt;"",CHAR(10)&amp;CHAR(10)&amp;"رابط التقرير: "&amp;J130,"")&amp;CHAR(10)&amp;CHAR(10)&amp;"إذا رغبت، يمكننا توضيح لماذا هذا الكورس هو الأنسب لكم الآن.")</x:f>
      </x:c>
      <x:c r="N130" s="12" t="str">
        <x:f>IF(D130="","",HYPERLINK("https://wa.me/"&amp;REGEXREPLACE(D130,"[^\d]","")&amp;"?text="&amp;ENCODEURL(M130),"واتساب 2"))</x:f>
      </x:c>
      <x:c r="O130" s="12" t="str">
        <x:f>IF(A130="","","مرحبًا "&amp;C130&amp;CHAR(10)&amp;CHAR(10)&amp;"إذا كانت التحديات لديكم تحتاج حلًا أشمل، فالبرنامج الكامل المناسب لكم هو: "&amp;H130&amp;"."&amp;IF(I130&lt;&gt;"",CHAR(10)&amp;"كما يمكنكم أيضًا حجز: "&amp;I130&amp;".","")&amp;IF(J130&lt;&gt;"",CHAR(10)&amp;CHAR(10)&amp;"رابط التقرير: "&amp;J130,"")&amp;CHAR(10)&amp;CHAR(10)&amp;"يسعدنا مساعدتكم في اختيار المسار الأنسب حسب وضع العيادة الحالي.")</x:f>
      </x:c>
      <x:c r="P130" s="12" t="str">
        <x:f>IF(D130="","",HYPERLINK("https://wa.me/"&amp;REGEXREPLACE(D130,"[^\d]","")&amp;"?text="&amp;ENCODEURL(O130),"واتساب 3"))</x:f>
      </x:c>
    </x:row>
    <x:row r="131" ht="15" hidden="0" customHeight="1">
      <x:c r="A131" s="12" t="str">
        <x:f>IF(Leads!A131="","",Leads!A131)</x:f>
      </x:c>
      <x:c r="B131" s="12" t="str">
        <x:f>IF(Leads!F131="","",Leads!F131)</x:f>
      </x:c>
      <x:c r="C131" s="12" t="str">
        <x:f>IF(Leads!G131="","",Leads!G131)</x:f>
      </x:c>
      <x:c r="D131" s="12" t="str">
        <x:f>IF(Leads!O131="","",Leads!O131)</x:f>
      </x:c>
      <x:c r="E131" s="12" t="str">
        <x:f>IF(Leads!AV131="","",Leads!AV131)</x:f>
      </x:c>
      <x:c r="F131" s="12" t="str">
        <x:f>IF(Leads!AX131="","",Leads!AX131)</x:f>
      </x:c>
      <x:c r="G131" s="12" t="str">
        <x:f>IF(Leads!BC131="","",Leads!BC131)</x:f>
      </x:c>
      <x:c r="H131" s="12" t="str">
        <x:f>IF(Leads!BE131="","",Leads!BE131)</x:f>
      </x:c>
      <x:c r="I131" s="12" t="str">
        <x:f>IF(Leads!BG131="","",Leads!BG131)</x:f>
      </x:c>
      <x:c r="J131" s="12" t="str">
        <x:f>IF(Leads!BH131="","",Leads!BH131)</x:f>
      </x:c>
      <x:c r="K131" s="12" t="str">
        <x:f>IF(A131="","","مرحبًا "&amp;C131&amp;CHAR(10)&amp;CHAR(10)&amp;"شكرًا لإتمام تقييم DBD الخاص بعيادة "&amp;B131&amp;"."&amp;CHAR(10)&amp;"نتيجتكم الحالية: "&amp;E131&amp;"%."&amp;CHAR(10)&amp;"أولوية التحسين الأولى: "&amp;F131&amp;"."&amp;IF(J131&lt;&gt;"",CHAR(10)&amp;CHAR(10)&amp;"رابط التقرير: "&amp;J131,"")&amp;CHAR(10)&amp;CHAR(10)&amp;"إذا أحببت، يمكننا مساعدتك في فهم التقرير وتحديد أفضل خطوة تالية لعيادتكم.")</x:f>
      </x:c>
      <x:c r="L131" s="12" t="str">
        <x:f>IF(D131="","",HYPERLINK("https://wa.me/"&amp;REGEXREPLACE(D131,"[^\d]","")&amp;"?text="&amp;ENCODEURL(K131),"واتساب 1"))</x:f>
      </x:c>
      <x:c r="M131" s="12" t="str">
        <x:f>IF(A131="","","مرحبًا "&amp;C131&amp;CHAR(10)&amp;CHAR(10)&amp;"بناءً على نتيجة تقييم عيادة "&amp;B131&amp;"، فإن الترشيح الأقوى لكم الآن هو: "&amp;G131&amp;"."&amp;CHAR(10)&amp;"هذا الخيار يساعدكم في معالجة أكبر فجوة حالية بشكل عملي ومباشر."&amp;IF(J131&lt;&gt;"",CHAR(10)&amp;CHAR(10)&amp;"رابط التقرير: "&amp;J131,"")&amp;CHAR(10)&amp;CHAR(10)&amp;"إذا رغبت، يمكننا توضيح لماذا هذا الكورس هو الأنسب لكم الآن.")</x:f>
      </x:c>
      <x:c r="N131" s="12" t="str">
        <x:f>IF(D131="","",HYPERLINK("https://wa.me/"&amp;REGEXREPLACE(D131,"[^\d]","")&amp;"?text="&amp;ENCODEURL(M131),"واتساب 2"))</x:f>
      </x:c>
      <x:c r="O131" s="12" t="str">
        <x:f>IF(A131="","","مرحبًا "&amp;C131&amp;CHAR(10)&amp;CHAR(10)&amp;"إذا كانت التحديات لديكم تحتاج حلًا أشمل، فالبرنامج الكامل المناسب لكم هو: "&amp;H131&amp;"."&amp;IF(I131&lt;&gt;"",CHAR(10)&amp;"كما يمكنكم أيضًا حجز: "&amp;I131&amp;".","")&amp;IF(J131&lt;&gt;"",CHAR(10)&amp;CHAR(10)&amp;"رابط التقرير: "&amp;J131,"")&amp;CHAR(10)&amp;CHAR(10)&amp;"يسعدنا مساعدتكم في اختيار المسار الأنسب حسب وضع العيادة الحالي.")</x:f>
      </x:c>
      <x:c r="P131" s="12" t="str">
        <x:f>IF(D131="","",HYPERLINK("https://wa.me/"&amp;REGEXREPLACE(D131,"[^\d]","")&amp;"?text="&amp;ENCODEURL(O131),"واتساب 3"))</x:f>
      </x:c>
    </x:row>
    <x:row r="132" ht="15" hidden="0" customHeight="1">
      <x:c r="A132" s="12" t="str">
        <x:f>IF(Leads!A132="","",Leads!A132)</x:f>
      </x:c>
      <x:c r="B132" s="12" t="str">
        <x:f>IF(Leads!F132="","",Leads!F132)</x:f>
      </x:c>
      <x:c r="C132" s="12" t="str">
        <x:f>IF(Leads!G132="","",Leads!G132)</x:f>
      </x:c>
      <x:c r="D132" s="12" t="str">
        <x:f>IF(Leads!O132="","",Leads!O132)</x:f>
      </x:c>
      <x:c r="E132" s="12" t="str">
        <x:f>IF(Leads!AV132="","",Leads!AV132)</x:f>
      </x:c>
      <x:c r="F132" s="12" t="str">
        <x:f>IF(Leads!AX132="","",Leads!AX132)</x:f>
      </x:c>
      <x:c r="G132" s="12" t="str">
        <x:f>IF(Leads!BC132="","",Leads!BC132)</x:f>
      </x:c>
      <x:c r="H132" s="12" t="str">
        <x:f>IF(Leads!BE132="","",Leads!BE132)</x:f>
      </x:c>
      <x:c r="I132" s="12" t="str">
        <x:f>IF(Leads!BG132="","",Leads!BG132)</x:f>
      </x:c>
      <x:c r="J132" s="12" t="str">
        <x:f>IF(Leads!BH132="","",Leads!BH132)</x:f>
      </x:c>
      <x:c r="K132" s="12" t="str">
        <x:f>IF(A132="","","مرحبًا "&amp;C132&amp;CHAR(10)&amp;CHAR(10)&amp;"شكرًا لإتمام تقييم DBD الخاص بعيادة "&amp;B132&amp;"."&amp;CHAR(10)&amp;"نتيجتكم الحالية: "&amp;E132&amp;"%."&amp;CHAR(10)&amp;"أولوية التحسين الأولى: "&amp;F132&amp;"."&amp;IF(J132&lt;&gt;"",CHAR(10)&amp;CHAR(10)&amp;"رابط التقرير: "&amp;J132,"")&amp;CHAR(10)&amp;CHAR(10)&amp;"إذا أحببت، يمكننا مساعدتك في فهم التقرير وتحديد أفضل خطوة تالية لعيادتكم.")</x:f>
      </x:c>
      <x:c r="L132" s="12" t="str">
        <x:f>IF(D132="","",HYPERLINK("https://wa.me/"&amp;REGEXREPLACE(D132,"[^\d]","")&amp;"?text="&amp;ENCODEURL(K132),"واتساب 1"))</x:f>
      </x:c>
      <x:c r="M132" s="12" t="str">
        <x:f>IF(A132="","","مرحبًا "&amp;C132&amp;CHAR(10)&amp;CHAR(10)&amp;"بناءً على نتيجة تقييم عيادة "&amp;B132&amp;"، فإن الترشيح الأقوى لكم الآن هو: "&amp;G132&amp;"."&amp;CHAR(10)&amp;"هذا الخيار يساعدكم في معالجة أكبر فجوة حالية بشكل عملي ومباشر."&amp;IF(J132&lt;&gt;"",CHAR(10)&amp;CHAR(10)&amp;"رابط التقرير: "&amp;J132,"")&amp;CHAR(10)&amp;CHAR(10)&amp;"إذا رغبت، يمكننا توضيح لماذا هذا الكورس هو الأنسب لكم الآن.")</x:f>
      </x:c>
      <x:c r="N132" s="12" t="str">
        <x:f>IF(D132="","",HYPERLINK("https://wa.me/"&amp;REGEXREPLACE(D132,"[^\d]","")&amp;"?text="&amp;ENCODEURL(M132),"واتساب 2"))</x:f>
      </x:c>
      <x:c r="O132" s="12" t="str">
        <x:f>IF(A132="","","مرحبًا "&amp;C132&amp;CHAR(10)&amp;CHAR(10)&amp;"إذا كانت التحديات لديكم تحتاج حلًا أشمل، فالبرنامج الكامل المناسب لكم هو: "&amp;H132&amp;"."&amp;IF(I132&lt;&gt;"",CHAR(10)&amp;"كما يمكنكم أيضًا حجز: "&amp;I132&amp;".","")&amp;IF(J132&lt;&gt;"",CHAR(10)&amp;CHAR(10)&amp;"رابط التقرير: "&amp;J132,"")&amp;CHAR(10)&amp;CHAR(10)&amp;"يسعدنا مساعدتكم في اختيار المسار الأنسب حسب وضع العيادة الحالي.")</x:f>
      </x:c>
      <x:c r="P132" s="12" t="str">
        <x:f>IF(D132="","",HYPERLINK("https://wa.me/"&amp;REGEXREPLACE(D132,"[^\d]","")&amp;"?text="&amp;ENCODEURL(O132),"واتساب 3"))</x:f>
      </x:c>
    </x:row>
    <x:row r="133" ht="15" hidden="0" customHeight="1">
      <x:c r="A133" s="12" t="str">
        <x:f>IF(Leads!A133="","",Leads!A133)</x:f>
      </x:c>
      <x:c r="B133" s="12" t="str">
        <x:f>IF(Leads!F133="","",Leads!F133)</x:f>
      </x:c>
      <x:c r="C133" s="12" t="str">
        <x:f>IF(Leads!G133="","",Leads!G133)</x:f>
      </x:c>
      <x:c r="D133" s="12" t="str">
        <x:f>IF(Leads!O133="","",Leads!O133)</x:f>
      </x:c>
      <x:c r="E133" s="12" t="str">
        <x:f>IF(Leads!AV133="","",Leads!AV133)</x:f>
      </x:c>
      <x:c r="F133" s="12" t="str">
        <x:f>IF(Leads!AX133="","",Leads!AX133)</x:f>
      </x:c>
      <x:c r="G133" s="12" t="str">
        <x:f>IF(Leads!BC133="","",Leads!BC133)</x:f>
      </x:c>
      <x:c r="H133" s="12" t="str">
        <x:f>IF(Leads!BE133="","",Leads!BE133)</x:f>
      </x:c>
      <x:c r="I133" s="12" t="str">
        <x:f>IF(Leads!BG133="","",Leads!BG133)</x:f>
      </x:c>
      <x:c r="J133" s="12" t="str">
        <x:f>IF(Leads!BH133="","",Leads!BH133)</x:f>
      </x:c>
      <x:c r="K133" s="12" t="str">
        <x:f>IF(A133="","","مرحبًا "&amp;C133&amp;CHAR(10)&amp;CHAR(10)&amp;"شكرًا لإتمام تقييم DBD الخاص بعيادة "&amp;B133&amp;"."&amp;CHAR(10)&amp;"نتيجتكم الحالية: "&amp;E133&amp;"%."&amp;CHAR(10)&amp;"أولوية التحسين الأولى: "&amp;F133&amp;"."&amp;IF(J133&lt;&gt;"",CHAR(10)&amp;CHAR(10)&amp;"رابط التقرير: "&amp;J133,"")&amp;CHAR(10)&amp;CHAR(10)&amp;"إذا أحببت، يمكننا مساعدتك في فهم التقرير وتحديد أفضل خطوة تالية لعيادتكم.")</x:f>
      </x:c>
      <x:c r="L133" s="12" t="str">
        <x:f>IF(D133="","",HYPERLINK("https://wa.me/"&amp;REGEXREPLACE(D133,"[^\d]","")&amp;"?text="&amp;ENCODEURL(K133),"واتساب 1"))</x:f>
      </x:c>
      <x:c r="M133" s="12" t="str">
        <x:f>IF(A133="","","مرحبًا "&amp;C133&amp;CHAR(10)&amp;CHAR(10)&amp;"بناءً على نتيجة تقييم عيادة "&amp;B133&amp;"، فإن الترشيح الأقوى لكم الآن هو: "&amp;G133&amp;"."&amp;CHAR(10)&amp;"هذا الخيار يساعدكم في معالجة أكبر فجوة حالية بشكل عملي ومباشر."&amp;IF(J133&lt;&gt;"",CHAR(10)&amp;CHAR(10)&amp;"رابط التقرير: "&amp;J133,"")&amp;CHAR(10)&amp;CHAR(10)&amp;"إذا رغبت، يمكننا توضيح لماذا هذا الكورس هو الأنسب لكم الآن.")</x:f>
      </x:c>
      <x:c r="N133" s="12" t="str">
        <x:f>IF(D133="","",HYPERLINK("https://wa.me/"&amp;REGEXREPLACE(D133,"[^\d]","")&amp;"?text="&amp;ENCODEURL(M133),"واتساب 2"))</x:f>
      </x:c>
      <x:c r="O133" s="12" t="str">
        <x:f>IF(A133="","","مرحبًا "&amp;C133&amp;CHAR(10)&amp;CHAR(10)&amp;"إذا كانت التحديات لديكم تحتاج حلًا أشمل، فالبرنامج الكامل المناسب لكم هو: "&amp;H133&amp;"."&amp;IF(I133&lt;&gt;"",CHAR(10)&amp;"كما يمكنكم أيضًا حجز: "&amp;I133&amp;".","")&amp;IF(J133&lt;&gt;"",CHAR(10)&amp;CHAR(10)&amp;"رابط التقرير: "&amp;J133,"")&amp;CHAR(10)&amp;CHAR(10)&amp;"يسعدنا مساعدتكم في اختيار المسار الأنسب حسب وضع العيادة الحالي.")</x:f>
      </x:c>
      <x:c r="P133" s="12" t="str">
        <x:f>IF(D133="","",HYPERLINK("https://wa.me/"&amp;REGEXREPLACE(D133,"[^\d]","")&amp;"?text="&amp;ENCODEURL(O133),"واتساب 3"))</x:f>
      </x:c>
    </x:row>
    <x:row r="134" ht="15" hidden="0" customHeight="1">
      <x:c r="A134" s="12" t="str">
        <x:f>IF(Leads!A134="","",Leads!A134)</x:f>
      </x:c>
      <x:c r="B134" s="12" t="str">
        <x:f>IF(Leads!F134="","",Leads!F134)</x:f>
      </x:c>
      <x:c r="C134" s="12" t="str">
        <x:f>IF(Leads!G134="","",Leads!G134)</x:f>
      </x:c>
      <x:c r="D134" s="12" t="str">
        <x:f>IF(Leads!O134="","",Leads!O134)</x:f>
      </x:c>
      <x:c r="E134" s="12" t="str">
        <x:f>IF(Leads!AV134="","",Leads!AV134)</x:f>
      </x:c>
      <x:c r="F134" s="12" t="str">
        <x:f>IF(Leads!AX134="","",Leads!AX134)</x:f>
      </x:c>
      <x:c r="G134" s="12" t="str">
        <x:f>IF(Leads!BC134="","",Leads!BC134)</x:f>
      </x:c>
      <x:c r="H134" s="12" t="str">
        <x:f>IF(Leads!BE134="","",Leads!BE134)</x:f>
      </x:c>
      <x:c r="I134" s="12" t="str">
        <x:f>IF(Leads!BG134="","",Leads!BG134)</x:f>
      </x:c>
      <x:c r="J134" s="12" t="str">
        <x:f>IF(Leads!BH134="","",Leads!BH134)</x:f>
      </x:c>
      <x:c r="K134" s="12" t="str">
        <x:f>IF(A134="","","مرحبًا "&amp;C134&amp;CHAR(10)&amp;CHAR(10)&amp;"شكرًا لإتمام تقييم DBD الخاص بعيادة "&amp;B134&amp;"."&amp;CHAR(10)&amp;"نتيجتكم الحالية: "&amp;E134&amp;"%."&amp;CHAR(10)&amp;"أولوية التحسين الأولى: "&amp;F134&amp;"."&amp;IF(J134&lt;&gt;"",CHAR(10)&amp;CHAR(10)&amp;"رابط التقرير: "&amp;J134,"")&amp;CHAR(10)&amp;CHAR(10)&amp;"إذا أحببت، يمكننا مساعدتك في فهم التقرير وتحديد أفضل خطوة تالية لعيادتكم.")</x:f>
      </x:c>
      <x:c r="L134" s="12" t="str">
        <x:f>IF(D134="","",HYPERLINK("https://wa.me/"&amp;REGEXREPLACE(D134,"[^\d]","")&amp;"?text="&amp;ENCODEURL(K134),"واتساب 1"))</x:f>
      </x:c>
      <x:c r="M134" s="12" t="str">
        <x:f>IF(A134="","","مرحبًا "&amp;C134&amp;CHAR(10)&amp;CHAR(10)&amp;"بناءً على نتيجة تقييم عيادة "&amp;B134&amp;"، فإن الترشيح الأقوى لكم الآن هو: "&amp;G134&amp;"."&amp;CHAR(10)&amp;"هذا الخيار يساعدكم في معالجة أكبر فجوة حالية بشكل عملي ومباشر."&amp;IF(J134&lt;&gt;"",CHAR(10)&amp;CHAR(10)&amp;"رابط التقرير: "&amp;J134,"")&amp;CHAR(10)&amp;CHAR(10)&amp;"إذا رغبت، يمكننا توضيح لماذا هذا الكورس هو الأنسب لكم الآن.")</x:f>
      </x:c>
      <x:c r="N134" s="12" t="str">
        <x:f>IF(D134="","",HYPERLINK("https://wa.me/"&amp;REGEXREPLACE(D134,"[^\d]","")&amp;"?text="&amp;ENCODEURL(M134),"واتساب 2"))</x:f>
      </x:c>
      <x:c r="O134" s="12" t="str">
        <x:f>IF(A134="","","مرحبًا "&amp;C134&amp;CHAR(10)&amp;CHAR(10)&amp;"إذا كانت التحديات لديكم تحتاج حلًا أشمل، فالبرنامج الكامل المناسب لكم هو: "&amp;H134&amp;"."&amp;IF(I134&lt;&gt;"",CHAR(10)&amp;"كما يمكنكم أيضًا حجز: "&amp;I134&amp;".","")&amp;IF(J134&lt;&gt;"",CHAR(10)&amp;CHAR(10)&amp;"رابط التقرير: "&amp;J134,"")&amp;CHAR(10)&amp;CHAR(10)&amp;"يسعدنا مساعدتكم في اختيار المسار الأنسب حسب وضع العيادة الحالي.")</x:f>
      </x:c>
      <x:c r="P134" s="12" t="str">
        <x:f>IF(D134="","",HYPERLINK("https://wa.me/"&amp;REGEXREPLACE(D134,"[^\d]","")&amp;"?text="&amp;ENCODEURL(O134),"واتساب 3"))</x:f>
      </x:c>
    </x:row>
    <x:row r="135" ht="15" hidden="0" customHeight="1">
      <x:c r="A135" s="12" t="str">
        <x:f>IF(Leads!A135="","",Leads!A135)</x:f>
      </x:c>
      <x:c r="B135" s="12" t="str">
        <x:f>IF(Leads!F135="","",Leads!F135)</x:f>
      </x:c>
      <x:c r="C135" s="12" t="str">
        <x:f>IF(Leads!G135="","",Leads!G135)</x:f>
      </x:c>
      <x:c r="D135" s="12" t="str">
        <x:f>IF(Leads!O135="","",Leads!O135)</x:f>
      </x:c>
      <x:c r="E135" s="12" t="str">
        <x:f>IF(Leads!AV135="","",Leads!AV135)</x:f>
      </x:c>
      <x:c r="F135" s="12" t="str">
        <x:f>IF(Leads!AX135="","",Leads!AX135)</x:f>
      </x:c>
      <x:c r="G135" s="12" t="str">
        <x:f>IF(Leads!BC135="","",Leads!BC135)</x:f>
      </x:c>
      <x:c r="H135" s="12" t="str">
        <x:f>IF(Leads!BE135="","",Leads!BE135)</x:f>
      </x:c>
      <x:c r="I135" s="12" t="str">
        <x:f>IF(Leads!BG135="","",Leads!BG135)</x:f>
      </x:c>
      <x:c r="J135" s="12" t="str">
        <x:f>IF(Leads!BH135="","",Leads!BH135)</x:f>
      </x:c>
      <x:c r="K135" s="12" t="str">
        <x:f>IF(A135="","","مرحبًا "&amp;C135&amp;CHAR(10)&amp;CHAR(10)&amp;"شكرًا لإتمام تقييم DBD الخاص بعيادة "&amp;B135&amp;"."&amp;CHAR(10)&amp;"نتيجتكم الحالية: "&amp;E135&amp;"%."&amp;CHAR(10)&amp;"أولوية التحسين الأولى: "&amp;F135&amp;"."&amp;IF(J135&lt;&gt;"",CHAR(10)&amp;CHAR(10)&amp;"رابط التقرير: "&amp;J135,"")&amp;CHAR(10)&amp;CHAR(10)&amp;"إذا أحببت، يمكننا مساعدتك في فهم التقرير وتحديد أفضل خطوة تالية لعيادتكم.")</x:f>
      </x:c>
      <x:c r="L135" s="12" t="str">
        <x:f>IF(D135="","",HYPERLINK("https://wa.me/"&amp;REGEXREPLACE(D135,"[^\d]","")&amp;"?text="&amp;ENCODEURL(K135),"واتساب 1"))</x:f>
      </x:c>
      <x:c r="M135" s="12" t="str">
        <x:f>IF(A135="","","مرحبًا "&amp;C135&amp;CHAR(10)&amp;CHAR(10)&amp;"بناءً على نتيجة تقييم عيادة "&amp;B135&amp;"، فإن الترشيح الأقوى لكم الآن هو: "&amp;G135&amp;"."&amp;CHAR(10)&amp;"هذا الخيار يساعدكم في معالجة أكبر فجوة حالية بشكل عملي ومباشر."&amp;IF(J135&lt;&gt;"",CHAR(10)&amp;CHAR(10)&amp;"رابط التقرير: "&amp;J135,"")&amp;CHAR(10)&amp;CHAR(10)&amp;"إذا رغبت، يمكننا توضيح لماذا هذا الكورس هو الأنسب لكم الآن.")</x:f>
      </x:c>
      <x:c r="N135" s="12" t="str">
        <x:f>IF(D135="","",HYPERLINK("https://wa.me/"&amp;REGEXREPLACE(D135,"[^\d]","")&amp;"?text="&amp;ENCODEURL(M135),"واتساب 2"))</x:f>
      </x:c>
      <x:c r="O135" s="12" t="str">
        <x:f>IF(A135="","","مرحبًا "&amp;C135&amp;CHAR(10)&amp;CHAR(10)&amp;"إذا كانت التحديات لديكم تحتاج حلًا أشمل، فالبرنامج الكامل المناسب لكم هو: "&amp;H135&amp;"."&amp;IF(I135&lt;&gt;"",CHAR(10)&amp;"كما يمكنكم أيضًا حجز: "&amp;I135&amp;".","")&amp;IF(J135&lt;&gt;"",CHAR(10)&amp;CHAR(10)&amp;"رابط التقرير: "&amp;J135,"")&amp;CHAR(10)&amp;CHAR(10)&amp;"يسعدنا مساعدتكم في اختيار المسار الأنسب حسب وضع العيادة الحالي.")</x:f>
      </x:c>
      <x:c r="P135" s="12" t="str">
        <x:f>IF(D135="","",HYPERLINK("https://wa.me/"&amp;REGEXREPLACE(D135,"[^\d]","")&amp;"?text="&amp;ENCODEURL(O135),"واتساب 3"))</x:f>
      </x:c>
    </x:row>
    <x:row r="136" ht="15" hidden="0" customHeight="1">
      <x:c r="A136" s="12" t="str">
        <x:f>IF(Leads!A136="","",Leads!A136)</x:f>
      </x:c>
      <x:c r="B136" s="12" t="str">
        <x:f>IF(Leads!F136="","",Leads!F136)</x:f>
      </x:c>
      <x:c r="C136" s="12" t="str">
        <x:f>IF(Leads!G136="","",Leads!G136)</x:f>
      </x:c>
      <x:c r="D136" s="12" t="str">
        <x:f>IF(Leads!O136="","",Leads!O136)</x:f>
      </x:c>
      <x:c r="E136" s="12" t="str">
        <x:f>IF(Leads!AV136="","",Leads!AV136)</x:f>
      </x:c>
      <x:c r="F136" s="12" t="str">
        <x:f>IF(Leads!AX136="","",Leads!AX136)</x:f>
      </x:c>
      <x:c r="G136" s="12" t="str">
        <x:f>IF(Leads!BC136="","",Leads!BC136)</x:f>
      </x:c>
      <x:c r="H136" s="12" t="str">
        <x:f>IF(Leads!BE136="","",Leads!BE136)</x:f>
      </x:c>
      <x:c r="I136" s="12" t="str">
        <x:f>IF(Leads!BG136="","",Leads!BG136)</x:f>
      </x:c>
      <x:c r="J136" s="12" t="str">
        <x:f>IF(Leads!BH136="","",Leads!BH136)</x:f>
      </x:c>
      <x:c r="K136" s="12" t="str">
        <x:f>IF(A136="","","مرحبًا "&amp;C136&amp;CHAR(10)&amp;CHAR(10)&amp;"شكرًا لإتمام تقييم DBD الخاص بعيادة "&amp;B136&amp;"."&amp;CHAR(10)&amp;"نتيجتكم الحالية: "&amp;E136&amp;"%."&amp;CHAR(10)&amp;"أولوية التحسين الأولى: "&amp;F136&amp;"."&amp;IF(J136&lt;&gt;"",CHAR(10)&amp;CHAR(10)&amp;"رابط التقرير: "&amp;J136,"")&amp;CHAR(10)&amp;CHAR(10)&amp;"إذا أحببت، يمكننا مساعدتك في فهم التقرير وتحديد أفضل خطوة تالية لعيادتكم.")</x:f>
      </x:c>
      <x:c r="L136" s="12" t="str">
        <x:f>IF(D136="","",HYPERLINK("https://wa.me/"&amp;REGEXREPLACE(D136,"[^\d]","")&amp;"?text="&amp;ENCODEURL(K136),"واتساب 1"))</x:f>
      </x:c>
      <x:c r="M136" s="12" t="str">
        <x:f>IF(A136="","","مرحبًا "&amp;C136&amp;CHAR(10)&amp;CHAR(10)&amp;"بناءً على نتيجة تقييم عيادة "&amp;B136&amp;"، فإن الترشيح الأقوى لكم الآن هو: "&amp;G136&amp;"."&amp;CHAR(10)&amp;"هذا الخيار يساعدكم في معالجة أكبر فجوة حالية بشكل عملي ومباشر."&amp;IF(J136&lt;&gt;"",CHAR(10)&amp;CHAR(10)&amp;"رابط التقرير: "&amp;J136,"")&amp;CHAR(10)&amp;CHAR(10)&amp;"إذا رغبت، يمكننا توضيح لماذا هذا الكورس هو الأنسب لكم الآن.")</x:f>
      </x:c>
      <x:c r="N136" s="12" t="str">
        <x:f>IF(D136="","",HYPERLINK("https://wa.me/"&amp;REGEXREPLACE(D136,"[^\d]","")&amp;"?text="&amp;ENCODEURL(M136),"واتساب 2"))</x:f>
      </x:c>
      <x:c r="O136" s="12" t="str">
        <x:f>IF(A136="","","مرحبًا "&amp;C136&amp;CHAR(10)&amp;CHAR(10)&amp;"إذا كانت التحديات لديكم تحتاج حلًا أشمل، فالبرنامج الكامل المناسب لكم هو: "&amp;H136&amp;"."&amp;IF(I136&lt;&gt;"",CHAR(10)&amp;"كما يمكنكم أيضًا حجز: "&amp;I136&amp;".","")&amp;IF(J136&lt;&gt;"",CHAR(10)&amp;CHAR(10)&amp;"رابط التقرير: "&amp;J136,"")&amp;CHAR(10)&amp;CHAR(10)&amp;"يسعدنا مساعدتكم في اختيار المسار الأنسب حسب وضع العيادة الحالي.")</x:f>
      </x:c>
      <x:c r="P136" s="12" t="str">
        <x:f>IF(D136="","",HYPERLINK("https://wa.me/"&amp;REGEXREPLACE(D136,"[^\d]","")&amp;"?text="&amp;ENCODEURL(O136),"واتساب 3"))</x:f>
      </x:c>
    </x:row>
    <x:row r="137" ht="15" hidden="0" customHeight="1">
      <x:c r="A137" s="12" t="str">
        <x:f>IF(Leads!A137="","",Leads!A137)</x:f>
      </x:c>
      <x:c r="B137" s="12" t="str">
        <x:f>IF(Leads!F137="","",Leads!F137)</x:f>
      </x:c>
      <x:c r="C137" s="12" t="str">
        <x:f>IF(Leads!G137="","",Leads!G137)</x:f>
      </x:c>
      <x:c r="D137" s="12" t="str">
        <x:f>IF(Leads!O137="","",Leads!O137)</x:f>
      </x:c>
      <x:c r="E137" s="12" t="str">
        <x:f>IF(Leads!AV137="","",Leads!AV137)</x:f>
      </x:c>
      <x:c r="F137" s="12" t="str">
        <x:f>IF(Leads!AX137="","",Leads!AX137)</x:f>
      </x:c>
      <x:c r="G137" s="12" t="str">
        <x:f>IF(Leads!BC137="","",Leads!BC137)</x:f>
      </x:c>
      <x:c r="H137" s="12" t="str">
        <x:f>IF(Leads!BE137="","",Leads!BE137)</x:f>
      </x:c>
      <x:c r="I137" s="12" t="str">
        <x:f>IF(Leads!BG137="","",Leads!BG137)</x:f>
      </x:c>
      <x:c r="J137" s="12" t="str">
        <x:f>IF(Leads!BH137="","",Leads!BH137)</x:f>
      </x:c>
      <x:c r="K137" s="12" t="str">
        <x:f>IF(A137="","","مرحبًا "&amp;C137&amp;CHAR(10)&amp;CHAR(10)&amp;"شكرًا لإتمام تقييم DBD الخاص بعيادة "&amp;B137&amp;"."&amp;CHAR(10)&amp;"نتيجتكم الحالية: "&amp;E137&amp;"%."&amp;CHAR(10)&amp;"أولوية التحسين الأولى: "&amp;F137&amp;"."&amp;IF(J137&lt;&gt;"",CHAR(10)&amp;CHAR(10)&amp;"رابط التقرير: "&amp;J137,"")&amp;CHAR(10)&amp;CHAR(10)&amp;"إذا أحببت، يمكننا مساعدتك في فهم التقرير وتحديد أفضل خطوة تالية لعيادتكم.")</x:f>
      </x:c>
      <x:c r="L137" s="12" t="str">
        <x:f>IF(D137="","",HYPERLINK("https://wa.me/"&amp;REGEXREPLACE(D137,"[^\d]","")&amp;"?text="&amp;ENCODEURL(K137),"واتساب 1"))</x:f>
      </x:c>
      <x:c r="M137" s="12" t="str">
        <x:f>IF(A137="","","مرحبًا "&amp;C137&amp;CHAR(10)&amp;CHAR(10)&amp;"بناءً على نتيجة تقييم عيادة "&amp;B137&amp;"، فإن الترشيح الأقوى لكم الآن هو: "&amp;G137&amp;"."&amp;CHAR(10)&amp;"هذا الخيار يساعدكم في معالجة أكبر فجوة حالية بشكل عملي ومباشر."&amp;IF(J137&lt;&gt;"",CHAR(10)&amp;CHAR(10)&amp;"رابط التقرير: "&amp;J137,"")&amp;CHAR(10)&amp;CHAR(10)&amp;"إذا رغبت، يمكننا توضيح لماذا هذا الكورس هو الأنسب لكم الآن.")</x:f>
      </x:c>
      <x:c r="N137" s="12" t="str">
        <x:f>IF(D137="","",HYPERLINK("https://wa.me/"&amp;REGEXREPLACE(D137,"[^\d]","")&amp;"?text="&amp;ENCODEURL(M137),"واتساب 2"))</x:f>
      </x:c>
      <x:c r="O137" s="12" t="str">
        <x:f>IF(A137="","","مرحبًا "&amp;C137&amp;CHAR(10)&amp;CHAR(10)&amp;"إذا كانت التحديات لديكم تحتاج حلًا أشمل، فالبرنامج الكامل المناسب لكم هو: "&amp;H137&amp;"."&amp;IF(I137&lt;&gt;"",CHAR(10)&amp;"كما يمكنكم أيضًا حجز: "&amp;I137&amp;".","")&amp;IF(J137&lt;&gt;"",CHAR(10)&amp;CHAR(10)&amp;"رابط التقرير: "&amp;J137,"")&amp;CHAR(10)&amp;CHAR(10)&amp;"يسعدنا مساعدتكم في اختيار المسار الأنسب حسب وضع العيادة الحالي.")</x:f>
      </x:c>
      <x:c r="P137" s="12" t="str">
        <x:f>IF(D137="","",HYPERLINK("https://wa.me/"&amp;REGEXREPLACE(D137,"[^\d]","")&amp;"?text="&amp;ENCODEURL(O137),"واتساب 3"))</x:f>
      </x:c>
    </x:row>
    <x:row r="138" ht="15" hidden="0" customHeight="1">
      <x:c r="A138" s="12" t="str">
        <x:f>IF(Leads!A138="","",Leads!A138)</x:f>
      </x:c>
      <x:c r="B138" s="12" t="str">
        <x:f>IF(Leads!F138="","",Leads!F138)</x:f>
      </x:c>
      <x:c r="C138" s="12" t="str">
        <x:f>IF(Leads!G138="","",Leads!G138)</x:f>
      </x:c>
      <x:c r="D138" s="12" t="str">
        <x:f>IF(Leads!O138="","",Leads!O138)</x:f>
      </x:c>
      <x:c r="E138" s="12" t="str">
        <x:f>IF(Leads!AV138="","",Leads!AV138)</x:f>
      </x:c>
      <x:c r="F138" s="12" t="str">
        <x:f>IF(Leads!AX138="","",Leads!AX138)</x:f>
      </x:c>
      <x:c r="G138" s="12" t="str">
        <x:f>IF(Leads!BC138="","",Leads!BC138)</x:f>
      </x:c>
      <x:c r="H138" s="12" t="str">
        <x:f>IF(Leads!BE138="","",Leads!BE138)</x:f>
      </x:c>
      <x:c r="I138" s="12" t="str">
        <x:f>IF(Leads!BG138="","",Leads!BG138)</x:f>
      </x:c>
      <x:c r="J138" s="12" t="str">
        <x:f>IF(Leads!BH138="","",Leads!BH138)</x:f>
      </x:c>
      <x:c r="K138" s="12" t="str">
        <x:f>IF(A138="","","مرحبًا "&amp;C138&amp;CHAR(10)&amp;CHAR(10)&amp;"شكرًا لإتمام تقييم DBD الخاص بعيادة "&amp;B138&amp;"."&amp;CHAR(10)&amp;"نتيجتكم الحالية: "&amp;E138&amp;"%."&amp;CHAR(10)&amp;"أولوية التحسين الأولى: "&amp;F138&amp;"."&amp;IF(J138&lt;&gt;"",CHAR(10)&amp;CHAR(10)&amp;"رابط التقرير: "&amp;J138,"")&amp;CHAR(10)&amp;CHAR(10)&amp;"إذا أحببت، يمكننا مساعدتك في فهم التقرير وتحديد أفضل خطوة تالية لعيادتكم.")</x:f>
      </x:c>
      <x:c r="L138" s="12" t="str">
        <x:f>IF(D138="","",HYPERLINK("https://wa.me/"&amp;REGEXREPLACE(D138,"[^\d]","")&amp;"?text="&amp;ENCODEURL(K138),"واتساب 1"))</x:f>
      </x:c>
      <x:c r="M138" s="12" t="str">
        <x:f>IF(A138="","","مرحبًا "&amp;C138&amp;CHAR(10)&amp;CHAR(10)&amp;"بناءً على نتيجة تقييم عيادة "&amp;B138&amp;"، فإن الترشيح الأقوى لكم الآن هو: "&amp;G138&amp;"."&amp;CHAR(10)&amp;"هذا الخيار يساعدكم في معالجة أكبر فجوة حالية بشكل عملي ومباشر."&amp;IF(J138&lt;&gt;"",CHAR(10)&amp;CHAR(10)&amp;"رابط التقرير: "&amp;J138,"")&amp;CHAR(10)&amp;CHAR(10)&amp;"إذا رغبت، يمكننا توضيح لماذا هذا الكورس هو الأنسب لكم الآن.")</x:f>
      </x:c>
      <x:c r="N138" s="12" t="str">
        <x:f>IF(D138="","",HYPERLINK("https://wa.me/"&amp;REGEXREPLACE(D138,"[^\d]","")&amp;"?text="&amp;ENCODEURL(M138),"واتساب 2"))</x:f>
      </x:c>
      <x:c r="O138" s="12" t="str">
        <x:f>IF(A138="","","مرحبًا "&amp;C138&amp;CHAR(10)&amp;CHAR(10)&amp;"إذا كانت التحديات لديكم تحتاج حلًا أشمل، فالبرنامج الكامل المناسب لكم هو: "&amp;H138&amp;"."&amp;IF(I138&lt;&gt;"",CHAR(10)&amp;"كما يمكنكم أيضًا حجز: "&amp;I138&amp;".","")&amp;IF(J138&lt;&gt;"",CHAR(10)&amp;CHAR(10)&amp;"رابط التقرير: "&amp;J138,"")&amp;CHAR(10)&amp;CHAR(10)&amp;"يسعدنا مساعدتكم في اختيار المسار الأنسب حسب وضع العيادة الحالي.")</x:f>
      </x:c>
      <x:c r="P138" s="12" t="str">
        <x:f>IF(D138="","",HYPERLINK("https://wa.me/"&amp;REGEXREPLACE(D138,"[^\d]","")&amp;"?text="&amp;ENCODEURL(O138),"واتساب 3"))</x:f>
      </x:c>
    </x:row>
    <x:row r="139" ht="15" hidden="0" customHeight="1">
      <x:c r="A139" s="12" t="str">
        <x:f>IF(Leads!A139="","",Leads!A139)</x:f>
      </x:c>
      <x:c r="B139" s="12" t="str">
        <x:f>IF(Leads!F139="","",Leads!F139)</x:f>
      </x:c>
      <x:c r="C139" s="12" t="str">
        <x:f>IF(Leads!G139="","",Leads!G139)</x:f>
      </x:c>
      <x:c r="D139" s="12" t="str">
        <x:f>IF(Leads!O139="","",Leads!O139)</x:f>
      </x:c>
      <x:c r="E139" s="12" t="str">
        <x:f>IF(Leads!AV139="","",Leads!AV139)</x:f>
      </x:c>
      <x:c r="F139" s="12" t="str">
        <x:f>IF(Leads!AX139="","",Leads!AX139)</x:f>
      </x:c>
      <x:c r="G139" s="12" t="str">
        <x:f>IF(Leads!BC139="","",Leads!BC139)</x:f>
      </x:c>
      <x:c r="H139" s="12" t="str">
        <x:f>IF(Leads!BE139="","",Leads!BE139)</x:f>
      </x:c>
      <x:c r="I139" s="12" t="str">
        <x:f>IF(Leads!BG139="","",Leads!BG139)</x:f>
      </x:c>
      <x:c r="J139" s="12" t="str">
        <x:f>IF(Leads!BH139="","",Leads!BH139)</x:f>
      </x:c>
      <x:c r="K139" s="12" t="str">
        <x:f>IF(A139="","","مرحبًا "&amp;C139&amp;CHAR(10)&amp;CHAR(10)&amp;"شكرًا لإتمام تقييم DBD الخاص بعيادة "&amp;B139&amp;"."&amp;CHAR(10)&amp;"نتيجتكم الحالية: "&amp;E139&amp;"%."&amp;CHAR(10)&amp;"أولوية التحسين الأولى: "&amp;F139&amp;"."&amp;IF(J139&lt;&gt;"",CHAR(10)&amp;CHAR(10)&amp;"رابط التقرير: "&amp;J139,"")&amp;CHAR(10)&amp;CHAR(10)&amp;"إذا أحببت، يمكننا مساعدتك في فهم التقرير وتحديد أفضل خطوة تالية لعيادتكم.")</x:f>
      </x:c>
      <x:c r="L139" s="12" t="str">
        <x:f>IF(D139="","",HYPERLINK("https://wa.me/"&amp;REGEXREPLACE(D139,"[^\d]","")&amp;"?text="&amp;ENCODEURL(K139),"واتساب 1"))</x:f>
      </x:c>
      <x:c r="M139" s="12" t="str">
        <x:f>IF(A139="","","مرحبًا "&amp;C139&amp;CHAR(10)&amp;CHAR(10)&amp;"بناءً على نتيجة تقييم عيادة "&amp;B139&amp;"، فإن الترشيح الأقوى لكم الآن هو: "&amp;G139&amp;"."&amp;CHAR(10)&amp;"هذا الخيار يساعدكم في معالجة أكبر فجوة حالية بشكل عملي ومباشر."&amp;IF(J139&lt;&gt;"",CHAR(10)&amp;CHAR(10)&amp;"رابط التقرير: "&amp;J139,"")&amp;CHAR(10)&amp;CHAR(10)&amp;"إذا رغبت، يمكننا توضيح لماذا هذا الكورس هو الأنسب لكم الآن.")</x:f>
      </x:c>
      <x:c r="N139" s="12" t="str">
        <x:f>IF(D139="","",HYPERLINK("https://wa.me/"&amp;REGEXREPLACE(D139,"[^\d]","")&amp;"?text="&amp;ENCODEURL(M139),"واتساب 2"))</x:f>
      </x:c>
      <x:c r="O139" s="12" t="str">
        <x:f>IF(A139="","","مرحبًا "&amp;C139&amp;CHAR(10)&amp;CHAR(10)&amp;"إذا كانت التحديات لديكم تحتاج حلًا أشمل، فالبرنامج الكامل المناسب لكم هو: "&amp;H139&amp;"."&amp;IF(I139&lt;&gt;"",CHAR(10)&amp;"كما يمكنكم أيضًا حجز: "&amp;I139&amp;".","")&amp;IF(J139&lt;&gt;"",CHAR(10)&amp;CHAR(10)&amp;"رابط التقرير: "&amp;J139,"")&amp;CHAR(10)&amp;CHAR(10)&amp;"يسعدنا مساعدتكم في اختيار المسار الأنسب حسب وضع العيادة الحالي.")</x:f>
      </x:c>
      <x:c r="P139" s="12" t="str">
        <x:f>IF(D139="","",HYPERLINK("https://wa.me/"&amp;REGEXREPLACE(D139,"[^\d]","")&amp;"?text="&amp;ENCODEURL(O139),"واتساب 3"))</x:f>
      </x:c>
    </x:row>
    <x:row r="140" ht="15" hidden="0" customHeight="1">
      <x:c r="A140" s="12" t="str">
        <x:f>IF(Leads!A140="","",Leads!A140)</x:f>
      </x:c>
      <x:c r="B140" s="12" t="str">
        <x:f>IF(Leads!F140="","",Leads!F140)</x:f>
      </x:c>
      <x:c r="C140" s="12" t="str">
        <x:f>IF(Leads!G140="","",Leads!G140)</x:f>
      </x:c>
      <x:c r="D140" s="12" t="str">
        <x:f>IF(Leads!O140="","",Leads!O140)</x:f>
      </x:c>
      <x:c r="E140" s="12" t="str">
        <x:f>IF(Leads!AV140="","",Leads!AV140)</x:f>
      </x:c>
      <x:c r="F140" s="12" t="str">
        <x:f>IF(Leads!AX140="","",Leads!AX140)</x:f>
      </x:c>
      <x:c r="G140" s="12" t="str">
        <x:f>IF(Leads!BC140="","",Leads!BC140)</x:f>
      </x:c>
      <x:c r="H140" s="12" t="str">
        <x:f>IF(Leads!BE140="","",Leads!BE140)</x:f>
      </x:c>
      <x:c r="I140" s="12" t="str">
        <x:f>IF(Leads!BG140="","",Leads!BG140)</x:f>
      </x:c>
      <x:c r="J140" s="12" t="str">
        <x:f>IF(Leads!BH140="","",Leads!BH140)</x:f>
      </x:c>
      <x:c r="K140" s="12" t="str">
        <x:f>IF(A140="","","مرحبًا "&amp;C140&amp;CHAR(10)&amp;CHAR(10)&amp;"شكرًا لإتمام تقييم DBD الخاص بعيادة "&amp;B140&amp;"."&amp;CHAR(10)&amp;"نتيجتكم الحالية: "&amp;E140&amp;"%."&amp;CHAR(10)&amp;"أولوية التحسين الأولى: "&amp;F140&amp;"."&amp;IF(J140&lt;&gt;"",CHAR(10)&amp;CHAR(10)&amp;"رابط التقرير: "&amp;J140,"")&amp;CHAR(10)&amp;CHAR(10)&amp;"إذا أحببت، يمكننا مساعدتك في فهم التقرير وتحديد أفضل خطوة تالية لعيادتكم.")</x:f>
      </x:c>
      <x:c r="L140" s="12" t="str">
        <x:f>IF(D140="","",HYPERLINK("https://wa.me/"&amp;REGEXREPLACE(D140,"[^\d]","")&amp;"?text="&amp;ENCODEURL(K140),"واتساب 1"))</x:f>
      </x:c>
      <x:c r="M140" s="12" t="str">
        <x:f>IF(A140="","","مرحبًا "&amp;C140&amp;CHAR(10)&amp;CHAR(10)&amp;"بناءً على نتيجة تقييم عيادة "&amp;B140&amp;"، فإن الترشيح الأقوى لكم الآن هو: "&amp;G140&amp;"."&amp;CHAR(10)&amp;"هذا الخيار يساعدكم في معالجة أكبر فجوة حالية بشكل عملي ومباشر."&amp;IF(J140&lt;&gt;"",CHAR(10)&amp;CHAR(10)&amp;"رابط التقرير: "&amp;J140,"")&amp;CHAR(10)&amp;CHAR(10)&amp;"إذا رغبت، يمكننا توضيح لماذا هذا الكورس هو الأنسب لكم الآن.")</x:f>
      </x:c>
      <x:c r="N140" s="12" t="str">
        <x:f>IF(D140="","",HYPERLINK("https://wa.me/"&amp;REGEXREPLACE(D140,"[^\d]","")&amp;"?text="&amp;ENCODEURL(M140),"واتساب 2"))</x:f>
      </x:c>
      <x:c r="O140" s="12" t="str">
        <x:f>IF(A140="","","مرحبًا "&amp;C140&amp;CHAR(10)&amp;CHAR(10)&amp;"إذا كانت التحديات لديكم تحتاج حلًا أشمل، فالبرنامج الكامل المناسب لكم هو: "&amp;H140&amp;"."&amp;IF(I140&lt;&gt;"",CHAR(10)&amp;"كما يمكنكم أيضًا حجز: "&amp;I140&amp;".","")&amp;IF(J140&lt;&gt;"",CHAR(10)&amp;CHAR(10)&amp;"رابط التقرير: "&amp;J140,"")&amp;CHAR(10)&amp;CHAR(10)&amp;"يسعدنا مساعدتكم في اختيار المسار الأنسب حسب وضع العيادة الحالي.")</x:f>
      </x:c>
      <x:c r="P140" s="12" t="str">
        <x:f>IF(D140="","",HYPERLINK("https://wa.me/"&amp;REGEXREPLACE(D140,"[^\d]","")&amp;"?text="&amp;ENCODEURL(O140),"واتساب 3"))</x:f>
      </x:c>
    </x:row>
    <x:row r="141" ht="15" hidden="0" customHeight="1">
      <x:c r="A141" s="12" t="str">
        <x:f>IF(Leads!A141="","",Leads!A141)</x:f>
      </x:c>
      <x:c r="B141" s="12" t="str">
        <x:f>IF(Leads!F141="","",Leads!F141)</x:f>
      </x:c>
      <x:c r="C141" s="12" t="str">
        <x:f>IF(Leads!G141="","",Leads!G141)</x:f>
      </x:c>
      <x:c r="D141" s="12" t="str">
        <x:f>IF(Leads!O141="","",Leads!O141)</x:f>
      </x:c>
      <x:c r="E141" s="12" t="str">
        <x:f>IF(Leads!AV141="","",Leads!AV141)</x:f>
      </x:c>
      <x:c r="F141" s="12" t="str">
        <x:f>IF(Leads!AX141="","",Leads!AX141)</x:f>
      </x:c>
      <x:c r="G141" s="12" t="str">
        <x:f>IF(Leads!BC141="","",Leads!BC141)</x:f>
      </x:c>
      <x:c r="H141" s="12" t="str">
        <x:f>IF(Leads!BE141="","",Leads!BE141)</x:f>
      </x:c>
      <x:c r="I141" s="12" t="str">
        <x:f>IF(Leads!BG141="","",Leads!BG141)</x:f>
      </x:c>
      <x:c r="J141" s="12" t="str">
        <x:f>IF(Leads!BH141="","",Leads!BH141)</x:f>
      </x:c>
      <x:c r="K141" s="12" t="str">
        <x:f>IF(A141="","","مرحبًا "&amp;C141&amp;CHAR(10)&amp;CHAR(10)&amp;"شكرًا لإتمام تقييم DBD الخاص بعيادة "&amp;B141&amp;"."&amp;CHAR(10)&amp;"نتيجتكم الحالية: "&amp;E141&amp;"%."&amp;CHAR(10)&amp;"أولوية التحسين الأولى: "&amp;F141&amp;"."&amp;IF(J141&lt;&gt;"",CHAR(10)&amp;CHAR(10)&amp;"رابط التقرير: "&amp;J141,"")&amp;CHAR(10)&amp;CHAR(10)&amp;"إذا أحببت، يمكننا مساعدتك في فهم التقرير وتحديد أفضل خطوة تالية لعيادتكم.")</x:f>
      </x:c>
      <x:c r="L141" s="12" t="str">
        <x:f>IF(D141="","",HYPERLINK("https://wa.me/"&amp;REGEXREPLACE(D141,"[^\d]","")&amp;"?text="&amp;ENCODEURL(K141),"واتساب 1"))</x:f>
      </x:c>
      <x:c r="M141" s="12" t="str">
        <x:f>IF(A141="","","مرحبًا "&amp;C141&amp;CHAR(10)&amp;CHAR(10)&amp;"بناءً على نتيجة تقييم عيادة "&amp;B141&amp;"، فإن الترشيح الأقوى لكم الآن هو: "&amp;G141&amp;"."&amp;CHAR(10)&amp;"هذا الخيار يساعدكم في معالجة أكبر فجوة حالية بشكل عملي ومباشر."&amp;IF(J141&lt;&gt;"",CHAR(10)&amp;CHAR(10)&amp;"رابط التقرير: "&amp;J141,"")&amp;CHAR(10)&amp;CHAR(10)&amp;"إذا رغبت، يمكننا توضيح لماذا هذا الكورس هو الأنسب لكم الآن.")</x:f>
      </x:c>
      <x:c r="N141" s="12" t="str">
        <x:f>IF(D141="","",HYPERLINK("https://wa.me/"&amp;REGEXREPLACE(D141,"[^\d]","")&amp;"?text="&amp;ENCODEURL(M141),"واتساب 2"))</x:f>
      </x:c>
      <x:c r="O141" s="12" t="str">
        <x:f>IF(A141="","","مرحبًا "&amp;C141&amp;CHAR(10)&amp;CHAR(10)&amp;"إذا كانت التحديات لديكم تحتاج حلًا أشمل، فالبرنامج الكامل المناسب لكم هو: "&amp;H141&amp;"."&amp;IF(I141&lt;&gt;"",CHAR(10)&amp;"كما يمكنكم أيضًا حجز: "&amp;I141&amp;".","")&amp;IF(J141&lt;&gt;"",CHAR(10)&amp;CHAR(10)&amp;"رابط التقرير: "&amp;J141,"")&amp;CHAR(10)&amp;CHAR(10)&amp;"يسعدنا مساعدتكم في اختيار المسار الأنسب حسب وضع العيادة الحالي.")</x:f>
      </x:c>
      <x:c r="P141" s="12" t="str">
        <x:f>IF(D141="","",HYPERLINK("https://wa.me/"&amp;REGEXREPLACE(D141,"[^\d]","")&amp;"?text="&amp;ENCODEURL(O141),"واتساب 3"))</x:f>
      </x:c>
    </x:row>
    <x:row r="142" ht="15" hidden="0" customHeight="1">
      <x:c r="A142" s="12" t="str">
        <x:f>IF(Leads!A142="","",Leads!A142)</x:f>
      </x:c>
      <x:c r="B142" s="12" t="str">
        <x:f>IF(Leads!F142="","",Leads!F142)</x:f>
      </x:c>
      <x:c r="C142" s="12" t="str">
        <x:f>IF(Leads!G142="","",Leads!G142)</x:f>
      </x:c>
      <x:c r="D142" s="12" t="str">
        <x:f>IF(Leads!O142="","",Leads!O142)</x:f>
      </x:c>
      <x:c r="E142" s="12" t="str">
        <x:f>IF(Leads!AV142="","",Leads!AV142)</x:f>
      </x:c>
      <x:c r="F142" s="12" t="str">
        <x:f>IF(Leads!AX142="","",Leads!AX142)</x:f>
      </x:c>
      <x:c r="G142" s="12" t="str">
        <x:f>IF(Leads!BC142="","",Leads!BC142)</x:f>
      </x:c>
      <x:c r="H142" s="12" t="str">
        <x:f>IF(Leads!BE142="","",Leads!BE142)</x:f>
      </x:c>
      <x:c r="I142" s="12" t="str">
        <x:f>IF(Leads!BG142="","",Leads!BG142)</x:f>
      </x:c>
      <x:c r="J142" s="12" t="str">
        <x:f>IF(Leads!BH142="","",Leads!BH142)</x:f>
      </x:c>
      <x:c r="K142" s="12" t="str">
        <x:f>IF(A142="","","مرحبًا "&amp;C142&amp;CHAR(10)&amp;CHAR(10)&amp;"شكرًا لإتمام تقييم DBD الخاص بعيادة "&amp;B142&amp;"."&amp;CHAR(10)&amp;"نتيجتكم الحالية: "&amp;E142&amp;"%."&amp;CHAR(10)&amp;"أولوية التحسين الأولى: "&amp;F142&amp;"."&amp;IF(J142&lt;&gt;"",CHAR(10)&amp;CHAR(10)&amp;"رابط التقرير: "&amp;J142,"")&amp;CHAR(10)&amp;CHAR(10)&amp;"إذا أحببت، يمكننا مساعدتك في فهم التقرير وتحديد أفضل خطوة تالية لعيادتكم.")</x:f>
      </x:c>
      <x:c r="L142" s="12" t="str">
        <x:f>IF(D142="","",HYPERLINK("https://wa.me/"&amp;REGEXREPLACE(D142,"[^\d]","")&amp;"?text="&amp;ENCODEURL(K142),"واتساب 1"))</x:f>
      </x:c>
      <x:c r="M142" s="12" t="str">
        <x:f>IF(A142="","","مرحبًا "&amp;C142&amp;CHAR(10)&amp;CHAR(10)&amp;"بناءً على نتيجة تقييم عيادة "&amp;B142&amp;"، فإن الترشيح الأقوى لكم الآن هو: "&amp;G142&amp;"."&amp;CHAR(10)&amp;"هذا الخيار يساعدكم في معالجة أكبر فجوة حالية بشكل عملي ومباشر."&amp;IF(J142&lt;&gt;"",CHAR(10)&amp;CHAR(10)&amp;"رابط التقرير: "&amp;J142,"")&amp;CHAR(10)&amp;CHAR(10)&amp;"إذا رغبت، يمكننا توضيح لماذا هذا الكورس هو الأنسب لكم الآن.")</x:f>
      </x:c>
      <x:c r="N142" s="12" t="str">
        <x:f>IF(D142="","",HYPERLINK("https://wa.me/"&amp;REGEXREPLACE(D142,"[^\d]","")&amp;"?text="&amp;ENCODEURL(M142),"واتساب 2"))</x:f>
      </x:c>
      <x:c r="O142" s="12" t="str">
        <x:f>IF(A142="","","مرحبًا "&amp;C142&amp;CHAR(10)&amp;CHAR(10)&amp;"إذا كانت التحديات لديكم تحتاج حلًا أشمل، فالبرنامج الكامل المناسب لكم هو: "&amp;H142&amp;"."&amp;IF(I142&lt;&gt;"",CHAR(10)&amp;"كما يمكنكم أيضًا حجز: "&amp;I142&amp;".","")&amp;IF(J142&lt;&gt;"",CHAR(10)&amp;CHAR(10)&amp;"رابط التقرير: "&amp;J142,"")&amp;CHAR(10)&amp;CHAR(10)&amp;"يسعدنا مساعدتكم في اختيار المسار الأنسب حسب وضع العيادة الحالي.")</x:f>
      </x:c>
      <x:c r="P142" s="12" t="str">
        <x:f>IF(D142="","",HYPERLINK("https://wa.me/"&amp;REGEXREPLACE(D142,"[^\d]","")&amp;"?text="&amp;ENCODEURL(O142),"واتساب 3"))</x:f>
      </x:c>
    </x:row>
    <x:row r="143" ht="15" hidden="0" customHeight="1">
      <x:c r="A143" s="12" t="str">
        <x:f>IF(Leads!A143="","",Leads!A143)</x:f>
      </x:c>
      <x:c r="B143" s="12" t="str">
        <x:f>IF(Leads!F143="","",Leads!F143)</x:f>
      </x:c>
      <x:c r="C143" s="12" t="str">
        <x:f>IF(Leads!G143="","",Leads!G143)</x:f>
      </x:c>
      <x:c r="D143" s="12" t="str">
        <x:f>IF(Leads!O143="","",Leads!O143)</x:f>
      </x:c>
      <x:c r="E143" s="12" t="str">
        <x:f>IF(Leads!AV143="","",Leads!AV143)</x:f>
      </x:c>
      <x:c r="F143" s="12" t="str">
        <x:f>IF(Leads!AX143="","",Leads!AX143)</x:f>
      </x:c>
      <x:c r="G143" s="12" t="str">
        <x:f>IF(Leads!BC143="","",Leads!BC143)</x:f>
      </x:c>
      <x:c r="H143" s="12" t="str">
        <x:f>IF(Leads!BE143="","",Leads!BE143)</x:f>
      </x:c>
      <x:c r="I143" s="12" t="str">
        <x:f>IF(Leads!BG143="","",Leads!BG143)</x:f>
      </x:c>
      <x:c r="J143" s="12" t="str">
        <x:f>IF(Leads!BH143="","",Leads!BH143)</x:f>
      </x:c>
      <x:c r="K143" s="12" t="str">
        <x:f>IF(A143="","","مرحبًا "&amp;C143&amp;CHAR(10)&amp;CHAR(10)&amp;"شكرًا لإتمام تقييم DBD الخاص بعيادة "&amp;B143&amp;"."&amp;CHAR(10)&amp;"نتيجتكم الحالية: "&amp;E143&amp;"%."&amp;CHAR(10)&amp;"أولوية التحسين الأولى: "&amp;F143&amp;"."&amp;IF(J143&lt;&gt;"",CHAR(10)&amp;CHAR(10)&amp;"رابط التقرير: "&amp;J143,"")&amp;CHAR(10)&amp;CHAR(10)&amp;"إذا أحببت، يمكننا مساعدتك في فهم التقرير وتحديد أفضل خطوة تالية لعيادتكم.")</x:f>
      </x:c>
      <x:c r="L143" s="12" t="str">
        <x:f>IF(D143="","",HYPERLINK("https://wa.me/"&amp;REGEXREPLACE(D143,"[^\d]","")&amp;"?text="&amp;ENCODEURL(K143),"واتساب 1"))</x:f>
      </x:c>
      <x:c r="M143" s="12" t="str">
        <x:f>IF(A143="","","مرحبًا "&amp;C143&amp;CHAR(10)&amp;CHAR(10)&amp;"بناءً على نتيجة تقييم عيادة "&amp;B143&amp;"، فإن الترشيح الأقوى لكم الآن هو: "&amp;G143&amp;"."&amp;CHAR(10)&amp;"هذا الخيار يساعدكم في معالجة أكبر فجوة حالية بشكل عملي ومباشر."&amp;IF(J143&lt;&gt;"",CHAR(10)&amp;CHAR(10)&amp;"رابط التقرير: "&amp;J143,"")&amp;CHAR(10)&amp;CHAR(10)&amp;"إذا رغبت، يمكننا توضيح لماذا هذا الكورس هو الأنسب لكم الآن.")</x:f>
      </x:c>
      <x:c r="N143" s="12" t="str">
        <x:f>IF(D143="","",HYPERLINK("https://wa.me/"&amp;REGEXREPLACE(D143,"[^\d]","")&amp;"?text="&amp;ENCODEURL(M143),"واتساب 2"))</x:f>
      </x:c>
      <x:c r="O143" s="12" t="str">
        <x:f>IF(A143="","","مرحبًا "&amp;C143&amp;CHAR(10)&amp;CHAR(10)&amp;"إذا كانت التحديات لديكم تحتاج حلًا أشمل، فالبرنامج الكامل المناسب لكم هو: "&amp;H143&amp;"."&amp;IF(I143&lt;&gt;"",CHAR(10)&amp;"كما يمكنكم أيضًا حجز: "&amp;I143&amp;".","")&amp;IF(J143&lt;&gt;"",CHAR(10)&amp;CHAR(10)&amp;"رابط التقرير: "&amp;J143,"")&amp;CHAR(10)&amp;CHAR(10)&amp;"يسعدنا مساعدتكم في اختيار المسار الأنسب حسب وضع العيادة الحالي.")</x:f>
      </x:c>
      <x:c r="P143" s="12" t="str">
        <x:f>IF(D143="","",HYPERLINK("https://wa.me/"&amp;REGEXREPLACE(D143,"[^\d]","")&amp;"?text="&amp;ENCODEURL(O143),"واتساب 3"))</x:f>
      </x:c>
    </x:row>
    <x:row r="144" ht="15" hidden="0" customHeight="1">
      <x:c r="A144" s="12" t="str">
        <x:f>IF(Leads!A144="","",Leads!A144)</x:f>
      </x:c>
      <x:c r="B144" s="12" t="str">
        <x:f>IF(Leads!F144="","",Leads!F144)</x:f>
      </x:c>
      <x:c r="C144" s="12" t="str">
        <x:f>IF(Leads!G144="","",Leads!G144)</x:f>
      </x:c>
      <x:c r="D144" s="12" t="str">
        <x:f>IF(Leads!O144="","",Leads!O144)</x:f>
      </x:c>
      <x:c r="E144" s="12" t="str">
        <x:f>IF(Leads!AV144="","",Leads!AV144)</x:f>
      </x:c>
      <x:c r="F144" s="12" t="str">
        <x:f>IF(Leads!AX144="","",Leads!AX144)</x:f>
      </x:c>
      <x:c r="G144" s="12" t="str">
        <x:f>IF(Leads!BC144="","",Leads!BC144)</x:f>
      </x:c>
      <x:c r="H144" s="12" t="str">
        <x:f>IF(Leads!BE144="","",Leads!BE144)</x:f>
      </x:c>
      <x:c r="I144" s="12" t="str">
        <x:f>IF(Leads!BG144="","",Leads!BG144)</x:f>
      </x:c>
      <x:c r="J144" s="12" t="str">
        <x:f>IF(Leads!BH144="","",Leads!BH144)</x:f>
      </x:c>
      <x:c r="K144" s="12" t="str">
        <x:f>IF(A144="","","مرحبًا "&amp;C144&amp;CHAR(10)&amp;CHAR(10)&amp;"شكرًا لإتمام تقييم DBD الخاص بعيادة "&amp;B144&amp;"."&amp;CHAR(10)&amp;"نتيجتكم الحالية: "&amp;E144&amp;"%."&amp;CHAR(10)&amp;"أولوية التحسين الأولى: "&amp;F144&amp;"."&amp;IF(J144&lt;&gt;"",CHAR(10)&amp;CHAR(10)&amp;"رابط التقرير: "&amp;J144,"")&amp;CHAR(10)&amp;CHAR(10)&amp;"إذا أحببت، يمكننا مساعدتك في فهم التقرير وتحديد أفضل خطوة تالية لعيادتكم.")</x:f>
      </x:c>
      <x:c r="L144" s="12" t="str">
        <x:f>IF(D144="","",HYPERLINK("https://wa.me/"&amp;REGEXREPLACE(D144,"[^\d]","")&amp;"?text="&amp;ENCODEURL(K144),"واتساب 1"))</x:f>
      </x:c>
      <x:c r="M144" s="12" t="str">
        <x:f>IF(A144="","","مرحبًا "&amp;C144&amp;CHAR(10)&amp;CHAR(10)&amp;"بناءً على نتيجة تقييم عيادة "&amp;B144&amp;"، فإن الترشيح الأقوى لكم الآن هو: "&amp;G144&amp;"."&amp;CHAR(10)&amp;"هذا الخيار يساعدكم في معالجة أكبر فجوة حالية بشكل عملي ومباشر."&amp;IF(J144&lt;&gt;"",CHAR(10)&amp;CHAR(10)&amp;"رابط التقرير: "&amp;J144,"")&amp;CHAR(10)&amp;CHAR(10)&amp;"إذا رغبت، يمكننا توضيح لماذا هذا الكورس هو الأنسب لكم الآن.")</x:f>
      </x:c>
      <x:c r="N144" s="12" t="str">
        <x:f>IF(D144="","",HYPERLINK("https://wa.me/"&amp;REGEXREPLACE(D144,"[^\d]","")&amp;"?text="&amp;ENCODEURL(M144),"واتساب 2"))</x:f>
      </x:c>
      <x:c r="O144" s="12" t="str">
        <x:f>IF(A144="","","مرحبًا "&amp;C144&amp;CHAR(10)&amp;CHAR(10)&amp;"إذا كانت التحديات لديكم تحتاج حلًا أشمل، فالبرنامج الكامل المناسب لكم هو: "&amp;H144&amp;"."&amp;IF(I144&lt;&gt;"",CHAR(10)&amp;"كما يمكنكم أيضًا حجز: "&amp;I144&amp;".","")&amp;IF(J144&lt;&gt;"",CHAR(10)&amp;CHAR(10)&amp;"رابط التقرير: "&amp;J144,"")&amp;CHAR(10)&amp;CHAR(10)&amp;"يسعدنا مساعدتكم في اختيار المسار الأنسب حسب وضع العيادة الحالي.")</x:f>
      </x:c>
      <x:c r="P144" s="12" t="str">
        <x:f>IF(D144="","",HYPERLINK("https://wa.me/"&amp;REGEXREPLACE(D144,"[^\d]","")&amp;"?text="&amp;ENCODEURL(O144),"واتساب 3"))</x:f>
      </x:c>
    </x:row>
    <x:row r="145" ht="15" hidden="0" customHeight="1">
      <x:c r="A145" s="12" t="str">
        <x:f>IF(Leads!A145="","",Leads!A145)</x:f>
      </x:c>
      <x:c r="B145" s="12" t="str">
        <x:f>IF(Leads!F145="","",Leads!F145)</x:f>
      </x:c>
      <x:c r="C145" s="12" t="str">
        <x:f>IF(Leads!G145="","",Leads!G145)</x:f>
      </x:c>
      <x:c r="D145" s="12" t="str">
        <x:f>IF(Leads!O145="","",Leads!O145)</x:f>
      </x:c>
      <x:c r="E145" s="12" t="str">
        <x:f>IF(Leads!AV145="","",Leads!AV145)</x:f>
      </x:c>
      <x:c r="F145" s="12" t="str">
        <x:f>IF(Leads!AX145="","",Leads!AX145)</x:f>
      </x:c>
      <x:c r="G145" s="12" t="str">
        <x:f>IF(Leads!BC145="","",Leads!BC145)</x:f>
      </x:c>
      <x:c r="H145" s="12" t="str">
        <x:f>IF(Leads!BE145="","",Leads!BE145)</x:f>
      </x:c>
      <x:c r="I145" s="12" t="str">
        <x:f>IF(Leads!BG145="","",Leads!BG145)</x:f>
      </x:c>
      <x:c r="J145" s="12" t="str">
        <x:f>IF(Leads!BH145="","",Leads!BH145)</x:f>
      </x:c>
      <x:c r="K145" s="12" t="str">
        <x:f>IF(A145="","","مرحبًا "&amp;C145&amp;CHAR(10)&amp;CHAR(10)&amp;"شكرًا لإتمام تقييم DBD الخاص بعيادة "&amp;B145&amp;"."&amp;CHAR(10)&amp;"نتيجتكم الحالية: "&amp;E145&amp;"%."&amp;CHAR(10)&amp;"أولوية التحسين الأولى: "&amp;F145&amp;"."&amp;IF(J145&lt;&gt;"",CHAR(10)&amp;CHAR(10)&amp;"رابط التقرير: "&amp;J145,"")&amp;CHAR(10)&amp;CHAR(10)&amp;"إذا أحببت، يمكننا مساعدتك في فهم التقرير وتحديد أفضل خطوة تالية لعيادتكم.")</x:f>
      </x:c>
      <x:c r="L145" s="12" t="str">
        <x:f>IF(D145="","",HYPERLINK("https://wa.me/"&amp;REGEXREPLACE(D145,"[^\d]","")&amp;"?text="&amp;ENCODEURL(K145),"واتساب 1"))</x:f>
      </x:c>
      <x:c r="M145" s="12" t="str">
        <x:f>IF(A145="","","مرحبًا "&amp;C145&amp;CHAR(10)&amp;CHAR(10)&amp;"بناءً على نتيجة تقييم عيادة "&amp;B145&amp;"، فإن الترشيح الأقوى لكم الآن هو: "&amp;G145&amp;"."&amp;CHAR(10)&amp;"هذا الخيار يساعدكم في معالجة أكبر فجوة حالية بشكل عملي ومباشر."&amp;IF(J145&lt;&gt;"",CHAR(10)&amp;CHAR(10)&amp;"رابط التقرير: "&amp;J145,"")&amp;CHAR(10)&amp;CHAR(10)&amp;"إذا رغبت، يمكننا توضيح لماذا هذا الكورس هو الأنسب لكم الآن.")</x:f>
      </x:c>
      <x:c r="N145" s="12" t="str">
        <x:f>IF(D145="","",HYPERLINK("https://wa.me/"&amp;REGEXREPLACE(D145,"[^\d]","")&amp;"?text="&amp;ENCODEURL(M145),"واتساب 2"))</x:f>
      </x:c>
      <x:c r="O145" s="12" t="str">
        <x:f>IF(A145="","","مرحبًا "&amp;C145&amp;CHAR(10)&amp;CHAR(10)&amp;"إذا كانت التحديات لديكم تحتاج حلًا أشمل، فالبرنامج الكامل المناسب لكم هو: "&amp;H145&amp;"."&amp;IF(I145&lt;&gt;"",CHAR(10)&amp;"كما يمكنكم أيضًا حجز: "&amp;I145&amp;".","")&amp;IF(J145&lt;&gt;"",CHAR(10)&amp;CHAR(10)&amp;"رابط التقرير: "&amp;J145,"")&amp;CHAR(10)&amp;CHAR(10)&amp;"يسعدنا مساعدتكم في اختيار المسار الأنسب حسب وضع العيادة الحالي.")</x:f>
      </x:c>
      <x:c r="P145" s="12" t="str">
        <x:f>IF(D145="","",HYPERLINK("https://wa.me/"&amp;REGEXREPLACE(D145,"[^\d]","")&amp;"?text="&amp;ENCODEURL(O145),"واتساب 3"))</x:f>
      </x:c>
    </x:row>
    <x:row r="146" ht="15" hidden="0" customHeight="1">
      <x:c r="A146" s="12" t="str">
        <x:f>IF(Leads!A146="","",Leads!A146)</x:f>
      </x:c>
      <x:c r="B146" s="12" t="str">
        <x:f>IF(Leads!F146="","",Leads!F146)</x:f>
      </x:c>
      <x:c r="C146" s="12" t="str">
        <x:f>IF(Leads!G146="","",Leads!G146)</x:f>
      </x:c>
      <x:c r="D146" s="12" t="str">
        <x:f>IF(Leads!O146="","",Leads!O146)</x:f>
      </x:c>
      <x:c r="E146" s="12" t="str">
        <x:f>IF(Leads!AV146="","",Leads!AV146)</x:f>
      </x:c>
      <x:c r="F146" s="12" t="str">
        <x:f>IF(Leads!AX146="","",Leads!AX146)</x:f>
      </x:c>
      <x:c r="G146" s="12" t="str">
        <x:f>IF(Leads!BC146="","",Leads!BC146)</x:f>
      </x:c>
      <x:c r="H146" s="12" t="str">
        <x:f>IF(Leads!BE146="","",Leads!BE146)</x:f>
      </x:c>
      <x:c r="I146" s="12" t="str">
        <x:f>IF(Leads!BG146="","",Leads!BG146)</x:f>
      </x:c>
      <x:c r="J146" s="12" t="str">
        <x:f>IF(Leads!BH146="","",Leads!BH146)</x:f>
      </x:c>
      <x:c r="K146" s="12" t="str">
        <x:f>IF(A146="","","مرحبًا "&amp;C146&amp;CHAR(10)&amp;CHAR(10)&amp;"شكرًا لإتمام تقييم DBD الخاص بعيادة "&amp;B146&amp;"."&amp;CHAR(10)&amp;"نتيجتكم الحالية: "&amp;E146&amp;"%."&amp;CHAR(10)&amp;"أولوية التحسين الأولى: "&amp;F146&amp;"."&amp;IF(J146&lt;&gt;"",CHAR(10)&amp;CHAR(10)&amp;"رابط التقرير: "&amp;J146,"")&amp;CHAR(10)&amp;CHAR(10)&amp;"إذا أحببت، يمكننا مساعدتك في فهم التقرير وتحديد أفضل خطوة تالية لعيادتكم.")</x:f>
      </x:c>
      <x:c r="L146" s="12" t="str">
        <x:f>IF(D146="","",HYPERLINK("https://wa.me/"&amp;REGEXREPLACE(D146,"[^\d]","")&amp;"?text="&amp;ENCODEURL(K146),"واتساب 1"))</x:f>
      </x:c>
      <x:c r="M146" s="12" t="str">
        <x:f>IF(A146="","","مرحبًا "&amp;C146&amp;CHAR(10)&amp;CHAR(10)&amp;"بناءً على نتيجة تقييم عيادة "&amp;B146&amp;"، فإن الترشيح الأقوى لكم الآن هو: "&amp;G146&amp;"."&amp;CHAR(10)&amp;"هذا الخيار يساعدكم في معالجة أكبر فجوة حالية بشكل عملي ومباشر."&amp;IF(J146&lt;&gt;"",CHAR(10)&amp;CHAR(10)&amp;"رابط التقرير: "&amp;J146,"")&amp;CHAR(10)&amp;CHAR(10)&amp;"إذا رغبت، يمكننا توضيح لماذا هذا الكورس هو الأنسب لكم الآن.")</x:f>
      </x:c>
      <x:c r="N146" s="12" t="str">
        <x:f>IF(D146="","",HYPERLINK("https://wa.me/"&amp;REGEXREPLACE(D146,"[^\d]","")&amp;"?text="&amp;ENCODEURL(M146),"واتساب 2"))</x:f>
      </x:c>
      <x:c r="O146" s="12" t="str">
        <x:f>IF(A146="","","مرحبًا "&amp;C146&amp;CHAR(10)&amp;CHAR(10)&amp;"إذا كانت التحديات لديكم تحتاج حلًا أشمل، فالبرنامج الكامل المناسب لكم هو: "&amp;H146&amp;"."&amp;IF(I146&lt;&gt;"",CHAR(10)&amp;"كما يمكنكم أيضًا حجز: "&amp;I146&amp;".","")&amp;IF(J146&lt;&gt;"",CHAR(10)&amp;CHAR(10)&amp;"رابط التقرير: "&amp;J146,"")&amp;CHAR(10)&amp;CHAR(10)&amp;"يسعدنا مساعدتكم في اختيار المسار الأنسب حسب وضع العيادة الحالي.")</x:f>
      </x:c>
      <x:c r="P146" s="12" t="str">
        <x:f>IF(D146="","",HYPERLINK("https://wa.me/"&amp;REGEXREPLACE(D146,"[^\d]","")&amp;"?text="&amp;ENCODEURL(O146),"واتساب 3"))</x:f>
      </x:c>
    </x:row>
    <x:row r="147" ht="15" hidden="0" customHeight="1">
      <x:c r="A147" s="12" t="str">
        <x:f>IF(Leads!A147="","",Leads!A147)</x:f>
      </x:c>
      <x:c r="B147" s="12" t="str">
        <x:f>IF(Leads!F147="","",Leads!F147)</x:f>
      </x:c>
      <x:c r="C147" s="12" t="str">
        <x:f>IF(Leads!G147="","",Leads!G147)</x:f>
      </x:c>
      <x:c r="D147" s="12" t="str">
        <x:f>IF(Leads!O147="","",Leads!O147)</x:f>
      </x:c>
      <x:c r="E147" s="12" t="str">
        <x:f>IF(Leads!AV147="","",Leads!AV147)</x:f>
      </x:c>
      <x:c r="F147" s="12" t="str">
        <x:f>IF(Leads!AX147="","",Leads!AX147)</x:f>
      </x:c>
      <x:c r="G147" s="12" t="str">
        <x:f>IF(Leads!BC147="","",Leads!BC147)</x:f>
      </x:c>
      <x:c r="H147" s="12" t="str">
        <x:f>IF(Leads!BE147="","",Leads!BE147)</x:f>
      </x:c>
      <x:c r="I147" s="12" t="str">
        <x:f>IF(Leads!BG147="","",Leads!BG147)</x:f>
      </x:c>
      <x:c r="J147" s="12" t="str">
        <x:f>IF(Leads!BH147="","",Leads!BH147)</x:f>
      </x:c>
      <x:c r="K147" s="12" t="str">
        <x:f>IF(A147="","","مرحبًا "&amp;C147&amp;CHAR(10)&amp;CHAR(10)&amp;"شكرًا لإتمام تقييم DBD الخاص بعيادة "&amp;B147&amp;"."&amp;CHAR(10)&amp;"نتيجتكم الحالية: "&amp;E147&amp;"%."&amp;CHAR(10)&amp;"أولوية التحسين الأولى: "&amp;F147&amp;"."&amp;IF(J147&lt;&gt;"",CHAR(10)&amp;CHAR(10)&amp;"رابط التقرير: "&amp;J147,"")&amp;CHAR(10)&amp;CHAR(10)&amp;"إذا أحببت، يمكننا مساعدتك في فهم التقرير وتحديد أفضل خطوة تالية لعيادتكم.")</x:f>
      </x:c>
      <x:c r="L147" s="12" t="str">
        <x:f>IF(D147="","",HYPERLINK("https://wa.me/"&amp;REGEXREPLACE(D147,"[^\d]","")&amp;"?text="&amp;ENCODEURL(K147),"واتساب 1"))</x:f>
      </x:c>
      <x:c r="M147" s="12" t="str">
        <x:f>IF(A147="","","مرحبًا "&amp;C147&amp;CHAR(10)&amp;CHAR(10)&amp;"بناءً على نتيجة تقييم عيادة "&amp;B147&amp;"، فإن الترشيح الأقوى لكم الآن هو: "&amp;G147&amp;"."&amp;CHAR(10)&amp;"هذا الخيار يساعدكم في معالجة أكبر فجوة حالية بشكل عملي ومباشر."&amp;IF(J147&lt;&gt;"",CHAR(10)&amp;CHAR(10)&amp;"رابط التقرير: "&amp;J147,"")&amp;CHAR(10)&amp;CHAR(10)&amp;"إذا رغبت، يمكننا توضيح لماذا هذا الكورس هو الأنسب لكم الآن.")</x:f>
      </x:c>
      <x:c r="N147" s="12" t="str">
        <x:f>IF(D147="","",HYPERLINK("https://wa.me/"&amp;REGEXREPLACE(D147,"[^\d]","")&amp;"?text="&amp;ENCODEURL(M147),"واتساب 2"))</x:f>
      </x:c>
      <x:c r="O147" s="12" t="str">
        <x:f>IF(A147="","","مرحبًا "&amp;C147&amp;CHAR(10)&amp;CHAR(10)&amp;"إذا كانت التحديات لديكم تحتاج حلًا أشمل، فالبرنامج الكامل المناسب لكم هو: "&amp;H147&amp;"."&amp;IF(I147&lt;&gt;"",CHAR(10)&amp;"كما يمكنكم أيضًا حجز: "&amp;I147&amp;".","")&amp;IF(J147&lt;&gt;"",CHAR(10)&amp;CHAR(10)&amp;"رابط التقرير: "&amp;J147,"")&amp;CHAR(10)&amp;CHAR(10)&amp;"يسعدنا مساعدتكم في اختيار المسار الأنسب حسب وضع العيادة الحالي.")</x:f>
      </x:c>
      <x:c r="P147" s="12" t="str">
        <x:f>IF(D147="","",HYPERLINK("https://wa.me/"&amp;REGEXREPLACE(D147,"[^\d]","")&amp;"?text="&amp;ENCODEURL(O147),"واتساب 3"))</x:f>
      </x:c>
    </x:row>
    <x:row r="148" ht="15" hidden="0" customHeight="1">
      <x:c r="A148" s="12" t="str">
        <x:f>IF(Leads!A148="","",Leads!A148)</x:f>
      </x:c>
      <x:c r="B148" s="12" t="str">
        <x:f>IF(Leads!F148="","",Leads!F148)</x:f>
      </x:c>
      <x:c r="C148" s="12" t="str">
        <x:f>IF(Leads!G148="","",Leads!G148)</x:f>
      </x:c>
      <x:c r="D148" s="12" t="str">
        <x:f>IF(Leads!O148="","",Leads!O148)</x:f>
      </x:c>
      <x:c r="E148" s="12" t="str">
        <x:f>IF(Leads!AV148="","",Leads!AV148)</x:f>
      </x:c>
      <x:c r="F148" s="12" t="str">
        <x:f>IF(Leads!AX148="","",Leads!AX148)</x:f>
      </x:c>
      <x:c r="G148" s="12" t="str">
        <x:f>IF(Leads!BC148="","",Leads!BC148)</x:f>
      </x:c>
      <x:c r="H148" s="12" t="str">
        <x:f>IF(Leads!BE148="","",Leads!BE148)</x:f>
      </x:c>
      <x:c r="I148" s="12" t="str">
        <x:f>IF(Leads!BG148="","",Leads!BG148)</x:f>
      </x:c>
      <x:c r="J148" s="12" t="str">
        <x:f>IF(Leads!BH148="","",Leads!BH148)</x:f>
      </x:c>
      <x:c r="K148" s="12" t="str">
        <x:f>IF(A148="","","مرحبًا "&amp;C148&amp;CHAR(10)&amp;CHAR(10)&amp;"شكرًا لإتمام تقييم DBD الخاص بعيادة "&amp;B148&amp;"."&amp;CHAR(10)&amp;"نتيجتكم الحالية: "&amp;E148&amp;"%."&amp;CHAR(10)&amp;"أولوية التحسين الأولى: "&amp;F148&amp;"."&amp;IF(J148&lt;&gt;"",CHAR(10)&amp;CHAR(10)&amp;"رابط التقرير: "&amp;J148,"")&amp;CHAR(10)&amp;CHAR(10)&amp;"إذا أحببت، يمكننا مساعدتك في فهم التقرير وتحديد أفضل خطوة تالية لعيادتكم.")</x:f>
      </x:c>
      <x:c r="L148" s="12" t="str">
        <x:f>IF(D148="","",HYPERLINK("https://wa.me/"&amp;REGEXREPLACE(D148,"[^\d]","")&amp;"?text="&amp;ENCODEURL(K148),"واتساب 1"))</x:f>
      </x:c>
      <x:c r="M148" s="12" t="str">
        <x:f>IF(A148="","","مرحبًا "&amp;C148&amp;CHAR(10)&amp;CHAR(10)&amp;"بناءً على نتيجة تقييم عيادة "&amp;B148&amp;"، فإن الترشيح الأقوى لكم الآن هو: "&amp;G148&amp;"."&amp;CHAR(10)&amp;"هذا الخيار يساعدكم في معالجة أكبر فجوة حالية بشكل عملي ومباشر."&amp;IF(J148&lt;&gt;"",CHAR(10)&amp;CHAR(10)&amp;"رابط التقرير: "&amp;J148,"")&amp;CHAR(10)&amp;CHAR(10)&amp;"إذا رغبت، يمكننا توضيح لماذا هذا الكورس هو الأنسب لكم الآن.")</x:f>
      </x:c>
      <x:c r="N148" s="12" t="str">
        <x:f>IF(D148="","",HYPERLINK("https://wa.me/"&amp;REGEXREPLACE(D148,"[^\d]","")&amp;"?text="&amp;ENCODEURL(M148),"واتساب 2"))</x:f>
      </x:c>
      <x:c r="O148" s="12" t="str">
        <x:f>IF(A148="","","مرحبًا "&amp;C148&amp;CHAR(10)&amp;CHAR(10)&amp;"إذا كانت التحديات لديكم تحتاج حلًا أشمل، فالبرنامج الكامل المناسب لكم هو: "&amp;H148&amp;"."&amp;IF(I148&lt;&gt;"",CHAR(10)&amp;"كما يمكنكم أيضًا حجز: "&amp;I148&amp;".","")&amp;IF(J148&lt;&gt;"",CHAR(10)&amp;CHAR(10)&amp;"رابط التقرير: "&amp;J148,"")&amp;CHAR(10)&amp;CHAR(10)&amp;"يسعدنا مساعدتكم في اختيار المسار الأنسب حسب وضع العيادة الحالي.")</x:f>
      </x:c>
      <x:c r="P148" s="12" t="str">
        <x:f>IF(D148="","",HYPERLINK("https://wa.me/"&amp;REGEXREPLACE(D148,"[^\d]","")&amp;"?text="&amp;ENCODEURL(O148),"واتساب 3"))</x:f>
      </x:c>
    </x:row>
    <x:row r="149" ht="15" hidden="0" customHeight="1">
      <x:c r="A149" s="12" t="str">
        <x:f>IF(Leads!A149="","",Leads!A149)</x:f>
      </x:c>
      <x:c r="B149" s="12" t="str">
        <x:f>IF(Leads!F149="","",Leads!F149)</x:f>
      </x:c>
      <x:c r="C149" s="12" t="str">
        <x:f>IF(Leads!G149="","",Leads!G149)</x:f>
      </x:c>
      <x:c r="D149" s="12" t="str">
        <x:f>IF(Leads!O149="","",Leads!O149)</x:f>
      </x:c>
      <x:c r="E149" s="12" t="str">
        <x:f>IF(Leads!AV149="","",Leads!AV149)</x:f>
      </x:c>
      <x:c r="F149" s="12" t="str">
        <x:f>IF(Leads!AX149="","",Leads!AX149)</x:f>
      </x:c>
      <x:c r="G149" s="12" t="str">
        <x:f>IF(Leads!BC149="","",Leads!BC149)</x:f>
      </x:c>
      <x:c r="H149" s="12" t="str">
        <x:f>IF(Leads!BE149="","",Leads!BE149)</x:f>
      </x:c>
      <x:c r="I149" s="12" t="str">
        <x:f>IF(Leads!BG149="","",Leads!BG149)</x:f>
      </x:c>
      <x:c r="J149" s="12" t="str">
        <x:f>IF(Leads!BH149="","",Leads!BH149)</x:f>
      </x:c>
      <x:c r="K149" s="12" t="str">
        <x:f>IF(A149="","","مرحبًا "&amp;C149&amp;CHAR(10)&amp;CHAR(10)&amp;"شكرًا لإتمام تقييم DBD الخاص بعيادة "&amp;B149&amp;"."&amp;CHAR(10)&amp;"نتيجتكم الحالية: "&amp;E149&amp;"%."&amp;CHAR(10)&amp;"أولوية التحسين الأولى: "&amp;F149&amp;"."&amp;IF(J149&lt;&gt;"",CHAR(10)&amp;CHAR(10)&amp;"رابط التقرير: "&amp;J149,"")&amp;CHAR(10)&amp;CHAR(10)&amp;"إذا أحببت، يمكننا مساعدتك في فهم التقرير وتحديد أفضل خطوة تالية لعيادتكم.")</x:f>
      </x:c>
      <x:c r="L149" s="12" t="str">
        <x:f>IF(D149="","",HYPERLINK("https://wa.me/"&amp;REGEXREPLACE(D149,"[^\d]","")&amp;"?text="&amp;ENCODEURL(K149),"واتساب 1"))</x:f>
      </x:c>
      <x:c r="M149" s="12" t="str">
        <x:f>IF(A149="","","مرحبًا "&amp;C149&amp;CHAR(10)&amp;CHAR(10)&amp;"بناءً على نتيجة تقييم عيادة "&amp;B149&amp;"، فإن الترشيح الأقوى لكم الآن هو: "&amp;G149&amp;"."&amp;CHAR(10)&amp;"هذا الخيار يساعدكم في معالجة أكبر فجوة حالية بشكل عملي ومباشر."&amp;IF(J149&lt;&gt;"",CHAR(10)&amp;CHAR(10)&amp;"رابط التقرير: "&amp;J149,"")&amp;CHAR(10)&amp;CHAR(10)&amp;"إذا رغبت، يمكننا توضيح لماذا هذا الكورس هو الأنسب لكم الآن.")</x:f>
      </x:c>
      <x:c r="N149" s="12" t="str">
        <x:f>IF(D149="","",HYPERLINK("https://wa.me/"&amp;REGEXREPLACE(D149,"[^\d]","")&amp;"?text="&amp;ENCODEURL(M149),"واتساب 2"))</x:f>
      </x:c>
      <x:c r="O149" s="12" t="str">
        <x:f>IF(A149="","","مرحبًا "&amp;C149&amp;CHAR(10)&amp;CHAR(10)&amp;"إذا كانت التحديات لديكم تحتاج حلًا أشمل، فالبرنامج الكامل المناسب لكم هو: "&amp;H149&amp;"."&amp;IF(I149&lt;&gt;"",CHAR(10)&amp;"كما يمكنكم أيضًا حجز: "&amp;I149&amp;".","")&amp;IF(J149&lt;&gt;"",CHAR(10)&amp;CHAR(10)&amp;"رابط التقرير: "&amp;J149,"")&amp;CHAR(10)&amp;CHAR(10)&amp;"يسعدنا مساعدتكم في اختيار المسار الأنسب حسب وضع العيادة الحالي.")</x:f>
      </x:c>
      <x:c r="P149" s="12" t="str">
        <x:f>IF(D149="","",HYPERLINK("https://wa.me/"&amp;REGEXREPLACE(D149,"[^\d]","")&amp;"?text="&amp;ENCODEURL(O149),"واتساب 3"))</x:f>
      </x:c>
    </x:row>
    <x:row r="150" ht="15" hidden="0" customHeight="1">
      <x:c r="A150" s="12" t="str">
        <x:f>IF(Leads!A150="","",Leads!A150)</x:f>
      </x:c>
      <x:c r="B150" s="12" t="str">
        <x:f>IF(Leads!F150="","",Leads!F150)</x:f>
      </x:c>
      <x:c r="C150" s="12" t="str">
        <x:f>IF(Leads!G150="","",Leads!G150)</x:f>
      </x:c>
      <x:c r="D150" s="12" t="str">
        <x:f>IF(Leads!O150="","",Leads!O150)</x:f>
      </x:c>
      <x:c r="E150" s="12" t="str">
        <x:f>IF(Leads!AV150="","",Leads!AV150)</x:f>
      </x:c>
      <x:c r="F150" s="12" t="str">
        <x:f>IF(Leads!AX150="","",Leads!AX150)</x:f>
      </x:c>
      <x:c r="G150" s="12" t="str">
        <x:f>IF(Leads!BC150="","",Leads!BC150)</x:f>
      </x:c>
      <x:c r="H150" s="12" t="str">
        <x:f>IF(Leads!BE150="","",Leads!BE150)</x:f>
      </x:c>
      <x:c r="I150" s="12" t="str">
        <x:f>IF(Leads!BG150="","",Leads!BG150)</x:f>
      </x:c>
      <x:c r="J150" s="12" t="str">
        <x:f>IF(Leads!BH150="","",Leads!BH150)</x:f>
      </x:c>
      <x:c r="K150" s="12" t="str">
        <x:f>IF(A150="","","مرحبًا "&amp;C150&amp;CHAR(10)&amp;CHAR(10)&amp;"شكرًا لإتمام تقييم DBD الخاص بعيادة "&amp;B150&amp;"."&amp;CHAR(10)&amp;"نتيجتكم الحالية: "&amp;E150&amp;"%."&amp;CHAR(10)&amp;"أولوية التحسين الأولى: "&amp;F150&amp;"."&amp;IF(J150&lt;&gt;"",CHAR(10)&amp;CHAR(10)&amp;"رابط التقرير: "&amp;J150,"")&amp;CHAR(10)&amp;CHAR(10)&amp;"إذا أحببت، يمكننا مساعدتك في فهم التقرير وتحديد أفضل خطوة تالية لعيادتكم.")</x:f>
      </x:c>
      <x:c r="L150" s="12" t="str">
        <x:f>IF(D150="","",HYPERLINK("https://wa.me/"&amp;REGEXREPLACE(D150,"[^\d]","")&amp;"?text="&amp;ENCODEURL(K150),"واتساب 1"))</x:f>
      </x:c>
      <x:c r="M150" s="12" t="str">
        <x:f>IF(A150="","","مرحبًا "&amp;C150&amp;CHAR(10)&amp;CHAR(10)&amp;"بناءً على نتيجة تقييم عيادة "&amp;B150&amp;"، فإن الترشيح الأقوى لكم الآن هو: "&amp;G150&amp;"."&amp;CHAR(10)&amp;"هذا الخيار يساعدكم في معالجة أكبر فجوة حالية بشكل عملي ومباشر."&amp;IF(J150&lt;&gt;"",CHAR(10)&amp;CHAR(10)&amp;"رابط التقرير: "&amp;J150,"")&amp;CHAR(10)&amp;CHAR(10)&amp;"إذا رغبت، يمكننا توضيح لماذا هذا الكورس هو الأنسب لكم الآن.")</x:f>
      </x:c>
      <x:c r="N150" s="12" t="str">
        <x:f>IF(D150="","",HYPERLINK("https://wa.me/"&amp;REGEXREPLACE(D150,"[^\d]","")&amp;"?text="&amp;ENCODEURL(M150),"واتساب 2"))</x:f>
      </x:c>
      <x:c r="O150" s="12" t="str">
        <x:f>IF(A150="","","مرحبًا "&amp;C150&amp;CHAR(10)&amp;CHAR(10)&amp;"إذا كانت التحديات لديكم تحتاج حلًا أشمل، فالبرنامج الكامل المناسب لكم هو: "&amp;H150&amp;"."&amp;IF(I150&lt;&gt;"",CHAR(10)&amp;"كما يمكنكم أيضًا حجز: "&amp;I150&amp;".","")&amp;IF(J150&lt;&gt;"",CHAR(10)&amp;CHAR(10)&amp;"رابط التقرير: "&amp;J150,"")&amp;CHAR(10)&amp;CHAR(10)&amp;"يسعدنا مساعدتكم في اختيار المسار الأنسب حسب وضع العيادة الحالي.")</x:f>
      </x:c>
      <x:c r="P150" s="12" t="str">
        <x:f>IF(D150="","",HYPERLINK("https://wa.me/"&amp;REGEXREPLACE(D150,"[^\d]","")&amp;"?text="&amp;ENCODEURL(O150),"واتساب 3"))</x:f>
      </x:c>
    </x:row>
    <x:row r="151" ht="15" hidden="0" customHeight="1">
      <x:c r="A151" s="12" t="str">
        <x:f>IF(Leads!A151="","",Leads!A151)</x:f>
      </x:c>
      <x:c r="B151" s="12" t="str">
        <x:f>IF(Leads!F151="","",Leads!F151)</x:f>
      </x:c>
      <x:c r="C151" s="12" t="str">
        <x:f>IF(Leads!G151="","",Leads!G151)</x:f>
      </x:c>
      <x:c r="D151" s="12" t="str">
        <x:f>IF(Leads!O151="","",Leads!O151)</x:f>
      </x:c>
      <x:c r="E151" s="12" t="str">
        <x:f>IF(Leads!AV151="","",Leads!AV151)</x:f>
      </x:c>
      <x:c r="F151" s="12" t="str">
        <x:f>IF(Leads!AX151="","",Leads!AX151)</x:f>
      </x:c>
      <x:c r="G151" s="12" t="str">
        <x:f>IF(Leads!BC151="","",Leads!BC151)</x:f>
      </x:c>
      <x:c r="H151" s="12" t="str">
        <x:f>IF(Leads!BE151="","",Leads!BE151)</x:f>
      </x:c>
      <x:c r="I151" s="12" t="str">
        <x:f>IF(Leads!BG151="","",Leads!BG151)</x:f>
      </x:c>
      <x:c r="J151" s="12" t="str">
        <x:f>IF(Leads!BH151="","",Leads!BH151)</x:f>
      </x:c>
      <x:c r="K151" s="12" t="str">
        <x:f>IF(A151="","","مرحبًا "&amp;C151&amp;CHAR(10)&amp;CHAR(10)&amp;"شكرًا لإتمام تقييم DBD الخاص بعيادة "&amp;B151&amp;"."&amp;CHAR(10)&amp;"نتيجتكم الحالية: "&amp;E151&amp;"%."&amp;CHAR(10)&amp;"أولوية التحسين الأولى: "&amp;F151&amp;"."&amp;IF(J151&lt;&gt;"",CHAR(10)&amp;CHAR(10)&amp;"رابط التقرير: "&amp;J151,"")&amp;CHAR(10)&amp;CHAR(10)&amp;"إذا أحببت، يمكننا مساعدتك في فهم التقرير وتحديد أفضل خطوة تالية لعيادتكم.")</x:f>
      </x:c>
      <x:c r="L151" s="12" t="str">
        <x:f>IF(D151="","",HYPERLINK("https://wa.me/"&amp;REGEXREPLACE(D151,"[^\d]","")&amp;"?text="&amp;ENCODEURL(K151),"واتساب 1"))</x:f>
      </x:c>
      <x:c r="M151" s="12" t="str">
        <x:f>IF(A151="","","مرحبًا "&amp;C151&amp;CHAR(10)&amp;CHAR(10)&amp;"بناءً على نتيجة تقييم عيادة "&amp;B151&amp;"، فإن الترشيح الأقوى لكم الآن هو: "&amp;G151&amp;"."&amp;CHAR(10)&amp;"هذا الخيار يساعدكم في معالجة أكبر فجوة حالية بشكل عملي ومباشر."&amp;IF(J151&lt;&gt;"",CHAR(10)&amp;CHAR(10)&amp;"رابط التقرير: "&amp;J151,"")&amp;CHAR(10)&amp;CHAR(10)&amp;"إذا رغبت، يمكننا توضيح لماذا هذا الكورس هو الأنسب لكم الآن.")</x:f>
      </x:c>
      <x:c r="N151" s="12" t="str">
        <x:f>IF(D151="","",HYPERLINK("https://wa.me/"&amp;REGEXREPLACE(D151,"[^\d]","")&amp;"?text="&amp;ENCODEURL(M151),"واتساب 2"))</x:f>
      </x:c>
      <x:c r="O151" s="12" t="str">
        <x:f>IF(A151="","","مرحبًا "&amp;C151&amp;CHAR(10)&amp;CHAR(10)&amp;"إذا كانت التحديات لديكم تحتاج حلًا أشمل، فالبرنامج الكامل المناسب لكم هو: "&amp;H151&amp;"."&amp;IF(I151&lt;&gt;"",CHAR(10)&amp;"كما يمكنكم أيضًا حجز: "&amp;I151&amp;".","")&amp;IF(J151&lt;&gt;"",CHAR(10)&amp;CHAR(10)&amp;"رابط التقرير: "&amp;J151,"")&amp;CHAR(10)&amp;CHAR(10)&amp;"يسعدنا مساعدتكم في اختيار المسار الأنسب حسب وضع العيادة الحالي.")</x:f>
      </x:c>
      <x:c r="P151" s="12" t="str">
        <x:f>IF(D151="","",HYPERLINK("https://wa.me/"&amp;REGEXREPLACE(D151,"[^\d]","")&amp;"?text="&amp;ENCODEURL(O151),"واتساب 3"))</x:f>
      </x:c>
    </x:row>
    <x:row r="152" ht="15" hidden="0" customHeight="1">
      <x:c r="A152" s="12" t="str">
        <x:f>IF(Leads!A152="","",Leads!A152)</x:f>
      </x:c>
      <x:c r="B152" s="12" t="str">
        <x:f>IF(Leads!F152="","",Leads!F152)</x:f>
      </x:c>
      <x:c r="C152" s="12" t="str">
        <x:f>IF(Leads!G152="","",Leads!G152)</x:f>
      </x:c>
      <x:c r="D152" s="12" t="str">
        <x:f>IF(Leads!O152="","",Leads!O152)</x:f>
      </x:c>
      <x:c r="E152" s="12" t="str">
        <x:f>IF(Leads!AV152="","",Leads!AV152)</x:f>
      </x:c>
      <x:c r="F152" s="12" t="str">
        <x:f>IF(Leads!AX152="","",Leads!AX152)</x:f>
      </x:c>
      <x:c r="G152" s="12" t="str">
        <x:f>IF(Leads!BC152="","",Leads!BC152)</x:f>
      </x:c>
      <x:c r="H152" s="12" t="str">
        <x:f>IF(Leads!BE152="","",Leads!BE152)</x:f>
      </x:c>
      <x:c r="I152" s="12" t="str">
        <x:f>IF(Leads!BG152="","",Leads!BG152)</x:f>
      </x:c>
      <x:c r="J152" s="12" t="str">
        <x:f>IF(Leads!BH152="","",Leads!BH152)</x:f>
      </x:c>
      <x:c r="K152" s="12" t="str">
        <x:f>IF(A152="","","مرحبًا "&amp;C152&amp;CHAR(10)&amp;CHAR(10)&amp;"شكرًا لإتمام تقييم DBD الخاص بعيادة "&amp;B152&amp;"."&amp;CHAR(10)&amp;"نتيجتكم الحالية: "&amp;E152&amp;"%."&amp;CHAR(10)&amp;"أولوية التحسين الأولى: "&amp;F152&amp;"."&amp;IF(J152&lt;&gt;"",CHAR(10)&amp;CHAR(10)&amp;"رابط التقرير: "&amp;J152,"")&amp;CHAR(10)&amp;CHAR(10)&amp;"إذا أحببت، يمكننا مساعدتك في فهم التقرير وتحديد أفضل خطوة تالية لعيادتكم.")</x:f>
      </x:c>
      <x:c r="L152" s="12" t="str">
        <x:f>IF(D152="","",HYPERLINK("https://wa.me/"&amp;REGEXREPLACE(D152,"[^\d]","")&amp;"?text="&amp;ENCODEURL(K152),"واتساب 1"))</x:f>
      </x:c>
      <x:c r="M152" s="12" t="str">
        <x:f>IF(A152="","","مرحبًا "&amp;C152&amp;CHAR(10)&amp;CHAR(10)&amp;"بناءً على نتيجة تقييم عيادة "&amp;B152&amp;"، فإن الترشيح الأقوى لكم الآن هو: "&amp;G152&amp;"."&amp;CHAR(10)&amp;"هذا الخيار يساعدكم في معالجة أكبر فجوة حالية بشكل عملي ومباشر."&amp;IF(J152&lt;&gt;"",CHAR(10)&amp;CHAR(10)&amp;"رابط التقرير: "&amp;J152,"")&amp;CHAR(10)&amp;CHAR(10)&amp;"إذا رغبت، يمكننا توضيح لماذا هذا الكورس هو الأنسب لكم الآن.")</x:f>
      </x:c>
      <x:c r="N152" s="12" t="str">
        <x:f>IF(D152="","",HYPERLINK("https://wa.me/"&amp;REGEXREPLACE(D152,"[^\d]","")&amp;"?text="&amp;ENCODEURL(M152),"واتساب 2"))</x:f>
      </x:c>
      <x:c r="O152" s="12" t="str">
        <x:f>IF(A152="","","مرحبًا "&amp;C152&amp;CHAR(10)&amp;CHAR(10)&amp;"إذا كانت التحديات لديكم تحتاج حلًا أشمل، فالبرنامج الكامل المناسب لكم هو: "&amp;H152&amp;"."&amp;IF(I152&lt;&gt;"",CHAR(10)&amp;"كما يمكنكم أيضًا حجز: "&amp;I152&amp;".","")&amp;IF(J152&lt;&gt;"",CHAR(10)&amp;CHAR(10)&amp;"رابط التقرير: "&amp;J152,"")&amp;CHAR(10)&amp;CHAR(10)&amp;"يسعدنا مساعدتكم في اختيار المسار الأنسب حسب وضع العيادة الحالي.")</x:f>
      </x:c>
      <x:c r="P152" s="12" t="str">
        <x:f>IF(D152="","",HYPERLINK("https://wa.me/"&amp;REGEXREPLACE(D152,"[^\d]","")&amp;"?text="&amp;ENCODEURL(O152),"واتساب 3"))</x:f>
      </x:c>
    </x:row>
    <x:row r="153" ht="15" hidden="0" customHeight="1">
      <x:c r="A153" s="12" t="str">
        <x:f>IF(Leads!A153="","",Leads!A153)</x:f>
      </x:c>
      <x:c r="B153" s="12" t="str">
        <x:f>IF(Leads!F153="","",Leads!F153)</x:f>
      </x:c>
      <x:c r="C153" s="12" t="str">
        <x:f>IF(Leads!G153="","",Leads!G153)</x:f>
      </x:c>
      <x:c r="D153" s="12" t="str">
        <x:f>IF(Leads!O153="","",Leads!O153)</x:f>
      </x:c>
      <x:c r="E153" s="12" t="str">
        <x:f>IF(Leads!AV153="","",Leads!AV153)</x:f>
      </x:c>
      <x:c r="F153" s="12" t="str">
        <x:f>IF(Leads!AX153="","",Leads!AX153)</x:f>
      </x:c>
      <x:c r="G153" s="12" t="str">
        <x:f>IF(Leads!BC153="","",Leads!BC153)</x:f>
      </x:c>
      <x:c r="H153" s="12" t="str">
        <x:f>IF(Leads!BE153="","",Leads!BE153)</x:f>
      </x:c>
      <x:c r="I153" s="12" t="str">
        <x:f>IF(Leads!BG153="","",Leads!BG153)</x:f>
      </x:c>
      <x:c r="J153" s="12" t="str">
        <x:f>IF(Leads!BH153="","",Leads!BH153)</x:f>
      </x:c>
      <x:c r="K153" s="12" t="str">
        <x:f>IF(A153="","","مرحبًا "&amp;C153&amp;CHAR(10)&amp;CHAR(10)&amp;"شكرًا لإتمام تقييم DBD الخاص بعيادة "&amp;B153&amp;"."&amp;CHAR(10)&amp;"نتيجتكم الحالية: "&amp;E153&amp;"%."&amp;CHAR(10)&amp;"أولوية التحسين الأولى: "&amp;F153&amp;"."&amp;IF(J153&lt;&gt;"",CHAR(10)&amp;CHAR(10)&amp;"رابط التقرير: "&amp;J153,"")&amp;CHAR(10)&amp;CHAR(10)&amp;"إذا أحببت، يمكننا مساعدتك في فهم التقرير وتحديد أفضل خطوة تالية لعيادتكم.")</x:f>
      </x:c>
      <x:c r="L153" s="12" t="str">
        <x:f>IF(D153="","",HYPERLINK("https://wa.me/"&amp;REGEXREPLACE(D153,"[^\d]","")&amp;"?text="&amp;ENCODEURL(K153),"واتساب 1"))</x:f>
      </x:c>
      <x:c r="M153" s="12" t="str">
        <x:f>IF(A153="","","مرحبًا "&amp;C153&amp;CHAR(10)&amp;CHAR(10)&amp;"بناءً على نتيجة تقييم عيادة "&amp;B153&amp;"، فإن الترشيح الأقوى لكم الآن هو: "&amp;G153&amp;"."&amp;CHAR(10)&amp;"هذا الخيار يساعدكم في معالجة أكبر فجوة حالية بشكل عملي ومباشر."&amp;IF(J153&lt;&gt;"",CHAR(10)&amp;CHAR(10)&amp;"رابط التقرير: "&amp;J153,"")&amp;CHAR(10)&amp;CHAR(10)&amp;"إذا رغبت، يمكننا توضيح لماذا هذا الكورس هو الأنسب لكم الآن.")</x:f>
      </x:c>
      <x:c r="N153" s="12" t="str">
        <x:f>IF(D153="","",HYPERLINK("https://wa.me/"&amp;REGEXREPLACE(D153,"[^\d]","")&amp;"?text="&amp;ENCODEURL(M153),"واتساب 2"))</x:f>
      </x:c>
      <x:c r="O153" s="12" t="str">
        <x:f>IF(A153="","","مرحبًا "&amp;C153&amp;CHAR(10)&amp;CHAR(10)&amp;"إذا كانت التحديات لديكم تحتاج حلًا أشمل، فالبرنامج الكامل المناسب لكم هو: "&amp;H153&amp;"."&amp;IF(I153&lt;&gt;"",CHAR(10)&amp;"كما يمكنكم أيضًا حجز: "&amp;I153&amp;".","")&amp;IF(J153&lt;&gt;"",CHAR(10)&amp;CHAR(10)&amp;"رابط التقرير: "&amp;J153,"")&amp;CHAR(10)&amp;CHAR(10)&amp;"يسعدنا مساعدتكم في اختيار المسار الأنسب حسب وضع العيادة الحالي.")</x:f>
      </x:c>
      <x:c r="P153" s="12" t="str">
        <x:f>IF(D153="","",HYPERLINK("https://wa.me/"&amp;REGEXREPLACE(D153,"[^\d]","")&amp;"?text="&amp;ENCODEURL(O153),"واتساب 3"))</x:f>
      </x:c>
    </x:row>
    <x:row r="154" ht="15" hidden="0" customHeight="1">
      <x:c r="A154" s="12" t="str">
        <x:f>IF(Leads!A154="","",Leads!A154)</x:f>
      </x:c>
      <x:c r="B154" s="12" t="str">
        <x:f>IF(Leads!F154="","",Leads!F154)</x:f>
      </x:c>
      <x:c r="C154" s="12" t="str">
        <x:f>IF(Leads!G154="","",Leads!G154)</x:f>
      </x:c>
      <x:c r="D154" s="12" t="str">
        <x:f>IF(Leads!O154="","",Leads!O154)</x:f>
      </x:c>
      <x:c r="E154" s="12" t="str">
        <x:f>IF(Leads!AV154="","",Leads!AV154)</x:f>
      </x:c>
      <x:c r="F154" s="12" t="str">
        <x:f>IF(Leads!AX154="","",Leads!AX154)</x:f>
      </x:c>
      <x:c r="G154" s="12" t="str">
        <x:f>IF(Leads!BC154="","",Leads!BC154)</x:f>
      </x:c>
      <x:c r="H154" s="12" t="str">
        <x:f>IF(Leads!BE154="","",Leads!BE154)</x:f>
      </x:c>
      <x:c r="I154" s="12" t="str">
        <x:f>IF(Leads!BG154="","",Leads!BG154)</x:f>
      </x:c>
      <x:c r="J154" s="12" t="str">
        <x:f>IF(Leads!BH154="","",Leads!BH154)</x:f>
      </x:c>
      <x:c r="K154" s="12" t="str">
        <x:f>IF(A154="","","مرحبًا "&amp;C154&amp;CHAR(10)&amp;CHAR(10)&amp;"شكرًا لإتمام تقييم DBD الخاص بعيادة "&amp;B154&amp;"."&amp;CHAR(10)&amp;"نتيجتكم الحالية: "&amp;E154&amp;"%."&amp;CHAR(10)&amp;"أولوية التحسين الأولى: "&amp;F154&amp;"."&amp;IF(J154&lt;&gt;"",CHAR(10)&amp;CHAR(10)&amp;"رابط التقرير: "&amp;J154,"")&amp;CHAR(10)&amp;CHAR(10)&amp;"إذا أحببت، يمكننا مساعدتك في فهم التقرير وتحديد أفضل خطوة تالية لعيادتكم.")</x:f>
      </x:c>
      <x:c r="L154" s="12" t="str">
        <x:f>IF(D154="","",HYPERLINK("https://wa.me/"&amp;REGEXREPLACE(D154,"[^\d]","")&amp;"?text="&amp;ENCODEURL(K154),"واتساب 1"))</x:f>
      </x:c>
      <x:c r="M154" s="12" t="str">
        <x:f>IF(A154="","","مرحبًا "&amp;C154&amp;CHAR(10)&amp;CHAR(10)&amp;"بناءً على نتيجة تقييم عيادة "&amp;B154&amp;"، فإن الترشيح الأقوى لكم الآن هو: "&amp;G154&amp;"."&amp;CHAR(10)&amp;"هذا الخيار يساعدكم في معالجة أكبر فجوة حالية بشكل عملي ومباشر."&amp;IF(J154&lt;&gt;"",CHAR(10)&amp;CHAR(10)&amp;"رابط التقرير: "&amp;J154,"")&amp;CHAR(10)&amp;CHAR(10)&amp;"إذا رغبت، يمكننا توضيح لماذا هذا الكورس هو الأنسب لكم الآن.")</x:f>
      </x:c>
      <x:c r="N154" s="12" t="str">
        <x:f>IF(D154="","",HYPERLINK("https://wa.me/"&amp;REGEXREPLACE(D154,"[^\d]","")&amp;"?text="&amp;ENCODEURL(M154),"واتساب 2"))</x:f>
      </x:c>
      <x:c r="O154" s="12" t="str">
        <x:f>IF(A154="","","مرحبًا "&amp;C154&amp;CHAR(10)&amp;CHAR(10)&amp;"إذا كانت التحديات لديكم تحتاج حلًا أشمل، فالبرنامج الكامل المناسب لكم هو: "&amp;H154&amp;"."&amp;IF(I154&lt;&gt;"",CHAR(10)&amp;"كما يمكنكم أيضًا حجز: "&amp;I154&amp;".","")&amp;IF(J154&lt;&gt;"",CHAR(10)&amp;CHAR(10)&amp;"رابط التقرير: "&amp;J154,"")&amp;CHAR(10)&amp;CHAR(10)&amp;"يسعدنا مساعدتكم في اختيار المسار الأنسب حسب وضع العيادة الحالي.")</x:f>
      </x:c>
      <x:c r="P154" s="12" t="str">
        <x:f>IF(D154="","",HYPERLINK("https://wa.me/"&amp;REGEXREPLACE(D154,"[^\d]","")&amp;"?text="&amp;ENCODEURL(O154),"واتساب 3"))</x:f>
      </x:c>
    </x:row>
    <x:row r="155" ht="15" hidden="0" customHeight="1">
      <x:c r="A155" s="12" t="str">
        <x:f>IF(Leads!A155="","",Leads!A155)</x:f>
      </x:c>
      <x:c r="B155" s="12" t="str">
        <x:f>IF(Leads!F155="","",Leads!F155)</x:f>
      </x:c>
      <x:c r="C155" s="12" t="str">
        <x:f>IF(Leads!G155="","",Leads!G155)</x:f>
      </x:c>
      <x:c r="D155" s="12" t="str">
        <x:f>IF(Leads!O155="","",Leads!O155)</x:f>
      </x:c>
      <x:c r="E155" s="12" t="str">
        <x:f>IF(Leads!AV155="","",Leads!AV155)</x:f>
      </x:c>
      <x:c r="F155" s="12" t="str">
        <x:f>IF(Leads!AX155="","",Leads!AX155)</x:f>
      </x:c>
      <x:c r="G155" s="12" t="str">
        <x:f>IF(Leads!BC155="","",Leads!BC155)</x:f>
      </x:c>
      <x:c r="H155" s="12" t="str">
        <x:f>IF(Leads!BE155="","",Leads!BE155)</x:f>
      </x:c>
      <x:c r="I155" s="12" t="str">
        <x:f>IF(Leads!BG155="","",Leads!BG155)</x:f>
      </x:c>
      <x:c r="J155" s="12" t="str">
        <x:f>IF(Leads!BH155="","",Leads!BH155)</x:f>
      </x:c>
      <x:c r="K155" s="12" t="str">
        <x:f>IF(A155="","","مرحبًا "&amp;C155&amp;CHAR(10)&amp;CHAR(10)&amp;"شكرًا لإتمام تقييم DBD الخاص بعيادة "&amp;B155&amp;"."&amp;CHAR(10)&amp;"نتيجتكم الحالية: "&amp;E155&amp;"%."&amp;CHAR(10)&amp;"أولوية التحسين الأولى: "&amp;F155&amp;"."&amp;IF(J155&lt;&gt;"",CHAR(10)&amp;CHAR(10)&amp;"رابط التقرير: "&amp;J155,"")&amp;CHAR(10)&amp;CHAR(10)&amp;"إذا أحببت، يمكننا مساعدتك في فهم التقرير وتحديد أفضل خطوة تالية لعيادتكم.")</x:f>
      </x:c>
      <x:c r="L155" s="12" t="str">
        <x:f>IF(D155="","",HYPERLINK("https://wa.me/"&amp;REGEXREPLACE(D155,"[^\d]","")&amp;"?text="&amp;ENCODEURL(K155),"واتساب 1"))</x:f>
      </x:c>
      <x:c r="M155" s="12" t="str">
        <x:f>IF(A155="","","مرحبًا "&amp;C155&amp;CHAR(10)&amp;CHAR(10)&amp;"بناءً على نتيجة تقييم عيادة "&amp;B155&amp;"، فإن الترشيح الأقوى لكم الآن هو: "&amp;G155&amp;"."&amp;CHAR(10)&amp;"هذا الخيار يساعدكم في معالجة أكبر فجوة حالية بشكل عملي ومباشر."&amp;IF(J155&lt;&gt;"",CHAR(10)&amp;CHAR(10)&amp;"رابط التقرير: "&amp;J155,"")&amp;CHAR(10)&amp;CHAR(10)&amp;"إذا رغبت، يمكننا توضيح لماذا هذا الكورس هو الأنسب لكم الآن.")</x:f>
      </x:c>
      <x:c r="N155" s="12" t="str">
        <x:f>IF(D155="","",HYPERLINK("https://wa.me/"&amp;REGEXREPLACE(D155,"[^\d]","")&amp;"?text="&amp;ENCODEURL(M155),"واتساب 2"))</x:f>
      </x:c>
      <x:c r="O155" s="12" t="str">
        <x:f>IF(A155="","","مرحبًا "&amp;C155&amp;CHAR(10)&amp;CHAR(10)&amp;"إذا كانت التحديات لديكم تحتاج حلًا أشمل، فالبرنامج الكامل المناسب لكم هو: "&amp;H155&amp;"."&amp;IF(I155&lt;&gt;"",CHAR(10)&amp;"كما يمكنكم أيضًا حجز: "&amp;I155&amp;".","")&amp;IF(J155&lt;&gt;"",CHAR(10)&amp;CHAR(10)&amp;"رابط التقرير: "&amp;J155,"")&amp;CHAR(10)&amp;CHAR(10)&amp;"يسعدنا مساعدتكم في اختيار المسار الأنسب حسب وضع العيادة الحالي.")</x:f>
      </x:c>
      <x:c r="P155" s="12" t="str">
        <x:f>IF(D155="","",HYPERLINK("https://wa.me/"&amp;REGEXREPLACE(D155,"[^\d]","")&amp;"?text="&amp;ENCODEURL(O155),"واتساب 3"))</x:f>
      </x:c>
    </x:row>
    <x:row r="156" ht="15" hidden="0" customHeight="1">
      <x:c r="A156" s="12" t="str">
        <x:f>IF(Leads!A156="","",Leads!A156)</x:f>
      </x:c>
      <x:c r="B156" s="12" t="str">
        <x:f>IF(Leads!F156="","",Leads!F156)</x:f>
      </x:c>
      <x:c r="C156" s="12" t="str">
        <x:f>IF(Leads!G156="","",Leads!G156)</x:f>
      </x:c>
      <x:c r="D156" s="12" t="str">
        <x:f>IF(Leads!O156="","",Leads!O156)</x:f>
      </x:c>
      <x:c r="E156" s="12" t="str">
        <x:f>IF(Leads!AV156="","",Leads!AV156)</x:f>
      </x:c>
      <x:c r="F156" s="12" t="str">
        <x:f>IF(Leads!AX156="","",Leads!AX156)</x:f>
      </x:c>
      <x:c r="G156" s="12" t="str">
        <x:f>IF(Leads!BC156="","",Leads!BC156)</x:f>
      </x:c>
      <x:c r="H156" s="12" t="str">
        <x:f>IF(Leads!BE156="","",Leads!BE156)</x:f>
      </x:c>
      <x:c r="I156" s="12" t="str">
        <x:f>IF(Leads!BG156="","",Leads!BG156)</x:f>
      </x:c>
      <x:c r="J156" s="12" t="str">
        <x:f>IF(Leads!BH156="","",Leads!BH156)</x:f>
      </x:c>
      <x:c r="K156" s="12" t="str">
        <x:f>IF(A156="","","مرحبًا "&amp;C156&amp;CHAR(10)&amp;CHAR(10)&amp;"شكرًا لإتمام تقييم DBD الخاص بعيادة "&amp;B156&amp;"."&amp;CHAR(10)&amp;"نتيجتكم الحالية: "&amp;E156&amp;"%."&amp;CHAR(10)&amp;"أولوية التحسين الأولى: "&amp;F156&amp;"."&amp;IF(J156&lt;&gt;"",CHAR(10)&amp;CHAR(10)&amp;"رابط التقرير: "&amp;J156,"")&amp;CHAR(10)&amp;CHAR(10)&amp;"إذا أحببت، يمكننا مساعدتك في فهم التقرير وتحديد أفضل خطوة تالية لعيادتكم.")</x:f>
      </x:c>
      <x:c r="L156" s="12" t="str">
        <x:f>IF(D156="","",HYPERLINK("https://wa.me/"&amp;REGEXREPLACE(D156,"[^\d]","")&amp;"?text="&amp;ENCODEURL(K156),"واتساب 1"))</x:f>
      </x:c>
      <x:c r="M156" s="12" t="str">
        <x:f>IF(A156="","","مرحبًا "&amp;C156&amp;CHAR(10)&amp;CHAR(10)&amp;"بناءً على نتيجة تقييم عيادة "&amp;B156&amp;"، فإن الترشيح الأقوى لكم الآن هو: "&amp;G156&amp;"."&amp;CHAR(10)&amp;"هذا الخيار يساعدكم في معالجة أكبر فجوة حالية بشكل عملي ومباشر."&amp;IF(J156&lt;&gt;"",CHAR(10)&amp;CHAR(10)&amp;"رابط التقرير: "&amp;J156,"")&amp;CHAR(10)&amp;CHAR(10)&amp;"إذا رغبت، يمكننا توضيح لماذا هذا الكورس هو الأنسب لكم الآن.")</x:f>
      </x:c>
      <x:c r="N156" s="12" t="str">
        <x:f>IF(D156="","",HYPERLINK("https://wa.me/"&amp;REGEXREPLACE(D156,"[^\d]","")&amp;"?text="&amp;ENCODEURL(M156),"واتساب 2"))</x:f>
      </x:c>
      <x:c r="O156" s="12" t="str">
        <x:f>IF(A156="","","مرحبًا "&amp;C156&amp;CHAR(10)&amp;CHAR(10)&amp;"إذا كانت التحديات لديكم تحتاج حلًا أشمل، فالبرنامج الكامل المناسب لكم هو: "&amp;H156&amp;"."&amp;IF(I156&lt;&gt;"",CHAR(10)&amp;"كما يمكنكم أيضًا حجز: "&amp;I156&amp;".","")&amp;IF(J156&lt;&gt;"",CHAR(10)&amp;CHAR(10)&amp;"رابط التقرير: "&amp;J156,"")&amp;CHAR(10)&amp;CHAR(10)&amp;"يسعدنا مساعدتكم في اختيار المسار الأنسب حسب وضع العيادة الحالي.")</x:f>
      </x:c>
      <x:c r="P156" s="12" t="str">
        <x:f>IF(D156="","",HYPERLINK("https://wa.me/"&amp;REGEXREPLACE(D156,"[^\d]","")&amp;"?text="&amp;ENCODEURL(O156),"واتساب 3"))</x:f>
      </x:c>
    </x:row>
    <x:row r="157" ht="15" hidden="0" customHeight="1">
      <x:c r="A157" s="12" t="str">
        <x:f>IF(Leads!A157="","",Leads!A157)</x:f>
      </x:c>
      <x:c r="B157" s="12" t="str">
        <x:f>IF(Leads!F157="","",Leads!F157)</x:f>
      </x:c>
      <x:c r="C157" s="12" t="str">
        <x:f>IF(Leads!G157="","",Leads!G157)</x:f>
      </x:c>
      <x:c r="D157" s="12" t="str">
        <x:f>IF(Leads!O157="","",Leads!O157)</x:f>
      </x:c>
      <x:c r="E157" s="12" t="str">
        <x:f>IF(Leads!AV157="","",Leads!AV157)</x:f>
      </x:c>
      <x:c r="F157" s="12" t="str">
        <x:f>IF(Leads!AX157="","",Leads!AX157)</x:f>
      </x:c>
      <x:c r="G157" s="12" t="str">
        <x:f>IF(Leads!BC157="","",Leads!BC157)</x:f>
      </x:c>
      <x:c r="H157" s="12" t="str">
        <x:f>IF(Leads!BE157="","",Leads!BE157)</x:f>
      </x:c>
      <x:c r="I157" s="12" t="str">
        <x:f>IF(Leads!BG157="","",Leads!BG157)</x:f>
      </x:c>
      <x:c r="J157" s="12" t="str">
        <x:f>IF(Leads!BH157="","",Leads!BH157)</x:f>
      </x:c>
      <x:c r="K157" s="12" t="str">
        <x:f>IF(A157="","","مرحبًا "&amp;C157&amp;CHAR(10)&amp;CHAR(10)&amp;"شكرًا لإتمام تقييم DBD الخاص بعيادة "&amp;B157&amp;"."&amp;CHAR(10)&amp;"نتيجتكم الحالية: "&amp;E157&amp;"%."&amp;CHAR(10)&amp;"أولوية التحسين الأولى: "&amp;F157&amp;"."&amp;IF(J157&lt;&gt;"",CHAR(10)&amp;CHAR(10)&amp;"رابط التقرير: "&amp;J157,"")&amp;CHAR(10)&amp;CHAR(10)&amp;"إذا أحببت، يمكننا مساعدتك في فهم التقرير وتحديد أفضل خطوة تالية لعيادتكم.")</x:f>
      </x:c>
      <x:c r="L157" s="12" t="str">
        <x:f>IF(D157="","",HYPERLINK("https://wa.me/"&amp;REGEXREPLACE(D157,"[^\d]","")&amp;"?text="&amp;ENCODEURL(K157),"واتساب 1"))</x:f>
      </x:c>
      <x:c r="M157" s="12" t="str">
        <x:f>IF(A157="","","مرحبًا "&amp;C157&amp;CHAR(10)&amp;CHAR(10)&amp;"بناءً على نتيجة تقييم عيادة "&amp;B157&amp;"، فإن الترشيح الأقوى لكم الآن هو: "&amp;G157&amp;"."&amp;CHAR(10)&amp;"هذا الخيار يساعدكم في معالجة أكبر فجوة حالية بشكل عملي ومباشر."&amp;IF(J157&lt;&gt;"",CHAR(10)&amp;CHAR(10)&amp;"رابط التقرير: "&amp;J157,"")&amp;CHAR(10)&amp;CHAR(10)&amp;"إذا رغبت، يمكننا توضيح لماذا هذا الكورس هو الأنسب لكم الآن.")</x:f>
      </x:c>
      <x:c r="N157" s="12" t="str">
        <x:f>IF(D157="","",HYPERLINK("https://wa.me/"&amp;REGEXREPLACE(D157,"[^\d]","")&amp;"?text="&amp;ENCODEURL(M157),"واتساب 2"))</x:f>
      </x:c>
      <x:c r="O157" s="12" t="str">
        <x:f>IF(A157="","","مرحبًا "&amp;C157&amp;CHAR(10)&amp;CHAR(10)&amp;"إذا كانت التحديات لديكم تحتاج حلًا أشمل، فالبرنامج الكامل المناسب لكم هو: "&amp;H157&amp;"."&amp;IF(I157&lt;&gt;"",CHAR(10)&amp;"كما يمكنكم أيضًا حجز: "&amp;I157&amp;".","")&amp;IF(J157&lt;&gt;"",CHAR(10)&amp;CHAR(10)&amp;"رابط التقرير: "&amp;J157,"")&amp;CHAR(10)&amp;CHAR(10)&amp;"يسعدنا مساعدتكم في اختيار المسار الأنسب حسب وضع العيادة الحالي.")</x:f>
      </x:c>
      <x:c r="P157" s="12" t="str">
        <x:f>IF(D157="","",HYPERLINK("https://wa.me/"&amp;REGEXREPLACE(D157,"[^\d]","")&amp;"?text="&amp;ENCODEURL(O157),"واتساب 3"))</x:f>
      </x:c>
    </x:row>
    <x:row r="158" ht="15" hidden="0" customHeight="1">
      <x:c r="A158" s="12" t="str">
        <x:f>IF(Leads!A158="","",Leads!A158)</x:f>
      </x:c>
      <x:c r="B158" s="12" t="str">
        <x:f>IF(Leads!F158="","",Leads!F158)</x:f>
      </x:c>
      <x:c r="C158" s="12" t="str">
        <x:f>IF(Leads!G158="","",Leads!G158)</x:f>
      </x:c>
      <x:c r="D158" s="12" t="str">
        <x:f>IF(Leads!O158="","",Leads!O158)</x:f>
      </x:c>
      <x:c r="E158" s="12" t="str">
        <x:f>IF(Leads!AV158="","",Leads!AV158)</x:f>
      </x:c>
      <x:c r="F158" s="12" t="str">
        <x:f>IF(Leads!AX158="","",Leads!AX158)</x:f>
      </x:c>
      <x:c r="G158" s="12" t="str">
        <x:f>IF(Leads!BC158="","",Leads!BC158)</x:f>
      </x:c>
      <x:c r="H158" s="12" t="str">
        <x:f>IF(Leads!BE158="","",Leads!BE158)</x:f>
      </x:c>
      <x:c r="I158" s="12" t="str">
        <x:f>IF(Leads!BG158="","",Leads!BG158)</x:f>
      </x:c>
      <x:c r="J158" s="12" t="str">
        <x:f>IF(Leads!BH158="","",Leads!BH158)</x:f>
      </x:c>
      <x:c r="K158" s="12" t="str">
        <x:f>IF(A158="","","مرحبًا "&amp;C158&amp;CHAR(10)&amp;CHAR(10)&amp;"شكرًا لإتمام تقييم DBD الخاص بعيادة "&amp;B158&amp;"."&amp;CHAR(10)&amp;"نتيجتكم الحالية: "&amp;E158&amp;"%."&amp;CHAR(10)&amp;"أولوية التحسين الأولى: "&amp;F158&amp;"."&amp;IF(J158&lt;&gt;"",CHAR(10)&amp;CHAR(10)&amp;"رابط التقرير: "&amp;J158,"")&amp;CHAR(10)&amp;CHAR(10)&amp;"إذا أحببت، يمكننا مساعدتك في فهم التقرير وتحديد أفضل خطوة تالية لعيادتكم.")</x:f>
      </x:c>
      <x:c r="L158" s="12" t="str">
        <x:f>IF(D158="","",HYPERLINK("https://wa.me/"&amp;REGEXREPLACE(D158,"[^\d]","")&amp;"?text="&amp;ENCODEURL(K158),"واتساب 1"))</x:f>
      </x:c>
      <x:c r="M158" s="12" t="str">
        <x:f>IF(A158="","","مرحبًا "&amp;C158&amp;CHAR(10)&amp;CHAR(10)&amp;"بناءً على نتيجة تقييم عيادة "&amp;B158&amp;"، فإن الترشيح الأقوى لكم الآن هو: "&amp;G158&amp;"."&amp;CHAR(10)&amp;"هذا الخيار يساعدكم في معالجة أكبر فجوة حالية بشكل عملي ومباشر."&amp;IF(J158&lt;&gt;"",CHAR(10)&amp;CHAR(10)&amp;"رابط التقرير: "&amp;J158,"")&amp;CHAR(10)&amp;CHAR(10)&amp;"إذا رغبت، يمكننا توضيح لماذا هذا الكورس هو الأنسب لكم الآن.")</x:f>
      </x:c>
      <x:c r="N158" s="12" t="str">
        <x:f>IF(D158="","",HYPERLINK("https://wa.me/"&amp;REGEXREPLACE(D158,"[^\d]","")&amp;"?text="&amp;ENCODEURL(M158),"واتساب 2"))</x:f>
      </x:c>
      <x:c r="O158" s="12" t="str">
        <x:f>IF(A158="","","مرحبًا "&amp;C158&amp;CHAR(10)&amp;CHAR(10)&amp;"إذا كانت التحديات لديكم تحتاج حلًا أشمل، فالبرنامج الكامل المناسب لكم هو: "&amp;H158&amp;"."&amp;IF(I158&lt;&gt;"",CHAR(10)&amp;"كما يمكنكم أيضًا حجز: "&amp;I158&amp;".","")&amp;IF(J158&lt;&gt;"",CHAR(10)&amp;CHAR(10)&amp;"رابط التقرير: "&amp;J158,"")&amp;CHAR(10)&amp;CHAR(10)&amp;"يسعدنا مساعدتكم في اختيار المسار الأنسب حسب وضع العيادة الحالي.")</x:f>
      </x:c>
      <x:c r="P158" s="12" t="str">
        <x:f>IF(D158="","",HYPERLINK("https://wa.me/"&amp;REGEXREPLACE(D158,"[^\d]","")&amp;"?text="&amp;ENCODEURL(O158),"واتساب 3"))</x:f>
      </x:c>
    </x:row>
    <x:row r="159" ht="15" hidden="0" customHeight="1">
      <x:c r="A159" s="12" t="str">
        <x:f>IF(Leads!A159="","",Leads!A159)</x:f>
      </x:c>
      <x:c r="B159" s="12" t="str">
        <x:f>IF(Leads!F159="","",Leads!F159)</x:f>
      </x:c>
      <x:c r="C159" s="12" t="str">
        <x:f>IF(Leads!G159="","",Leads!G159)</x:f>
      </x:c>
      <x:c r="D159" s="12" t="str">
        <x:f>IF(Leads!O159="","",Leads!O159)</x:f>
      </x:c>
      <x:c r="E159" s="12" t="str">
        <x:f>IF(Leads!AV159="","",Leads!AV159)</x:f>
      </x:c>
      <x:c r="F159" s="12" t="str">
        <x:f>IF(Leads!AX159="","",Leads!AX159)</x:f>
      </x:c>
      <x:c r="G159" s="12" t="str">
        <x:f>IF(Leads!BC159="","",Leads!BC159)</x:f>
      </x:c>
      <x:c r="H159" s="12" t="str">
        <x:f>IF(Leads!BE159="","",Leads!BE159)</x:f>
      </x:c>
      <x:c r="I159" s="12" t="str">
        <x:f>IF(Leads!BG159="","",Leads!BG159)</x:f>
      </x:c>
      <x:c r="J159" s="12" t="str">
        <x:f>IF(Leads!BH159="","",Leads!BH159)</x:f>
      </x:c>
      <x:c r="K159" s="12" t="str">
        <x:f>IF(A159="","","مرحبًا "&amp;C159&amp;CHAR(10)&amp;CHAR(10)&amp;"شكرًا لإتمام تقييم DBD الخاص بعيادة "&amp;B159&amp;"."&amp;CHAR(10)&amp;"نتيجتكم الحالية: "&amp;E159&amp;"%."&amp;CHAR(10)&amp;"أولوية التحسين الأولى: "&amp;F159&amp;"."&amp;IF(J159&lt;&gt;"",CHAR(10)&amp;CHAR(10)&amp;"رابط التقرير: "&amp;J159,"")&amp;CHAR(10)&amp;CHAR(10)&amp;"إذا أحببت، يمكننا مساعدتك في فهم التقرير وتحديد أفضل خطوة تالية لعيادتكم.")</x:f>
      </x:c>
      <x:c r="L159" s="12" t="str">
        <x:f>IF(D159="","",HYPERLINK("https://wa.me/"&amp;REGEXREPLACE(D159,"[^\d]","")&amp;"?text="&amp;ENCODEURL(K159),"واتساب 1"))</x:f>
      </x:c>
      <x:c r="M159" s="12" t="str">
        <x:f>IF(A159="","","مرحبًا "&amp;C159&amp;CHAR(10)&amp;CHAR(10)&amp;"بناءً على نتيجة تقييم عيادة "&amp;B159&amp;"، فإن الترشيح الأقوى لكم الآن هو: "&amp;G159&amp;"."&amp;CHAR(10)&amp;"هذا الخيار يساعدكم في معالجة أكبر فجوة حالية بشكل عملي ومباشر."&amp;IF(J159&lt;&gt;"",CHAR(10)&amp;CHAR(10)&amp;"رابط التقرير: "&amp;J159,"")&amp;CHAR(10)&amp;CHAR(10)&amp;"إذا رغبت، يمكننا توضيح لماذا هذا الكورس هو الأنسب لكم الآن.")</x:f>
      </x:c>
      <x:c r="N159" s="12" t="str">
        <x:f>IF(D159="","",HYPERLINK("https://wa.me/"&amp;REGEXREPLACE(D159,"[^\d]","")&amp;"?text="&amp;ENCODEURL(M159),"واتساب 2"))</x:f>
      </x:c>
      <x:c r="O159" s="12" t="str">
        <x:f>IF(A159="","","مرحبًا "&amp;C159&amp;CHAR(10)&amp;CHAR(10)&amp;"إذا كانت التحديات لديكم تحتاج حلًا أشمل، فالبرنامج الكامل المناسب لكم هو: "&amp;H159&amp;"."&amp;IF(I159&lt;&gt;"",CHAR(10)&amp;"كما يمكنكم أيضًا حجز: "&amp;I159&amp;".","")&amp;IF(J159&lt;&gt;"",CHAR(10)&amp;CHAR(10)&amp;"رابط التقرير: "&amp;J159,"")&amp;CHAR(10)&amp;CHAR(10)&amp;"يسعدنا مساعدتكم في اختيار المسار الأنسب حسب وضع العيادة الحالي.")</x:f>
      </x:c>
      <x:c r="P159" s="12" t="str">
        <x:f>IF(D159="","",HYPERLINK("https://wa.me/"&amp;REGEXREPLACE(D159,"[^\d]","")&amp;"?text="&amp;ENCODEURL(O159),"واتساب 3"))</x:f>
      </x:c>
    </x:row>
    <x:row r="160" ht="15" hidden="0" customHeight="1">
      <x:c r="A160" s="12" t="str">
        <x:f>IF(Leads!A160="","",Leads!A160)</x:f>
      </x:c>
      <x:c r="B160" s="12" t="str">
        <x:f>IF(Leads!F160="","",Leads!F160)</x:f>
      </x:c>
      <x:c r="C160" s="12" t="str">
        <x:f>IF(Leads!G160="","",Leads!G160)</x:f>
      </x:c>
      <x:c r="D160" s="12" t="str">
        <x:f>IF(Leads!O160="","",Leads!O160)</x:f>
      </x:c>
      <x:c r="E160" s="12" t="str">
        <x:f>IF(Leads!AV160="","",Leads!AV160)</x:f>
      </x:c>
      <x:c r="F160" s="12" t="str">
        <x:f>IF(Leads!AX160="","",Leads!AX160)</x:f>
      </x:c>
      <x:c r="G160" s="12" t="str">
        <x:f>IF(Leads!BC160="","",Leads!BC160)</x:f>
      </x:c>
      <x:c r="H160" s="12" t="str">
        <x:f>IF(Leads!BE160="","",Leads!BE160)</x:f>
      </x:c>
      <x:c r="I160" s="12" t="str">
        <x:f>IF(Leads!BG160="","",Leads!BG160)</x:f>
      </x:c>
      <x:c r="J160" s="12" t="str">
        <x:f>IF(Leads!BH160="","",Leads!BH160)</x:f>
      </x:c>
      <x:c r="K160" s="12" t="str">
        <x:f>IF(A160="","","مرحبًا "&amp;C160&amp;CHAR(10)&amp;CHAR(10)&amp;"شكرًا لإتمام تقييم DBD الخاص بعيادة "&amp;B160&amp;"."&amp;CHAR(10)&amp;"نتيجتكم الحالية: "&amp;E160&amp;"%."&amp;CHAR(10)&amp;"أولوية التحسين الأولى: "&amp;F160&amp;"."&amp;IF(J160&lt;&gt;"",CHAR(10)&amp;CHAR(10)&amp;"رابط التقرير: "&amp;J160,"")&amp;CHAR(10)&amp;CHAR(10)&amp;"إذا أحببت، يمكننا مساعدتك في فهم التقرير وتحديد أفضل خطوة تالية لعيادتكم.")</x:f>
      </x:c>
      <x:c r="L160" s="12" t="str">
        <x:f>IF(D160="","",HYPERLINK("https://wa.me/"&amp;REGEXREPLACE(D160,"[^\d]","")&amp;"?text="&amp;ENCODEURL(K160),"واتساب 1"))</x:f>
      </x:c>
      <x:c r="M160" s="12" t="str">
        <x:f>IF(A160="","","مرحبًا "&amp;C160&amp;CHAR(10)&amp;CHAR(10)&amp;"بناءً على نتيجة تقييم عيادة "&amp;B160&amp;"، فإن الترشيح الأقوى لكم الآن هو: "&amp;G160&amp;"."&amp;CHAR(10)&amp;"هذا الخيار يساعدكم في معالجة أكبر فجوة حالية بشكل عملي ومباشر."&amp;IF(J160&lt;&gt;"",CHAR(10)&amp;CHAR(10)&amp;"رابط التقرير: "&amp;J160,"")&amp;CHAR(10)&amp;CHAR(10)&amp;"إذا رغبت، يمكننا توضيح لماذا هذا الكورس هو الأنسب لكم الآن.")</x:f>
      </x:c>
      <x:c r="N160" s="12" t="str">
        <x:f>IF(D160="","",HYPERLINK("https://wa.me/"&amp;REGEXREPLACE(D160,"[^\d]","")&amp;"?text="&amp;ENCODEURL(M160),"واتساب 2"))</x:f>
      </x:c>
      <x:c r="O160" s="12" t="str">
        <x:f>IF(A160="","","مرحبًا "&amp;C160&amp;CHAR(10)&amp;CHAR(10)&amp;"إذا كانت التحديات لديكم تحتاج حلًا أشمل، فالبرنامج الكامل المناسب لكم هو: "&amp;H160&amp;"."&amp;IF(I160&lt;&gt;"",CHAR(10)&amp;"كما يمكنكم أيضًا حجز: "&amp;I160&amp;".","")&amp;IF(J160&lt;&gt;"",CHAR(10)&amp;CHAR(10)&amp;"رابط التقرير: "&amp;J160,"")&amp;CHAR(10)&amp;CHAR(10)&amp;"يسعدنا مساعدتكم في اختيار المسار الأنسب حسب وضع العيادة الحالي.")</x:f>
      </x:c>
      <x:c r="P160" s="12" t="str">
        <x:f>IF(D160="","",HYPERLINK("https://wa.me/"&amp;REGEXREPLACE(D160,"[^\d]","")&amp;"?text="&amp;ENCODEURL(O160),"واتساب 3"))</x:f>
      </x:c>
    </x:row>
    <x:row r="161" ht="15" hidden="0" customHeight="1">
      <x:c r="A161" s="12" t="str">
        <x:f>IF(Leads!A161="","",Leads!A161)</x:f>
      </x:c>
      <x:c r="B161" s="12" t="str">
        <x:f>IF(Leads!F161="","",Leads!F161)</x:f>
      </x:c>
      <x:c r="C161" s="12" t="str">
        <x:f>IF(Leads!G161="","",Leads!G161)</x:f>
      </x:c>
      <x:c r="D161" s="12" t="str">
        <x:f>IF(Leads!O161="","",Leads!O161)</x:f>
      </x:c>
      <x:c r="E161" s="12" t="str">
        <x:f>IF(Leads!AV161="","",Leads!AV161)</x:f>
      </x:c>
      <x:c r="F161" s="12" t="str">
        <x:f>IF(Leads!AX161="","",Leads!AX161)</x:f>
      </x:c>
      <x:c r="G161" s="12" t="str">
        <x:f>IF(Leads!BC161="","",Leads!BC161)</x:f>
      </x:c>
      <x:c r="H161" s="12" t="str">
        <x:f>IF(Leads!BE161="","",Leads!BE161)</x:f>
      </x:c>
      <x:c r="I161" s="12" t="str">
        <x:f>IF(Leads!BG161="","",Leads!BG161)</x:f>
      </x:c>
      <x:c r="J161" s="12" t="str">
        <x:f>IF(Leads!BH161="","",Leads!BH161)</x:f>
      </x:c>
      <x:c r="K161" s="12" t="str">
        <x:f>IF(A161="","","مرحبًا "&amp;C161&amp;CHAR(10)&amp;CHAR(10)&amp;"شكرًا لإتمام تقييم DBD الخاص بعيادة "&amp;B161&amp;"."&amp;CHAR(10)&amp;"نتيجتكم الحالية: "&amp;E161&amp;"%."&amp;CHAR(10)&amp;"أولوية التحسين الأولى: "&amp;F161&amp;"."&amp;IF(J161&lt;&gt;"",CHAR(10)&amp;CHAR(10)&amp;"رابط التقرير: "&amp;J161,"")&amp;CHAR(10)&amp;CHAR(10)&amp;"إذا أحببت، يمكننا مساعدتك في فهم التقرير وتحديد أفضل خطوة تالية لعيادتكم.")</x:f>
      </x:c>
      <x:c r="L161" s="12" t="str">
        <x:f>IF(D161="","",HYPERLINK("https://wa.me/"&amp;REGEXREPLACE(D161,"[^\d]","")&amp;"?text="&amp;ENCODEURL(K161),"واتساب 1"))</x:f>
      </x:c>
      <x:c r="M161" s="12" t="str">
        <x:f>IF(A161="","","مرحبًا "&amp;C161&amp;CHAR(10)&amp;CHAR(10)&amp;"بناءً على نتيجة تقييم عيادة "&amp;B161&amp;"، فإن الترشيح الأقوى لكم الآن هو: "&amp;G161&amp;"."&amp;CHAR(10)&amp;"هذا الخيار يساعدكم في معالجة أكبر فجوة حالية بشكل عملي ومباشر."&amp;IF(J161&lt;&gt;"",CHAR(10)&amp;CHAR(10)&amp;"رابط التقرير: "&amp;J161,"")&amp;CHAR(10)&amp;CHAR(10)&amp;"إذا رغبت، يمكننا توضيح لماذا هذا الكورس هو الأنسب لكم الآن.")</x:f>
      </x:c>
      <x:c r="N161" s="12" t="str">
        <x:f>IF(D161="","",HYPERLINK("https://wa.me/"&amp;REGEXREPLACE(D161,"[^\d]","")&amp;"?text="&amp;ENCODEURL(M161),"واتساب 2"))</x:f>
      </x:c>
      <x:c r="O161" s="12" t="str">
        <x:f>IF(A161="","","مرحبًا "&amp;C161&amp;CHAR(10)&amp;CHAR(10)&amp;"إذا كانت التحديات لديكم تحتاج حلًا أشمل، فالبرنامج الكامل المناسب لكم هو: "&amp;H161&amp;"."&amp;IF(I161&lt;&gt;"",CHAR(10)&amp;"كما يمكنكم أيضًا حجز: "&amp;I161&amp;".","")&amp;IF(J161&lt;&gt;"",CHAR(10)&amp;CHAR(10)&amp;"رابط التقرير: "&amp;J161,"")&amp;CHAR(10)&amp;CHAR(10)&amp;"يسعدنا مساعدتكم في اختيار المسار الأنسب حسب وضع العيادة الحالي.")</x:f>
      </x:c>
      <x:c r="P161" s="12" t="str">
        <x:f>IF(D161="","",HYPERLINK("https://wa.me/"&amp;REGEXREPLACE(D161,"[^\d]","")&amp;"?text="&amp;ENCODEURL(O161),"واتساب 3"))</x:f>
      </x:c>
    </x:row>
    <x:row r="162" ht="15" hidden="0" customHeight="1">
      <x:c r="A162" s="12" t="str">
        <x:f>IF(Leads!A162="","",Leads!A162)</x:f>
      </x:c>
      <x:c r="B162" s="12" t="str">
        <x:f>IF(Leads!F162="","",Leads!F162)</x:f>
      </x:c>
      <x:c r="C162" s="12" t="str">
        <x:f>IF(Leads!G162="","",Leads!G162)</x:f>
      </x:c>
      <x:c r="D162" s="12" t="str">
        <x:f>IF(Leads!O162="","",Leads!O162)</x:f>
      </x:c>
      <x:c r="E162" s="12" t="str">
        <x:f>IF(Leads!AV162="","",Leads!AV162)</x:f>
      </x:c>
      <x:c r="F162" s="12" t="str">
        <x:f>IF(Leads!AX162="","",Leads!AX162)</x:f>
      </x:c>
      <x:c r="G162" s="12" t="str">
        <x:f>IF(Leads!BC162="","",Leads!BC162)</x:f>
      </x:c>
      <x:c r="H162" s="12" t="str">
        <x:f>IF(Leads!BE162="","",Leads!BE162)</x:f>
      </x:c>
      <x:c r="I162" s="12" t="str">
        <x:f>IF(Leads!BG162="","",Leads!BG162)</x:f>
      </x:c>
      <x:c r="J162" s="12" t="str">
        <x:f>IF(Leads!BH162="","",Leads!BH162)</x:f>
      </x:c>
      <x:c r="K162" s="12" t="str">
        <x:f>IF(A162="","","مرحبًا "&amp;C162&amp;CHAR(10)&amp;CHAR(10)&amp;"شكرًا لإتمام تقييم DBD الخاص بعيادة "&amp;B162&amp;"."&amp;CHAR(10)&amp;"نتيجتكم الحالية: "&amp;E162&amp;"%."&amp;CHAR(10)&amp;"أولوية التحسين الأولى: "&amp;F162&amp;"."&amp;IF(J162&lt;&gt;"",CHAR(10)&amp;CHAR(10)&amp;"رابط التقرير: "&amp;J162,"")&amp;CHAR(10)&amp;CHAR(10)&amp;"إذا أحببت، يمكننا مساعدتك في فهم التقرير وتحديد أفضل خطوة تالية لعيادتكم.")</x:f>
      </x:c>
      <x:c r="L162" s="12" t="str">
        <x:f>IF(D162="","",HYPERLINK("https://wa.me/"&amp;REGEXREPLACE(D162,"[^\d]","")&amp;"?text="&amp;ENCODEURL(K162),"واتساب 1"))</x:f>
      </x:c>
      <x:c r="M162" s="12" t="str">
        <x:f>IF(A162="","","مرحبًا "&amp;C162&amp;CHAR(10)&amp;CHAR(10)&amp;"بناءً على نتيجة تقييم عيادة "&amp;B162&amp;"، فإن الترشيح الأقوى لكم الآن هو: "&amp;G162&amp;"."&amp;CHAR(10)&amp;"هذا الخيار يساعدكم في معالجة أكبر فجوة حالية بشكل عملي ومباشر."&amp;IF(J162&lt;&gt;"",CHAR(10)&amp;CHAR(10)&amp;"رابط التقرير: "&amp;J162,"")&amp;CHAR(10)&amp;CHAR(10)&amp;"إذا رغبت، يمكننا توضيح لماذا هذا الكورس هو الأنسب لكم الآن.")</x:f>
      </x:c>
      <x:c r="N162" s="12" t="str">
        <x:f>IF(D162="","",HYPERLINK("https://wa.me/"&amp;REGEXREPLACE(D162,"[^\d]","")&amp;"?text="&amp;ENCODEURL(M162),"واتساب 2"))</x:f>
      </x:c>
      <x:c r="O162" s="12" t="str">
        <x:f>IF(A162="","","مرحبًا "&amp;C162&amp;CHAR(10)&amp;CHAR(10)&amp;"إذا كانت التحديات لديكم تحتاج حلًا أشمل، فالبرنامج الكامل المناسب لكم هو: "&amp;H162&amp;"."&amp;IF(I162&lt;&gt;"",CHAR(10)&amp;"كما يمكنكم أيضًا حجز: "&amp;I162&amp;".","")&amp;IF(J162&lt;&gt;"",CHAR(10)&amp;CHAR(10)&amp;"رابط التقرير: "&amp;J162,"")&amp;CHAR(10)&amp;CHAR(10)&amp;"يسعدنا مساعدتكم في اختيار المسار الأنسب حسب وضع العيادة الحالي.")</x:f>
      </x:c>
      <x:c r="P162" s="12" t="str">
        <x:f>IF(D162="","",HYPERLINK("https://wa.me/"&amp;REGEXREPLACE(D162,"[^\d]","")&amp;"?text="&amp;ENCODEURL(O162),"واتساب 3"))</x:f>
      </x:c>
    </x:row>
    <x:row r="163" ht="15" hidden="0" customHeight="1">
      <x:c r="A163" s="12" t="str">
        <x:f>IF(Leads!A163="","",Leads!A163)</x:f>
      </x:c>
      <x:c r="B163" s="12" t="str">
        <x:f>IF(Leads!F163="","",Leads!F163)</x:f>
      </x:c>
      <x:c r="C163" s="12" t="str">
        <x:f>IF(Leads!G163="","",Leads!G163)</x:f>
      </x:c>
      <x:c r="D163" s="12" t="str">
        <x:f>IF(Leads!O163="","",Leads!O163)</x:f>
      </x:c>
      <x:c r="E163" s="12" t="str">
        <x:f>IF(Leads!AV163="","",Leads!AV163)</x:f>
      </x:c>
      <x:c r="F163" s="12" t="str">
        <x:f>IF(Leads!AX163="","",Leads!AX163)</x:f>
      </x:c>
      <x:c r="G163" s="12" t="str">
        <x:f>IF(Leads!BC163="","",Leads!BC163)</x:f>
      </x:c>
      <x:c r="H163" s="12" t="str">
        <x:f>IF(Leads!BE163="","",Leads!BE163)</x:f>
      </x:c>
      <x:c r="I163" s="12" t="str">
        <x:f>IF(Leads!BG163="","",Leads!BG163)</x:f>
      </x:c>
      <x:c r="J163" s="12" t="str">
        <x:f>IF(Leads!BH163="","",Leads!BH163)</x:f>
      </x:c>
      <x:c r="K163" s="12" t="str">
        <x:f>IF(A163="","","مرحبًا "&amp;C163&amp;CHAR(10)&amp;CHAR(10)&amp;"شكرًا لإتمام تقييم DBD الخاص بعيادة "&amp;B163&amp;"."&amp;CHAR(10)&amp;"نتيجتكم الحالية: "&amp;E163&amp;"%."&amp;CHAR(10)&amp;"أولوية التحسين الأولى: "&amp;F163&amp;"."&amp;IF(J163&lt;&gt;"",CHAR(10)&amp;CHAR(10)&amp;"رابط التقرير: "&amp;J163,"")&amp;CHAR(10)&amp;CHAR(10)&amp;"إذا أحببت، يمكننا مساعدتك في فهم التقرير وتحديد أفضل خطوة تالية لعيادتكم.")</x:f>
      </x:c>
      <x:c r="L163" s="12" t="str">
        <x:f>IF(D163="","",HYPERLINK("https://wa.me/"&amp;REGEXREPLACE(D163,"[^\d]","")&amp;"?text="&amp;ENCODEURL(K163),"واتساب 1"))</x:f>
      </x:c>
      <x:c r="M163" s="12" t="str">
        <x:f>IF(A163="","","مرحبًا "&amp;C163&amp;CHAR(10)&amp;CHAR(10)&amp;"بناءً على نتيجة تقييم عيادة "&amp;B163&amp;"، فإن الترشيح الأقوى لكم الآن هو: "&amp;G163&amp;"."&amp;CHAR(10)&amp;"هذا الخيار يساعدكم في معالجة أكبر فجوة حالية بشكل عملي ومباشر."&amp;IF(J163&lt;&gt;"",CHAR(10)&amp;CHAR(10)&amp;"رابط التقرير: "&amp;J163,"")&amp;CHAR(10)&amp;CHAR(10)&amp;"إذا رغبت، يمكننا توضيح لماذا هذا الكورس هو الأنسب لكم الآن.")</x:f>
      </x:c>
      <x:c r="N163" s="12" t="str">
        <x:f>IF(D163="","",HYPERLINK("https://wa.me/"&amp;REGEXREPLACE(D163,"[^\d]","")&amp;"?text="&amp;ENCODEURL(M163),"واتساب 2"))</x:f>
      </x:c>
      <x:c r="O163" s="12" t="str">
        <x:f>IF(A163="","","مرحبًا "&amp;C163&amp;CHAR(10)&amp;CHAR(10)&amp;"إذا كانت التحديات لديكم تحتاج حلًا أشمل، فالبرنامج الكامل المناسب لكم هو: "&amp;H163&amp;"."&amp;IF(I163&lt;&gt;"",CHAR(10)&amp;"كما يمكنكم أيضًا حجز: "&amp;I163&amp;".","")&amp;IF(J163&lt;&gt;"",CHAR(10)&amp;CHAR(10)&amp;"رابط التقرير: "&amp;J163,"")&amp;CHAR(10)&amp;CHAR(10)&amp;"يسعدنا مساعدتكم في اختيار المسار الأنسب حسب وضع العيادة الحالي.")</x:f>
      </x:c>
      <x:c r="P163" s="12" t="str">
        <x:f>IF(D163="","",HYPERLINK("https://wa.me/"&amp;REGEXREPLACE(D163,"[^\d]","")&amp;"?text="&amp;ENCODEURL(O163),"واتساب 3"))</x:f>
      </x:c>
    </x:row>
    <x:row r="164" ht="15" hidden="0" customHeight="1">
      <x:c r="A164" s="12" t="str">
        <x:f>IF(Leads!A164="","",Leads!A164)</x:f>
      </x:c>
      <x:c r="B164" s="12" t="str">
        <x:f>IF(Leads!F164="","",Leads!F164)</x:f>
      </x:c>
      <x:c r="C164" s="12" t="str">
        <x:f>IF(Leads!G164="","",Leads!G164)</x:f>
      </x:c>
      <x:c r="D164" s="12" t="str">
        <x:f>IF(Leads!O164="","",Leads!O164)</x:f>
      </x:c>
      <x:c r="E164" s="12" t="str">
        <x:f>IF(Leads!AV164="","",Leads!AV164)</x:f>
      </x:c>
      <x:c r="F164" s="12" t="str">
        <x:f>IF(Leads!AX164="","",Leads!AX164)</x:f>
      </x:c>
      <x:c r="G164" s="12" t="str">
        <x:f>IF(Leads!BC164="","",Leads!BC164)</x:f>
      </x:c>
      <x:c r="H164" s="12" t="str">
        <x:f>IF(Leads!BE164="","",Leads!BE164)</x:f>
      </x:c>
      <x:c r="I164" s="12" t="str">
        <x:f>IF(Leads!BG164="","",Leads!BG164)</x:f>
      </x:c>
      <x:c r="J164" s="12" t="str">
        <x:f>IF(Leads!BH164="","",Leads!BH164)</x:f>
      </x:c>
      <x:c r="K164" s="12" t="str">
        <x:f>IF(A164="","","مرحبًا "&amp;C164&amp;CHAR(10)&amp;CHAR(10)&amp;"شكرًا لإتمام تقييم DBD الخاص بعيادة "&amp;B164&amp;"."&amp;CHAR(10)&amp;"نتيجتكم الحالية: "&amp;E164&amp;"%."&amp;CHAR(10)&amp;"أولوية التحسين الأولى: "&amp;F164&amp;"."&amp;IF(J164&lt;&gt;"",CHAR(10)&amp;CHAR(10)&amp;"رابط التقرير: "&amp;J164,"")&amp;CHAR(10)&amp;CHAR(10)&amp;"إذا أحببت، يمكننا مساعدتك في فهم التقرير وتحديد أفضل خطوة تالية لعيادتكم.")</x:f>
      </x:c>
      <x:c r="L164" s="12" t="str">
        <x:f>IF(D164="","",HYPERLINK("https://wa.me/"&amp;REGEXREPLACE(D164,"[^\d]","")&amp;"?text="&amp;ENCODEURL(K164),"واتساب 1"))</x:f>
      </x:c>
      <x:c r="M164" s="12" t="str">
        <x:f>IF(A164="","","مرحبًا "&amp;C164&amp;CHAR(10)&amp;CHAR(10)&amp;"بناءً على نتيجة تقييم عيادة "&amp;B164&amp;"، فإن الترشيح الأقوى لكم الآن هو: "&amp;G164&amp;"."&amp;CHAR(10)&amp;"هذا الخيار يساعدكم في معالجة أكبر فجوة حالية بشكل عملي ومباشر."&amp;IF(J164&lt;&gt;"",CHAR(10)&amp;CHAR(10)&amp;"رابط التقرير: "&amp;J164,"")&amp;CHAR(10)&amp;CHAR(10)&amp;"إذا رغبت، يمكننا توضيح لماذا هذا الكورس هو الأنسب لكم الآن.")</x:f>
      </x:c>
      <x:c r="N164" s="12" t="str">
        <x:f>IF(D164="","",HYPERLINK("https://wa.me/"&amp;REGEXREPLACE(D164,"[^\d]","")&amp;"?text="&amp;ENCODEURL(M164),"واتساب 2"))</x:f>
      </x:c>
      <x:c r="O164" s="12" t="str">
        <x:f>IF(A164="","","مرحبًا "&amp;C164&amp;CHAR(10)&amp;CHAR(10)&amp;"إذا كانت التحديات لديكم تحتاج حلًا أشمل، فالبرنامج الكامل المناسب لكم هو: "&amp;H164&amp;"."&amp;IF(I164&lt;&gt;"",CHAR(10)&amp;"كما يمكنكم أيضًا حجز: "&amp;I164&amp;".","")&amp;IF(J164&lt;&gt;"",CHAR(10)&amp;CHAR(10)&amp;"رابط التقرير: "&amp;J164,"")&amp;CHAR(10)&amp;CHAR(10)&amp;"يسعدنا مساعدتكم في اختيار المسار الأنسب حسب وضع العيادة الحالي.")</x:f>
      </x:c>
      <x:c r="P164" s="12" t="str">
        <x:f>IF(D164="","",HYPERLINK("https://wa.me/"&amp;REGEXREPLACE(D164,"[^\d]","")&amp;"?text="&amp;ENCODEURL(O164),"واتساب 3"))</x:f>
      </x:c>
    </x:row>
    <x:row r="165" ht="15" hidden="0" customHeight="1">
      <x:c r="A165" s="12" t="str">
        <x:f>IF(Leads!A165="","",Leads!A165)</x:f>
      </x:c>
      <x:c r="B165" s="12" t="str">
        <x:f>IF(Leads!F165="","",Leads!F165)</x:f>
      </x:c>
      <x:c r="C165" s="12" t="str">
        <x:f>IF(Leads!G165="","",Leads!G165)</x:f>
      </x:c>
      <x:c r="D165" s="12" t="str">
        <x:f>IF(Leads!O165="","",Leads!O165)</x:f>
      </x:c>
      <x:c r="E165" s="12" t="str">
        <x:f>IF(Leads!AV165="","",Leads!AV165)</x:f>
      </x:c>
      <x:c r="F165" s="12" t="str">
        <x:f>IF(Leads!AX165="","",Leads!AX165)</x:f>
      </x:c>
      <x:c r="G165" s="12" t="str">
        <x:f>IF(Leads!BC165="","",Leads!BC165)</x:f>
      </x:c>
      <x:c r="H165" s="12" t="str">
        <x:f>IF(Leads!BE165="","",Leads!BE165)</x:f>
      </x:c>
      <x:c r="I165" s="12" t="str">
        <x:f>IF(Leads!BG165="","",Leads!BG165)</x:f>
      </x:c>
      <x:c r="J165" s="12" t="str">
        <x:f>IF(Leads!BH165="","",Leads!BH165)</x:f>
      </x:c>
      <x:c r="K165" s="12" t="str">
        <x:f>IF(A165="","","مرحبًا "&amp;C165&amp;CHAR(10)&amp;CHAR(10)&amp;"شكرًا لإتمام تقييم DBD الخاص بعيادة "&amp;B165&amp;"."&amp;CHAR(10)&amp;"نتيجتكم الحالية: "&amp;E165&amp;"%."&amp;CHAR(10)&amp;"أولوية التحسين الأولى: "&amp;F165&amp;"."&amp;IF(J165&lt;&gt;"",CHAR(10)&amp;CHAR(10)&amp;"رابط التقرير: "&amp;J165,"")&amp;CHAR(10)&amp;CHAR(10)&amp;"إذا أحببت، يمكننا مساعدتك في فهم التقرير وتحديد أفضل خطوة تالية لعيادتكم.")</x:f>
      </x:c>
      <x:c r="L165" s="12" t="str">
        <x:f>IF(D165="","",HYPERLINK("https://wa.me/"&amp;REGEXREPLACE(D165,"[^\d]","")&amp;"?text="&amp;ENCODEURL(K165),"واتساب 1"))</x:f>
      </x:c>
      <x:c r="M165" s="12" t="str">
        <x:f>IF(A165="","","مرحبًا "&amp;C165&amp;CHAR(10)&amp;CHAR(10)&amp;"بناءً على نتيجة تقييم عيادة "&amp;B165&amp;"، فإن الترشيح الأقوى لكم الآن هو: "&amp;G165&amp;"."&amp;CHAR(10)&amp;"هذا الخيار يساعدكم في معالجة أكبر فجوة حالية بشكل عملي ومباشر."&amp;IF(J165&lt;&gt;"",CHAR(10)&amp;CHAR(10)&amp;"رابط التقرير: "&amp;J165,"")&amp;CHAR(10)&amp;CHAR(10)&amp;"إذا رغبت، يمكننا توضيح لماذا هذا الكورس هو الأنسب لكم الآن.")</x:f>
      </x:c>
      <x:c r="N165" s="12" t="str">
        <x:f>IF(D165="","",HYPERLINK("https://wa.me/"&amp;REGEXREPLACE(D165,"[^\d]","")&amp;"?text="&amp;ENCODEURL(M165),"واتساب 2"))</x:f>
      </x:c>
      <x:c r="O165" s="12" t="str">
        <x:f>IF(A165="","","مرحبًا "&amp;C165&amp;CHAR(10)&amp;CHAR(10)&amp;"إذا كانت التحديات لديكم تحتاج حلًا أشمل، فالبرنامج الكامل المناسب لكم هو: "&amp;H165&amp;"."&amp;IF(I165&lt;&gt;"",CHAR(10)&amp;"كما يمكنكم أيضًا حجز: "&amp;I165&amp;".","")&amp;IF(J165&lt;&gt;"",CHAR(10)&amp;CHAR(10)&amp;"رابط التقرير: "&amp;J165,"")&amp;CHAR(10)&amp;CHAR(10)&amp;"يسعدنا مساعدتكم في اختيار المسار الأنسب حسب وضع العيادة الحالي.")</x:f>
      </x:c>
      <x:c r="P165" s="12" t="str">
        <x:f>IF(D165="","",HYPERLINK("https://wa.me/"&amp;REGEXREPLACE(D165,"[^\d]","")&amp;"?text="&amp;ENCODEURL(O165),"واتساب 3"))</x:f>
      </x:c>
    </x:row>
    <x:row r="166" ht="15" hidden="0" customHeight="1">
      <x:c r="A166" s="12" t="str">
        <x:f>IF(Leads!A166="","",Leads!A166)</x:f>
      </x:c>
      <x:c r="B166" s="12" t="str">
        <x:f>IF(Leads!F166="","",Leads!F166)</x:f>
      </x:c>
      <x:c r="C166" s="12" t="str">
        <x:f>IF(Leads!G166="","",Leads!G166)</x:f>
      </x:c>
      <x:c r="D166" s="12" t="str">
        <x:f>IF(Leads!O166="","",Leads!O166)</x:f>
      </x:c>
      <x:c r="E166" s="12" t="str">
        <x:f>IF(Leads!AV166="","",Leads!AV166)</x:f>
      </x:c>
      <x:c r="F166" s="12" t="str">
        <x:f>IF(Leads!AX166="","",Leads!AX166)</x:f>
      </x:c>
      <x:c r="G166" s="12" t="str">
        <x:f>IF(Leads!BC166="","",Leads!BC166)</x:f>
      </x:c>
      <x:c r="H166" s="12" t="str">
        <x:f>IF(Leads!BE166="","",Leads!BE166)</x:f>
      </x:c>
      <x:c r="I166" s="12" t="str">
        <x:f>IF(Leads!BG166="","",Leads!BG166)</x:f>
      </x:c>
      <x:c r="J166" s="12" t="str">
        <x:f>IF(Leads!BH166="","",Leads!BH166)</x:f>
      </x:c>
      <x:c r="K166" s="12" t="str">
        <x:f>IF(A166="","","مرحبًا "&amp;C166&amp;CHAR(10)&amp;CHAR(10)&amp;"شكرًا لإتمام تقييم DBD الخاص بعيادة "&amp;B166&amp;"."&amp;CHAR(10)&amp;"نتيجتكم الحالية: "&amp;E166&amp;"%."&amp;CHAR(10)&amp;"أولوية التحسين الأولى: "&amp;F166&amp;"."&amp;IF(J166&lt;&gt;"",CHAR(10)&amp;CHAR(10)&amp;"رابط التقرير: "&amp;J166,"")&amp;CHAR(10)&amp;CHAR(10)&amp;"إذا أحببت، يمكننا مساعدتك في فهم التقرير وتحديد أفضل خطوة تالية لعيادتكم.")</x:f>
      </x:c>
      <x:c r="L166" s="12" t="str">
        <x:f>IF(D166="","",HYPERLINK("https://wa.me/"&amp;REGEXREPLACE(D166,"[^\d]","")&amp;"?text="&amp;ENCODEURL(K166),"واتساب 1"))</x:f>
      </x:c>
      <x:c r="M166" s="12" t="str">
        <x:f>IF(A166="","","مرحبًا "&amp;C166&amp;CHAR(10)&amp;CHAR(10)&amp;"بناءً على نتيجة تقييم عيادة "&amp;B166&amp;"، فإن الترشيح الأقوى لكم الآن هو: "&amp;G166&amp;"."&amp;CHAR(10)&amp;"هذا الخيار يساعدكم في معالجة أكبر فجوة حالية بشكل عملي ومباشر."&amp;IF(J166&lt;&gt;"",CHAR(10)&amp;CHAR(10)&amp;"رابط التقرير: "&amp;J166,"")&amp;CHAR(10)&amp;CHAR(10)&amp;"إذا رغبت، يمكننا توضيح لماذا هذا الكورس هو الأنسب لكم الآن.")</x:f>
      </x:c>
      <x:c r="N166" s="12" t="str">
        <x:f>IF(D166="","",HYPERLINK("https://wa.me/"&amp;REGEXREPLACE(D166,"[^\d]","")&amp;"?text="&amp;ENCODEURL(M166),"واتساب 2"))</x:f>
      </x:c>
      <x:c r="O166" s="12" t="str">
        <x:f>IF(A166="","","مرحبًا "&amp;C166&amp;CHAR(10)&amp;CHAR(10)&amp;"إذا كانت التحديات لديكم تحتاج حلًا أشمل، فالبرنامج الكامل المناسب لكم هو: "&amp;H166&amp;"."&amp;IF(I166&lt;&gt;"",CHAR(10)&amp;"كما يمكنكم أيضًا حجز: "&amp;I166&amp;".","")&amp;IF(J166&lt;&gt;"",CHAR(10)&amp;CHAR(10)&amp;"رابط التقرير: "&amp;J166,"")&amp;CHAR(10)&amp;CHAR(10)&amp;"يسعدنا مساعدتكم في اختيار المسار الأنسب حسب وضع العيادة الحالي.")</x:f>
      </x:c>
      <x:c r="P166" s="12" t="str">
        <x:f>IF(D166="","",HYPERLINK("https://wa.me/"&amp;REGEXREPLACE(D166,"[^\d]","")&amp;"?text="&amp;ENCODEURL(O166),"واتساب 3"))</x:f>
      </x:c>
    </x:row>
    <x:row r="167" ht="15" hidden="0" customHeight="1">
      <x:c r="A167" s="12" t="str">
        <x:f>IF(Leads!A167="","",Leads!A167)</x:f>
      </x:c>
      <x:c r="B167" s="12" t="str">
        <x:f>IF(Leads!F167="","",Leads!F167)</x:f>
      </x:c>
      <x:c r="C167" s="12" t="str">
        <x:f>IF(Leads!G167="","",Leads!G167)</x:f>
      </x:c>
      <x:c r="D167" s="12" t="str">
        <x:f>IF(Leads!O167="","",Leads!O167)</x:f>
      </x:c>
      <x:c r="E167" s="12" t="str">
        <x:f>IF(Leads!AV167="","",Leads!AV167)</x:f>
      </x:c>
      <x:c r="F167" s="12" t="str">
        <x:f>IF(Leads!AX167="","",Leads!AX167)</x:f>
      </x:c>
      <x:c r="G167" s="12" t="str">
        <x:f>IF(Leads!BC167="","",Leads!BC167)</x:f>
      </x:c>
      <x:c r="H167" s="12" t="str">
        <x:f>IF(Leads!BE167="","",Leads!BE167)</x:f>
      </x:c>
      <x:c r="I167" s="12" t="str">
        <x:f>IF(Leads!BG167="","",Leads!BG167)</x:f>
      </x:c>
      <x:c r="J167" s="12" t="str">
        <x:f>IF(Leads!BH167="","",Leads!BH167)</x:f>
      </x:c>
      <x:c r="K167" s="12" t="str">
        <x:f>IF(A167="","","مرحبًا "&amp;C167&amp;CHAR(10)&amp;CHAR(10)&amp;"شكرًا لإتمام تقييم DBD الخاص بعيادة "&amp;B167&amp;"."&amp;CHAR(10)&amp;"نتيجتكم الحالية: "&amp;E167&amp;"%."&amp;CHAR(10)&amp;"أولوية التحسين الأولى: "&amp;F167&amp;"."&amp;IF(J167&lt;&gt;"",CHAR(10)&amp;CHAR(10)&amp;"رابط التقرير: "&amp;J167,"")&amp;CHAR(10)&amp;CHAR(10)&amp;"إذا أحببت، يمكننا مساعدتك في فهم التقرير وتحديد أفضل خطوة تالية لعيادتكم.")</x:f>
      </x:c>
      <x:c r="L167" s="12" t="str">
        <x:f>IF(D167="","",HYPERLINK("https://wa.me/"&amp;REGEXREPLACE(D167,"[^\d]","")&amp;"?text="&amp;ENCODEURL(K167),"واتساب 1"))</x:f>
      </x:c>
      <x:c r="M167" s="12" t="str">
        <x:f>IF(A167="","","مرحبًا "&amp;C167&amp;CHAR(10)&amp;CHAR(10)&amp;"بناءً على نتيجة تقييم عيادة "&amp;B167&amp;"، فإن الترشيح الأقوى لكم الآن هو: "&amp;G167&amp;"."&amp;CHAR(10)&amp;"هذا الخيار يساعدكم في معالجة أكبر فجوة حالية بشكل عملي ومباشر."&amp;IF(J167&lt;&gt;"",CHAR(10)&amp;CHAR(10)&amp;"رابط التقرير: "&amp;J167,"")&amp;CHAR(10)&amp;CHAR(10)&amp;"إذا رغبت، يمكننا توضيح لماذا هذا الكورس هو الأنسب لكم الآن.")</x:f>
      </x:c>
      <x:c r="N167" s="12" t="str">
        <x:f>IF(D167="","",HYPERLINK("https://wa.me/"&amp;REGEXREPLACE(D167,"[^\d]","")&amp;"?text="&amp;ENCODEURL(M167),"واتساب 2"))</x:f>
      </x:c>
      <x:c r="O167" s="12" t="str">
        <x:f>IF(A167="","","مرحبًا "&amp;C167&amp;CHAR(10)&amp;CHAR(10)&amp;"إذا كانت التحديات لديكم تحتاج حلًا أشمل، فالبرنامج الكامل المناسب لكم هو: "&amp;H167&amp;"."&amp;IF(I167&lt;&gt;"",CHAR(10)&amp;"كما يمكنكم أيضًا حجز: "&amp;I167&amp;".","")&amp;IF(J167&lt;&gt;"",CHAR(10)&amp;CHAR(10)&amp;"رابط التقرير: "&amp;J167,"")&amp;CHAR(10)&amp;CHAR(10)&amp;"يسعدنا مساعدتكم في اختيار المسار الأنسب حسب وضع العيادة الحالي.")</x:f>
      </x:c>
      <x:c r="P167" s="12" t="str">
        <x:f>IF(D167="","",HYPERLINK("https://wa.me/"&amp;REGEXREPLACE(D167,"[^\d]","")&amp;"?text="&amp;ENCODEURL(O167),"واتساب 3"))</x:f>
      </x:c>
    </x:row>
    <x:row r="168" ht="15" hidden="0" customHeight="1">
      <x:c r="A168" s="12" t="str">
        <x:f>IF(Leads!A168="","",Leads!A168)</x:f>
      </x:c>
      <x:c r="B168" s="12" t="str">
        <x:f>IF(Leads!F168="","",Leads!F168)</x:f>
      </x:c>
      <x:c r="C168" s="12" t="str">
        <x:f>IF(Leads!G168="","",Leads!G168)</x:f>
      </x:c>
      <x:c r="D168" s="12" t="str">
        <x:f>IF(Leads!O168="","",Leads!O168)</x:f>
      </x:c>
      <x:c r="E168" s="12" t="str">
        <x:f>IF(Leads!AV168="","",Leads!AV168)</x:f>
      </x:c>
      <x:c r="F168" s="12" t="str">
        <x:f>IF(Leads!AX168="","",Leads!AX168)</x:f>
      </x:c>
      <x:c r="G168" s="12" t="str">
        <x:f>IF(Leads!BC168="","",Leads!BC168)</x:f>
      </x:c>
      <x:c r="H168" s="12" t="str">
        <x:f>IF(Leads!BE168="","",Leads!BE168)</x:f>
      </x:c>
      <x:c r="I168" s="12" t="str">
        <x:f>IF(Leads!BG168="","",Leads!BG168)</x:f>
      </x:c>
      <x:c r="J168" s="12" t="str">
        <x:f>IF(Leads!BH168="","",Leads!BH168)</x:f>
      </x:c>
      <x:c r="K168" s="12" t="str">
        <x:f>IF(A168="","","مرحبًا "&amp;C168&amp;CHAR(10)&amp;CHAR(10)&amp;"شكرًا لإتمام تقييم DBD الخاص بعيادة "&amp;B168&amp;"."&amp;CHAR(10)&amp;"نتيجتكم الحالية: "&amp;E168&amp;"%."&amp;CHAR(10)&amp;"أولوية التحسين الأولى: "&amp;F168&amp;"."&amp;IF(J168&lt;&gt;"",CHAR(10)&amp;CHAR(10)&amp;"رابط التقرير: "&amp;J168,"")&amp;CHAR(10)&amp;CHAR(10)&amp;"إذا أحببت، يمكننا مساعدتك في فهم التقرير وتحديد أفضل خطوة تالية لعيادتكم.")</x:f>
      </x:c>
      <x:c r="L168" s="12" t="str">
        <x:f>IF(D168="","",HYPERLINK("https://wa.me/"&amp;REGEXREPLACE(D168,"[^\d]","")&amp;"?text="&amp;ENCODEURL(K168),"واتساب 1"))</x:f>
      </x:c>
      <x:c r="M168" s="12" t="str">
        <x:f>IF(A168="","","مرحبًا "&amp;C168&amp;CHAR(10)&amp;CHAR(10)&amp;"بناءً على نتيجة تقييم عيادة "&amp;B168&amp;"، فإن الترشيح الأقوى لكم الآن هو: "&amp;G168&amp;"."&amp;CHAR(10)&amp;"هذا الخيار يساعدكم في معالجة أكبر فجوة حالية بشكل عملي ومباشر."&amp;IF(J168&lt;&gt;"",CHAR(10)&amp;CHAR(10)&amp;"رابط التقرير: "&amp;J168,"")&amp;CHAR(10)&amp;CHAR(10)&amp;"إذا رغبت، يمكننا توضيح لماذا هذا الكورس هو الأنسب لكم الآن.")</x:f>
      </x:c>
      <x:c r="N168" s="12" t="str">
        <x:f>IF(D168="","",HYPERLINK("https://wa.me/"&amp;REGEXREPLACE(D168,"[^\d]","")&amp;"?text="&amp;ENCODEURL(M168),"واتساب 2"))</x:f>
      </x:c>
      <x:c r="O168" s="12" t="str">
        <x:f>IF(A168="","","مرحبًا "&amp;C168&amp;CHAR(10)&amp;CHAR(10)&amp;"إذا كانت التحديات لديكم تحتاج حلًا أشمل، فالبرنامج الكامل المناسب لكم هو: "&amp;H168&amp;"."&amp;IF(I168&lt;&gt;"",CHAR(10)&amp;"كما يمكنكم أيضًا حجز: "&amp;I168&amp;".","")&amp;IF(J168&lt;&gt;"",CHAR(10)&amp;CHAR(10)&amp;"رابط التقرير: "&amp;J168,"")&amp;CHAR(10)&amp;CHAR(10)&amp;"يسعدنا مساعدتكم في اختيار المسار الأنسب حسب وضع العيادة الحالي.")</x:f>
      </x:c>
      <x:c r="P168" s="12" t="str">
        <x:f>IF(D168="","",HYPERLINK("https://wa.me/"&amp;REGEXREPLACE(D168,"[^\d]","")&amp;"?text="&amp;ENCODEURL(O168),"واتساب 3"))</x:f>
      </x:c>
    </x:row>
    <x:row r="169" ht="15" hidden="0" customHeight="1">
      <x:c r="A169" s="12" t="str">
        <x:f>IF(Leads!A169="","",Leads!A169)</x:f>
      </x:c>
      <x:c r="B169" s="12" t="str">
        <x:f>IF(Leads!F169="","",Leads!F169)</x:f>
      </x:c>
      <x:c r="C169" s="12" t="str">
        <x:f>IF(Leads!G169="","",Leads!G169)</x:f>
      </x:c>
      <x:c r="D169" s="12" t="str">
        <x:f>IF(Leads!O169="","",Leads!O169)</x:f>
      </x:c>
      <x:c r="E169" s="12" t="str">
        <x:f>IF(Leads!AV169="","",Leads!AV169)</x:f>
      </x:c>
      <x:c r="F169" s="12" t="str">
        <x:f>IF(Leads!AX169="","",Leads!AX169)</x:f>
      </x:c>
      <x:c r="G169" s="12" t="str">
        <x:f>IF(Leads!BC169="","",Leads!BC169)</x:f>
      </x:c>
      <x:c r="H169" s="12" t="str">
        <x:f>IF(Leads!BE169="","",Leads!BE169)</x:f>
      </x:c>
      <x:c r="I169" s="12" t="str">
        <x:f>IF(Leads!BG169="","",Leads!BG169)</x:f>
      </x:c>
      <x:c r="J169" s="12" t="str">
        <x:f>IF(Leads!BH169="","",Leads!BH169)</x:f>
      </x:c>
      <x:c r="K169" s="12" t="str">
        <x:f>IF(A169="","","مرحبًا "&amp;C169&amp;CHAR(10)&amp;CHAR(10)&amp;"شكرًا لإتمام تقييم DBD الخاص بعيادة "&amp;B169&amp;"."&amp;CHAR(10)&amp;"نتيجتكم الحالية: "&amp;E169&amp;"%."&amp;CHAR(10)&amp;"أولوية التحسين الأولى: "&amp;F169&amp;"."&amp;IF(J169&lt;&gt;"",CHAR(10)&amp;CHAR(10)&amp;"رابط التقرير: "&amp;J169,"")&amp;CHAR(10)&amp;CHAR(10)&amp;"إذا أحببت، يمكننا مساعدتك في فهم التقرير وتحديد أفضل خطوة تالية لعيادتكم.")</x:f>
      </x:c>
      <x:c r="L169" s="12" t="str">
        <x:f>IF(D169="","",HYPERLINK("https://wa.me/"&amp;REGEXREPLACE(D169,"[^\d]","")&amp;"?text="&amp;ENCODEURL(K169),"واتساب 1"))</x:f>
      </x:c>
      <x:c r="M169" s="12" t="str">
        <x:f>IF(A169="","","مرحبًا "&amp;C169&amp;CHAR(10)&amp;CHAR(10)&amp;"بناءً على نتيجة تقييم عيادة "&amp;B169&amp;"، فإن الترشيح الأقوى لكم الآن هو: "&amp;G169&amp;"."&amp;CHAR(10)&amp;"هذا الخيار يساعدكم في معالجة أكبر فجوة حالية بشكل عملي ومباشر."&amp;IF(J169&lt;&gt;"",CHAR(10)&amp;CHAR(10)&amp;"رابط التقرير: "&amp;J169,"")&amp;CHAR(10)&amp;CHAR(10)&amp;"إذا رغبت، يمكننا توضيح لماذا هذا الكورس هو الأنسب لكم الآن.")</x:f>
      </x:c>
      <x:c r="N169" s="12" t="str">
        <x:f>IF(D169="","",HYPERLINK("https://wa.me/"&amp;REGEXREPLACE(D169,"[^\d]","")&amp;"?text="&amp;ENCODEURL(M169),"واتساب 2"))</x:f>
      </x:c>
      <x:c r="O169" s="12" t="str">
        <x:f>IF(A169="","","مرحبًا "&amp;C169&amp;CHAR(10)&amp;CHAR(10)&amp;"إذا كانت التحديات لديكم تحتاج حلًا أشمل، فالبرنامج الكامل المناسب لكم هو: "&amp;H169&amp;"."&amp;IF(I169&lt;&gt;"",CHAR(10)&amp;"كما يمكنكم أيضًا حجز: "&amp;I169&amp;".","")&amp;IF(J169&lt;&gt;"",CHAR(10)&amp;CHAR(10)&amp;"رابط التقرير: "&amp;J169,"")&amp;CHAR(10)&amp;CHAR(10)&amp;"يسعدنا مساعدتكم في اختيار المسار الأنسب حسب وضع العيادة الحالي.")</x:f>
      </x:c>
      <x:c r="P169" s="12" t="str">
        <x:f>IF(D169="","",HYPERLINK("https://wa.me/"&amp;REGEXREPLACE(D169,"[^\d]","")&amp;"?text="&amp;ENCODEURL(O169),"واتساب 3"))</x:f>
      </x:c>
    </x:row>
    <x:row r="170" ht="15" hidden="0" customHeight="1">
      <x:c r="A170" s="12" t="str">
        <x:f>IF(Leads!A170="","",Leads!A170)</x:f>
      </x:c>
      <x:c r="B170" s="12" t="str">
        <x:f>IF(Leads!F170="","",Leads!F170)</x:f>
      </x:c>
      <x:c r="C170" s="12" t="str">
        <x:f>IF(Leads!G170="","",Leads!G170)</x:f>
      </x:c>
      <x:c r="D170" s="12" t="str">
        <x:f>IF(Leads!O170="","",Leads!O170)</x:f>
      </x:c>
      <x:c r="E170" s="12" t="str">
        <x:f>IF(Leads!AV170="","",Leads!AV170)</x:f>
      </x:c>
      <x:c r="F170" s="12" t="str">
        <x:f>IF(Leads!AX170="","",Leads!AX170)</x:f>
      </x:c>
      <x:c r="G170" s="12" t="str">
        <x:f>IF(Leads!BC170="","",Leads!BC170)</x:f>
      </x:c>
      <x:c r="H170" s="12" t="str">
        <x:f>IF(Leads!BE170="","",Leads!BE170)</x:f>
      </x:c>
      <x:c r="I170" s="12" t="str">
        <x:f>IF(Leads!BG170="","",Leads!BG170)</x:f>
      </x:c>
      <x:c r="J170" s="12" t="str">
        <x:f>IF(Leads!BH170="","",Leads!BH170)</x:f>
      </x:c>
      <x:c r="K170" s="12" t="str">
        <x:f>IF(A170="","","مرحبًا "&amp;C170&amp;CHAR(10)&amp;CHAR(10)&amp;"شكرًا لإتمام تقييم DBD الخاص بعيادة "&amp;B170&amp;"."&amp;CHAR(10)&amp;"نتيجتكم الحالية: "&amp;E170&amp;"%."&amp;CHAR(10)&amp;"أولوية التحسين الأولى: "&amp;F170&amp;"."&amp;IF(J170&lt;&gt;"",CHAR(10)&amp;CHAR(10)&amp;"رابط التقرير: "&amp;J170,"")&amp;CHAR(10)&amp;CHAR(10)&amp;"إذا أحببت، يمكننا مساعدتك في فهم التقرير وتحديد أفضل خطوة تالية لعيادتكم.")</x:f>
      </x:c>
      <x:c r="L170" s="12" t="str">
        <x:f>IF(D170="","",HYPERLINK("https://wa.me/"&amp;REGEXREPLACE(D170,"[^\d]","")&amp;"?text="&amp;ENCODEURL(K170),"واتساب 1"))</x:f>
      </x:c>
      <x:c r="M170" s="12" t="str">
        <x:f>IF(A170="","","مرحبًا "&amp;C170&amp;CHAR(10)&amp;CHAR(10)&amp;"بناءً على نتيجة تقييم عيادة "&amp;B170&amp;"، فإن الترشيح الأقوى لكم الآن هو: "&amp;G170&amp;"."&amp;CHAR(10)&amp;"هذا الخيار يساعدكم في معالجة أكبر فجوة حالية بشكل عملي ومباشر."&amp;IF(J170&lt;&gt;"",CHAR(10)&amp;CHAR(10)&amp;"رابط التقرير: "&amp;J170,"")&amp;CHAR(10)&amp;CHAR(10)&amp;"إذا رغبت، يمكننا توضيح لماذا هذا الكورس هو الأنسب لكم الآن.")</x:f>
      </x:c>
      <x:c r="N170" s="12" t="str">
        <x:f>IF(D170="","",HYPERLINK("https://wa.me/"&amp;REGEXREPLACE(D170,"[^\d]","")&amp;"?text="&amp;ENCODEURL(M170),"واتساب 2"))</x:f>
      </x:c>
      <x:c r="O170" s="12" t="str">
        <x:f>IF(A170="","","مرحبًا "&amp;C170&amp;CHAR(10)&amp;CHAR(10)&amp;"إذا كانت التحديات لديكم تحتاج حلًا أشمل، فالبرنامج الكامل المناسب لكم هو: "&amp;H170&amp;"."&amp;IF(I170&lt;&gt;"",CHAR(10)&amp;"كما يمكنكم أيضًا حجز: "&amp;I170&amp;".","")&amp;IF(J170&lt;&gt;"",CHAR(10)&amp;CHAR(10)&amp;"رابط التقرير: "&amp;J170,"")&amp;CHAR(10)&amp;CHAR(10)&amp;"يسعدنا مساعدتكم في اختيار المسار الأنسب حسب وضع العيادة الحالي.")</x:f>
      </x:c>
      <x:c r="P170" s="12" t="str">
        <x:f>IF(D170="","",HYPERLINK("https://wa.me/"&amp;REGEXREPLACE(D170,"[^\d]","")&amp;"?text="&amp;ENCODEURL(O170),"واتساب 3"))</x:f>
      </x:c>
    </x:row>
    <x:row r="171" ht="15" hidden="0" customHeight="1">
      <x:c r="A171" s="12" t="str">
        <x:f>IF(Leads!A171="","",Leads!A171)</x:f>
      </x:c>
      <x:c r="B171" s="12" t="str">
        <x:f>IF(Leads!F171="","",Leads!F171)</x:f>
      </x:c>
      <x:c r="C171" s="12" t="str">
        <x:f>IF(Leads!G171="","",Leads!G171)</x:f>
      </x:c>
      <x:c r="D171" s="12" t="str">
        <x:f>IF(Leads!O171="","",Leads!O171)</x:f>
      </x:c>
      <x:c r="E171" s="12" t="str">
        <x:f>IF(Leads!AV171="","",Leads!AV171)</x:f>
      </x:c>
      <x:c r="F171" s="12" t="str">
        <x:f>IF(Leads!AX171="","",Leads!AX171)</x:f>
      </x:c>
      <x:c r="G171" s="12" t="str">
        <x:f>IF(Leads!BC171="","",Leads!BC171)</x:f>
      </x:c>
      <x:c r="H171" s="12" t="str">
        <x:f>IF(Leads!BE171="","",Leads!BE171)</x:f>
      </x:c>
      <x:c r="I171" s="12" t="str">
        <x:f>IF(Leads!BG171="","",Leads!BG171)</x:f>
      </x:c>
      <x:c r="J171" s="12" t="str">
        <x:f>IF(Leads!BH171="","",Leads!BH171)</x:f>
      </x:c>
      <x:c r="K171" s="12" t="str">
        <x:f>IF(A171="","","مرحبًا "&amp;C171&amp;CHAR(10)&amp;CHAR(10)&amp;"شكرًا لإتمام تقييم DBD الخاص بعيادة "&amp;B171&amp;"."&amp;CHAR(10)&amp;"نتيجتكم الحالية: "&amp;E171&amp;"%."&amp;CHAR(10)&amp;"أولوية التحسين الأولى: "&amp;F171&amp;"."&amp;IF(J171&lt;&gt;"",CHAR(10)&amp;CHAR(10)&amp;"رابط التقرير: "&amp;J171,"")&amp;CHAR(10)&amp;CHAR(10)&amp;"إذا أحببت، يمكننا مساعدتك في فهم التقرير وتحديد أفضل خطوة تالية لعيادتكم.")</x:f>
      </x:c>
      <x:c r="L171" s="12" t="str">
        <x:f>IF(D171="","",HYPERLINK("https://wa.me/"&amp;REGEXREPLACE(D171,"[^\d]","")&amp;"?text="&amp;ENCODEURL(K171),"واتساب 1"))</x:f>
      </x:c>
      <x:c r="M171" s="12" t="str">
        <x:f>IF(A171="","","مرحبًا "&amp;C171&amp;CHAR(10)&amp;CHAR(10)&amp;"بناءً على نتيجة تقييم عيادة "&amp;B171&amp;"، فإن الترشيح الأقوى لكم الآن هو: "&amp;G171&amp;"."&amp;CHAR(10)&amp;"هذا الخيار يساعدكم في معالجة أكبر فجوة حالية بشكل عملي ومباشر."&amp;IF(J171&lt;&gt;"",CHAR(10)&amp;CHAR(10)&amp;"رابط التقرير: "&amp;J171,"")&amp;CHAR(10)&amp;CHAR(10)&amp;"إذا رغبت، يمكننا توضيح لماذا هذا الكورس هو الأنسب لكم الآن.")</x:f>
      </x:c>
      <x:c r="N171" s="12" t="str">
        <x:f>IF(D171="","",HYPERLINK("https://wa.me/"&amp;REGEXREPLACE(D171,"[^\d]","")&amp;"?text="&amp;ENCODEURL(M171),"واتساب 2"))</x:f>
      </x:c>
      <x:c r="O171" s="12" t="str">
        <x:f>IF(A171="","","مرحبًا "&amp;C171&amp;CHAR(10)&amp;CHAR(10)&amp;"إذا كانت التحديات لديكم تحتاج حلًا أشمل، فالبرنامج الكامل المناسب لكم هو: "&amp;H171&amp;"."&amp;IF(I171&lt;&gt;"",CHAR(10)&amp;"كما يمكنكم أيضًا حجز: "&amp;I171&amp;".","")&amp;IF(J171&lt;&gt;"",CHAR(10)&amp;CHAR(10)&amp;"رابط التقرير: "&amp;J171,"")&amp;CHAR(10)&amp;CHAR(10)&amp;"يسعدنا مساعدتكم في اختيار المسار الأنسب حسب وضع العيادة الحالي.")</x:f>
      </x:c>
      <x:c r="P171" s="12" t="str">
        <x:f>IF(D171="","",HYPERLINK("https://wa.me/"&amp;REGEXREPLACE(D171,"[^\d]","")&amp;"?text="&amp;ENCODEURL(O171),"واتساب 3"))</x:f>
      </x:c>
    </x:row>
    <x:row r="172" ht="15" hidden="0" customHeight="1">
      <x:c r="A172" s="12" t="str">
        <x:f>IF(Leads!A172="","",Leads!A172)</x:f>
      </x:c>
      <x:c r="B172" s="12" t="str">
        <x:f>IF(Leads!F172="","",Leads!F172)</x:f>
      </x:c>
      <x:c r="C172" s="12" t="str">
        <x:f>IF(Leads!G172="","",Leads!G172)</x:f>
      </x:c>
      <x:c r="D172" s="12" t="str">
        <x:f>IF(Leads!O172="","",Leads!O172)</x:f>
      </x:c>
      <x:c r="E172" s="12" t="str">
        <x:f>IF(Leads!AV172="","",Leads!AV172)</x:f>
      </x:c>
      <x:c r="F172" s="12" t="str">
        <x:f>IF(Leads!AX172="","",Leads!AX172)</x:f>
      </x:c>
      <x:c r="G172" s="12" t="str">
        <x:f>IF(Leads!BC172="","",Leads!BC172)</x:f>
      </x:c>
      <x:c r="H172" s="12" t="str">
        <x:f>IF(Leads!BE172="","",Leads!BE172)</x:f>
      </x:c>
      <x:c r="I172" s="12" t="str">
        <x:f>IF(Leads!BG172="","",Leads!BG172)</x:f>
      </x:c>
      <x:c r="J172" s="12" t="str">
        <x:f>IF(Leads!BH172="","",Leads!BH172)</x:f>
      </x:c>
      <x:c r="K172" s="12" t="str">
        <x:f>IF(A172="","","مرحبًا "&amp;C172&amp;CHAR(10)&amp;CHAR(10)&amp;"شكرًا لإتمام تقييم DBD الخاص بعيادة "&amp;B172&amp;"."&amp;CHAR(10)&amp;"نتيجتكم الحالية: "&amp;E172&amp;"%."&amp;CHAR(10)&amp;"أولوية التحسين الأولى: "&amp;F172&amp;"."&amp;IF(J172&lt;&gt;"",CHAR(10)&amp;CHAR(10)&amp;"رابط التقرير: "&amp;J172,"")&amp;CHAR(10)&amp;CHAR(10)&amp;"إذا أحببت، يمكننا مساعدتك في فهم التقرير وتحديد أفضل خطوة تالية لعيادتكم.")</x:f>
      </x:c>
      <x:c r="L172" s="12" t="str">
        <x:f>IF(D172="","",HYPERLINK("https://wa.me/"&amp;REGEXREPLACE(D172,"[^\d]","")&amp;"?text="&amp;ENCODEURL(K172),"واتساب 1"))</x:f>
      </x:c>
      <x:c r="M172" s="12" t="str">
        <x:f>IF(A172="","","مرحبًا "&amp;C172&amp;CHAR(10)&amp;CHAR(10)&amp;"بناءً على نتيجة تقييم عيادة "&amp;B172&amp;"، فإن الترشيح الأقوى لكم الآن هو: "&amp;G172&amp;"."&amp;CHAR(10)&amp;"هذا الخيار يساعدكم في معالجة أكبر فجوة حالية بشكل عملي ومباشر."&amp;IF(J172&lt;&gt;"",CHAR(10)&amp;CHAR(10)&amp;"رابط التقرير: "&amp;J172,"")&amp;CHAR(10)&amp;CHAR(10)&amp;"إذا رغبت، يمكننا توضيح لماذا هذا الكورس هو الأنسب لكم الآن.")</x:f>
      </x:c>
      <x:c r="N172" s="12" t="str">
        <x:f>IF(D172="","",HYPERLINK("https://wa.me/"&amp;REGEXREPLACE(D172,"[^\d]","")&amp;"?text="&amp;ENCODEURL(M172),"واتساب 2"))</x:f>
      </x:c>
      <x:c r="O172" s="12" t="str">
        <x:f>IF(A172="","","مرحبًا "&amp;C172&amp;CHAR(10)&amp;CHAR(10)&amp;"إذا كانت التحديات لديكم تحتاج حلًا أشمل، فالبرنامج الكامل المناسب لكم هو: "&amp;H172&amp;"."&amp;IF(I172&lt;&gt;"",CHAR(10)&amp;"كما يمكنكم أيضًا حجز: "&amp;I172&amp;".","")&amp;IF(J172&lt;&gt;"",CHAR(10)&amp;CHAR(10)&amp;"رابط التقرير: "&amp;J172,"")&amp;CHAR(10)&amp;CHAR(10)&amp;"يسعدنا مساعدتكم في اختيار المسار الأنسب حسب وضع العيادة الحالي.")</x:f>
      </x:c>
      <x:c r="P172" s="12" t="str">
        <x:f>IF(D172="","",HYPERLINK("https://wa.me/"&amp;REGEXREPLACE(D172,"[^\d]","")&amp;"?text="&amp;ENCODEURL(O172),"واتساب 3"))</x:f>
      </x:c>
    </x:row>
    <x:row r="173" ht="15" hidden="0" customHeight="1">
      <x:c r="A173" s="12" t="str">
        <x:f>IF(Leads!A173="","",Leads!A173)</x:f>
      </x:c>
      <x:c r="B173" s="12" t="str">
        <x:f>IF(Leads!F173="","",Leads!F173)</x:f>
      </x:c>
      <x:c r="C173" s="12" t="str">
        <x:f>IF(Leads!G173="","",Leads!G173)</x:f>
      </x:c>
      <x:c r="D173" s="12" t="str">
        <x:f>IF(Leads!O173="","",Leads!O173)</x:f>
      </x:c>
      <x:c r="E173" s="12" t="str">
        <x:f>IF(Leads!AV173="","",Leads!AV173)</x:f>
      </x:c>
      <x:c r="F173" s="12" t="str">
        <x:f>IF(Leads!AX173="","",Leads!AX173)</x:f>
      </x:c>
      <x:c r="G173" s="12" t="str">
        <x:f>IF(Leads!BC173="","",Leads!BC173)</x:f>
      </x:c>
      <x:c r="H173" s="12" t="str">
        <x:f>IF(Leads!BE173="","",Leads!BE173)</x:f>
      </x:c>
      <x:c r="I173" s="12" t="str">
        <x:f>IF(Leads!BG173="","",Leads!BG173)</x:f>
      </x:c>
      <x:c r="J173" s="12" t="str">
        <x:f>IF(Leads!BH173="","",Leads!BH173)</x:f>
      </x:c>
      <x:c r="K173" s="12" t="str">
        <x:f>IF(A173="","","مرحبًا "&amp;C173&amp;CHAR(10)&amp;CHAR(10)&amp;"شكرًا لإتمام تقييم DBD الخاص بعيادة "&amp;B173&amp;"."&amp;CHAR(10)&amp;"نتيجتكم الحالية: "&amp;E173&amp;"%."&amp;CHAR(10)&amp;"أولوية التحسين الأولى: "&amp;F173&amp;"."&amp;IF(J173&lt;&gt;"",CHAR(10)&amp;CHAR(10)&amp;"رابط التقرير: "&amp;J173,"")&amp;CHAR(10)&amp;CHAR(10)&amp;"إذا أحببت، يمكننا مساعدتك في فهم التقرير وتحديد أفضل خطوة تالية لعيادتكم.")</x:f>
      </x:c>
      <x:c r="L173" s="12" t="str">
        <x:f>IF(D173="","",HYPERLINK("https://wa.me/"&amp;REGEXREPLACE(D173,"[^\d]","")&amp;"?text="&amp;ENCODEURL(K173),"واتساب 1"))</x:f>
      </x:c>
      <x:c r="M173" s="12" t="str">
        <x:f>IF(A173="","","مرحبًا "&amp;C173&amp;CHAR(10)&amp;CHAR(10)&amp;"بناءً على نتيجة تقييم عيادة "&amp;B173&amp;"، فإن الترشيح الأقوى لكم الآن هو: "&amp;G173&amp;"."&amp;CHAR(10)&amp;"هذا الخيار يساعدكم في معالجة أكبر فجوة حالية بشكل عملي ومباشر."&amp;IF(J173&lt;&gt;"",CHAR(10)&amp;CHAR(10)&amp;"رابط التقرير: "&amp;J173,"")&amp;CHAR(10)&amp;CHAR(10)&amp;"إذا رغبت، يمكننا توضيح لماذا هذا الكورس هو الأنسب لكم الآن.")</x:f>
      </x:c>
      <x:c r="N173" s="12" t="str">
        <x:f>IF(D173="","",HYPERLINK("https://wa.me/"&amp;REGEXREPLACE(D173,"[^\d]","")&amp;"?text="&amp;ENCODEURL(M173),"واتساب 2"))</x:f>
      </x:c>
      <x:c r="O173" s="12" t="str">
        <x:f>IF(A173="","","مرحبًا "&amp;C173&amp;CHAR(10)&amp;CHAR(10)&amp;"إذا كانت التحديات لديكم تحتاج حلًا أشمل، فالبرنامج الكامل المناسب لكم هو: "&amp;H173&amp;"."&amp;IF(I173&lt;&gt;"",CHAR(10)&amp;"كما يمكنكم أيضًا حجز: "&amp;I173&amp;".","")&amp;IF(J173&lt;&gt;"",CHAR(10)&amp;CHAR(10)&amp;"رابط التقرير: "&amp;J173,"")&amp;CHAR(10)&amp;CHAR(10)&amp;"يسعدنا مساعدتكم في اختيار المسار الأنسب حسب وضع العيادة الحالي.")</x:f>
      </x:c>
      <x:c r="P173" s="12" t="str">
        <x:f>IF(D173="","",HYPERLINK("https://wa.me/"&amp;REGEXREPLACE(D173,"[^\d]","")&amp;"?text="&amp;ENCODEURL(O173),"واتساب 3"))</x:f>
      </x:c>
    </x:row>
    <x:row r="174" ht="15" hidden="0" customHeight="1">
      <x:c r="A174" s="12" t="str">
        <x:f>IF(Leads!A174="","",Leads!A174)</x:f>
      </x:c>
      <x:c r="B174" s="12" t="str">
        <x:f>IF(Leads!F174="","",Leads!F174)</x:f>
      </x:c>
      <x:c r="C174" s="12" t="str">
        <x:f>IF(Leads!G174="","",Leads!G174)</x:f>
      </x:c>
      <x:c r="D174" s="12" t="str">
        <x:f>IF(Leads!O174="","",Leads!O174)</x:f>
      </x:c>
      <x:c r="E174" s="12" t="str">
        <x:f>IF(Leads!AV174="","",Leads!AV174)</x:f>
      </x:c>
      <x:c r="F174" s="12" t="str">
        <x:f>IF(Leads!AX174="","",Leads!AX174)</x:f>
      </x:c>
      <x:c r="G174" s="12" t="str">
        <x:f>IF(Leads!BC174="","",Leads!BC174)</x:f>
      </x:c>
      <x:c r="H174" s="12" t="str">
        <x:f>IF(Leads!BE174="","",Leads!BE174)</x:f>
      </x:c>
      <x:c r="I174" s="12" t="str">
        <x:f>IF(Leads!BG174="","",Leads!BG174)</x:f>
      </x:c>
      <x:c r="J174" s="12" t="str">
        <x:f>IF(Leads!BH174="","",Leads!BH174)</x:f>
      </x:c>
      <x:c r="K174" s="12" t="str">
        <x:f>IF(A174="","","مرحبًا "&amp;C174&amp;CHAR(10)&amp;CHAR(10)&amp;"شكرًا لإتمام تقييم DBD الخاص بعيادة "&amp;B174&amp;"."&amp;CHAR(10)&amp;"نتيجتكم الحالية: "&amp;E174&amp;"%."&amp;CHAR(10)&amp;"أولوية التحسين الأولى: "&amp;F174&amp;"."&amp;IF(J174&lt;&gt;"",CHAR(10)&amp;CHAR(10)&amp;"رابط التقرير: "&amp;J174,"")&amp;CHAR(10)&amp;CHAR(10)&amp;"إذا أحببت، يمكننا مساعدتك في فهم التقرير وتحديد أفضل خطوة تالية لعيادتكم.")</x:f>
      </x:c>
      <x:c r="L174" s="12" t="str">
        <x:f>IF(D174="","",HYPERLINK("https://wa.me/"&amp;REGEXREPLACE(D174,"[^\d]","")&amp;"?text="&amp;ENCODEURL(K174),"واتساب 1"))</x:f>
      </x:c>
      <x:c r="M174" s="12" t="str">
        <x:f>IF(A174="","","مرحبًا "&amp;C174&amp;CHAR(10)&amp;CHAR(10)&amp;"بناءً على نتيجة تقييم عيادة "&amp;B174&amp;"، فإن الترشيح الأقوى لكم الآن هو: "&amp;G174&amp;"."&amp;CHAR(10)&amp;"هذا الخيار يساعدكم في معالجة أكبر فجوة حالية بشكل عملي ومباشر."&amp;IF(J174&lt;&gt;"",CHAR(10)&amp;CHAR(10)&amp;"رابط التقرير: "&amp;J174,"")&amp;CHAR(10)&amp;CHAR(10)&amp;"إذا رغبت، يمكننا توضيح لماذا هذا الكورس هو الأنسب لكم الآن.")</x:f>
      </x:c>
      <x:c r="N174" s="12" t="str">
        <x:f>IF(D174="","",HYPERLINK("https://wa.me/"&amp;REGEXREPLACE(D174,"[^\d]","")&amp;"?text="&amp;ENCODEURL(M174),"واتساب 2"))</x:f>
      </x:c>
      <x:c r="O174" s="12" t="str">
        <x:f>IF(A174="","","مرحبًا "&amp;C174&amp;CHAR(10)&amp;CHAR(10)&amp;"إذا كانت التحديات لديكم تحتاج حلًا أشمل، فالبرنامج الكامل المناسب لكم هو: "&amp;H174&amp;"."&amp;IF(I174&lt;&gt;"",CHAR(10)&amp;"كما يمكنكم أيضًا حجز: "&amp;I174&amp;".","")&amp;IF(J174&lt;&gt;"",CHAR(10)&amp;CHAR(10)&amp;"رابط التقرير: "&amp;J174,"")&amp;CHAR(10)&amp;CHAR(10)&amp;"يسعدنا مساعدتكم في اختيار المسار الأنسب حسب وضع العيادة الحالي.")</x:f>
      </x:c>
      <x:c r="P174" s="12" t="str">
        <x:f>IF(D174="","",HYPERLINK("https://wa.me/"&amp;REGEXREPLACE(D174,"[^\d]","")&amp;"?text="&amp;ENCODEURL(O174),"واتساب 3"))</x:f>
      </x:c>
    </x:row>
    <x:row r="175" ht="15" hidden="0" customHeight="1">
      <x:c r="A175" s="12" t="str">
        <x:f>IF(Leads!A175="","",Leads!A175)</x:f>
      </x:c>
      <x:c r="B175" s="12" t="str">
        <x:f>IF(Leads!F175="","",Leads!F175)</x:f>
      </x:c>
      <x:c r="C175" s="12" t="str">
        <x:f>IF(Leads!G175="","",Leads!G175)</x:f>
      </x:c>
      <x:c r="D175" s="12" t="str">
        <x:f>IF(Leads!O175="","",Leads!O175)</x:f>
      </x:c>
      <x:c r="E175" s="12" t="str">
        <x:f>IF(Leads!AV175="","",Leads!AV175)</x:f>
      </x:c>
      <x:c r="F175" s="12" t="str">
        <x:f>IF(Leads!AX175="","",Leads!AX175)</x:f>
      </x:c>
      <x:c r="G175" s="12" t="str">
        <x:f>IF(Leads!BC175="","",Leads!BC175)</x:f>
      </x:c>
      <x:c r="H175" s="12" t="str">
        <x:f>IF(Leads!BE175="","",Leads!BE175)</x:f>
      </x:c>
      <x:c r="I175" s="12" t="str">
        <x:f>IF(Leads!BG175="","",Leads!BG175)</x:f>
      </x:c>
      <x:c r="J175" s="12" t="str">
        <x:f>IF(Leads!BH175="","",Leads!BH175)</x:f>
      </x:c>
      <x:c r="K175" s="12" t="str">
        <x:f>IF(A175="","","مرحبًا "&amp;C175&amp;CHAR(10)&amp;CHAR(10)&amp;"شكرًا لإتمام تقييم DBD الخاص بعيادة "&amp;B175&amp;"."&amp;CHAR(10)&amp;"نتيجتكم الحالية: "&amp;E175&amp;"%."&amp;CHAR(10)&amp;"أولوية التحسين الأولى: "&amp;F175&amp;"."&amp;IF(J175&lt;&gt;"",CHAR(10)&amp;CHAR(10)&amp;"رابط التقرير: "&amp;J175,"")&amp;CHAR(10)&amp;CHAR(10)&amp;"إذا أحببت، يمكننا مساعدتك في فهم التقرير وتحديد أفضل خطوة تالية لعيادتكم.")</x:f>
      </x:c>
      <x:c r="L175" s="12" t="str">
        <x:f>IF(D175="","",HYPERLINK("https://wa.me/"&amp;REGEXREPLACE(D175,"[^\d]","")&amp;"?text="&amp;ENCODEURL(K175),"واتساب 1"))</x:f>
      </x:c>
      <x:c r="M175" s="12" t="str">
        <x:f>IF(A175="","","مرحبًا "&amp;C175&amp;CHAR(10)&amp;CHAR(10)&amp;"بناءً على نتيجة تقييم عيادة "&amp;B175&amp;"، فإن الترشيح الأقوى لكم الآن هو: "&amp;G175&amp;"."&amp;CHAR(10)&amp;"هذا الخيار يساعدكم في معالجة أكبر فجوة حالية بشكل عملي ومباشر."&amp;IF(J175&lt;&gt;"",CHAR(10)&amp;CHAR(10)&amp;"رابط التقرير: "&amp;J175,"")&amp;CHAR(10)&amp;CHAR(10)&amp;"إذا رغبت، يمكننا توضيح لماذا هذا الكورس هو الأنسب لكم الآن.")</x:f>
      </x:c>
      <x:c r="N175" s="12" t="str">
        <x:f>IF(D175="","",HYPERLINK("https://wa.me/"&amp;REGEXREPLACE(D175,"[^\d]","")&amp;"?text="&amp;ENCODEURL(M175),"واتساب 2"))</x:f>
      </x:c>
      <x:c r="O175" s="12" t="str">
        <x:f>IF(A175="","","مرحبًا "&amp;C175&amp;CHAR(10)&amp;CHAR(10)&amp;"إذا كانت التحديات لديكم تحتاج حلًا أشمل، فالبرنامج الكامل المناسب لكم هو: "&amp;H175&amp;"."&amp;IF(I175&lt;&gt;"",CHAR(10)&amp;"كما يمكنكم أيضًا حجز: "&amp;I175&amp;".","")&amp;IF(J175&lt;&gt;"",CHAR(10)&amp;CHAR(10)&amp;"رابط التقرير: "&amp;J175,"")&amp;CHAR(10)&amp;CHAR(10)&amp;"يسعدنا مساعدتكم في اختيار المسار الأنسب حسب وضع العيادة الحالي.")</x:f>
      </x:c>
      <x:c r="P175" s="12" t="str">
        <x:f>IF(D175="","",HYPERLINK("https://wa.me/"&amp;REGEXREPLACE(D175,"[^\d]","")&amp;"?text="&amp;ENCODEURL(O175),"واتساب 3"))</x:f>
      </x:c>
    </x:row>
    <x:row r="176" ht="15" hidden="0" customHeight="1">
      <x:c r="A176" s="12" t="str">
        <x:f>IF(Leads!A176="","",Leads!A176)</x:f>
      </x:c>
      <x:c r="B176" s="12" t="str">
        <x:f>IF(Leads!F176="","",Leads!F176)</x:f>
      </x:c>
      <x:c r="C176" s="12" t="str">
        <x:f>IF(Leads!G176="","",Leads!G176)</x:f>
      </x:c>
      <x:c r="D176" s="12" t="str">
        <x:f>IF(Leads!O176="","",Leads!O176)</x:f>
      </x:c>
      <x:c r="E176" s="12" t="str">
        <x:f>IF(Leads!AV176="","",Leads!AV176)</x:f>
      </x:c>
      <x:c r="F176" s="12" t="str">
        <x:f>IF(Leads!AX176="","",Leads!AX176)</x:f>
      </x:c>
      <x:c r="G176" s="12" t="str">
        <x:f>IF(Leads!BC176="","",Leads!BC176)</x:f>
      </x:c>
      <x:c r="H176" s="12" t="str">
        <x:f>IF(Leads!BE176="","",Leads!BE176)</x:f>
      </x:c>
      <x:c r="I176" s="12" t="str">
        <x:f>IF(Leads!BG176="","",Leads!BG176)</x:f>
      </x:c>
      <x:c r="J176" s="12" t="str">
        <x:f>IF(Leads!BH176="","",Leads!BH176)</x:f>
      </x:c>
      <x:c r="K176" s="12" t="str">
        <x:f>IF(A176="","","مرحبًا "&amp;C176&amp;CHAR(10)&amp;CHAR(10)&amp;"شكرًا لإتمام تقييم DBD الخاص بعيادة "&amp;B176&amp;"."&amp;CHAR(10)&amp;"نتيجتكم الحالية: "&amp;E176&amp;"%."&amp;CHAR(10)&amp;"أولوية التحسين الأولى: "&amp;F176&amp;"."&amp;IF(J176&lt;&gt;"",CHAR(10)&amp;CHAR(10)&amp;"رابط التقرير: "&amp;J176,"")&amp;CHAR(10)&amp;CHAR(10)&amp;"إذا أحببت، يمكننا مساعدتك في فهم التقرير وتحديد أفضل خطوة تالية لعيادتكم.")</x:f>
      </x:c>
      <x:c r="L176" s="12" t="str">
        <x:f>IF(D176="","",HYPERLINK("https://wa.me/"&amp;REGEXREPLACE(D176,"[^\d]","")&amp;"?text="&amp;ENCODEURL(K176),"واتساب 1"))</x:f>
      </x:c>
      <x:c r="M176" s="12" t="str">
        <x:f>IF(A176="","","مرحبًا "&amp;C176&amp;CHAR(10)&amp;CHAR(10)&amp;"بناءً على نتيجة تقييم عيادة "&amp;B176&amp;"، فإن الترشيح الأقوى لكم الآن هو: "&amp;G176&amp;"."&amp;CHAR(10)&amp;"هذا الخيار يساعدكم في معالجة أكبر فجوة حالية بشكل عملي ومباشر."&amp;IF(J176&lt;&gt;"",CHAR(10)&amp;CHAR(10)&amp;"رابط التقرير: "&amp;J176,"")&amp;CHAR(10)&amp;CHAR(10)&amp;"إذا رغبت، يمكننا توضيح لماذا هذا الكورس هو الأنسب لكم الآن.")</x:f>
      </x:c>
      <x:c r="N176" s="12" t="str">
        <x:f>IF(D176="","",HYPERLINK("https://wa.me/"&amp;REGEXREPLACE(D176,"[^\d]","")&amp;"?text="&amp;ENCODEURL(M176),"واتساب 2"))</x:f>
      </x:c>
      <x:c r="O176" s="12" t="str">
        <x:f>IF(A176="","","مرحبًا "&amp;C176&amp;CHAR(10)&amp;CHAR(10)&amp;"إذا كانت التحديات لديكم تحتاج حلًا أشمل، فالبرنامج الكامل المناسب لكم هو: "&amp;H176&amp;"."&amp;IF(I176&lt;&gt;"",CHAR(10)&amp;"كما يمكنكم أيضًا حجز: "&amp;I176&amp;".","")&amp;IF(J176&lt;&gt;"",CHAR(10)&amp;CHAR(10)&amp;"رابط التقرير: "&amp;J176,"")&amp;CHAR(10)&amp;CHAR(10)&amp;"يسعدنا مساعدتكم في اختيار المسار الأنسب حسب وضع العيادة الحالي.")</x:f>
      </x:c>
      <x:c r="P176" s="12" t="str">
        <x:f>IF(D176="","",HYPERLINK("https://wa.me/"&amp;REGEXREPLACE(D176,"[^\d]","")&amp;"?text="&amp;ENCODEURL(O176),"واتساب 3"))</x:f>
      </x:c>
    </x:row>
    <x:row r="177" ht="15" hidden="0" customHeight="1">
      <x:c r="A177" s="12" t="str">
        <x:f>IF(Leads!A177="","",Leads!A177)</x:f>
      </x:c>
      <x:c r="B177" s="12" t="str">
        <x:f>IF(Leads!F177="","",Leads!F177)</x:f>
      </x:c>
      <x:c r="C177" s="12" t="str">
        <x:f>IF(Leads!G177="","",Leads!G177)</x:f>
      </x:c>
      <x:c r="D177" s="12" t="str">
        <x:f>IF(Leads!O177="","",Leads!O177)</x:f>
      </x:c>
      <x:c r="E177" s="12" t="str">
        <x:f>IF(Leads!AV177="","",Leads!AV177)</x:f>
      </x:c>
      <x:c r="F177" s="12" t="str">
        <x:f>IF(Leads!AX177="","",Leads!AX177)</x:f>
      </x:c>
      <x:c r="G177" s="12" t="str">
        <x:f>IF(Leads!BC177="","",Leads!BC177)</x:f>
      </x:c>
      <x:c r="H177" s="12" t="str">
        <x:f>IF(Leads!BE177="","",Leads!BE177)</x:f>
      </x:c>
      <x:c r="I177" s="12" t="str">
        <x:f>IF(Leads!BG177="","",Leads!BG177)</x:f>
      </x:c>
      <x:c r="J177" s="12" t="str">
        <x:f>IF(Leads!BH177="","",Leads!BH177)</x:f>
      </x:c>
      <x:c r="K177" s="12" t="str">
        <x:f>IF(A177="","","مرحبًا "&amp;C177&amp;CHAR(10)&amp;CHAR(10)&amp;"شكرًا لإتمام تقييم DBD الخاص بعيادة "&amp;B177&amp;"."&amp;CHAR(10)&amp;"نتيجتكم الحالية: "&amp;E177&amp;"%."&amp;CHAR(10)&amp;"أولوية التحسين الأولى: "&amp;F177&amp;"."&amp;IF(J177&lt;&gt;"",CHAR(10)&amp;CHAR(10)&amp;"رابط التقرير: "&amp;J177,"")&amp;CHAR(10)&amp;CHAR(10)&amp;"إذا أحببت، يمكننا مساعدتك في فهم التقرير وتحديد أفضل خطوة تالية لعيادتكم.")</x:f>
      </x:c>
      <x:c r="L177" s="12" t="str">
        <x:f>IF(D177="","",HYPERLINK("https://wa.me/"&amp;REGEXREPLACE(D177,"[^\d]","")&amp;"?text="&amp;ENCODEURL(K177),"واتساب 1"))</x:f>
      </x:c>
      <x:c r="M177" s="12" t="str">
        <x:f>IF(A177="","","مرحبًا "&amp;C177&amp;CHAR(10)&amp;CHAR(10)&amp;"بناءً على نتيجة تقييم عيادة "&amp;B177&amp;"، فإن الترشيح الأقوى لكم الآن هو: "&amp;G177&amp;"."&amp;CHAR(10)&amp;"هذا الخيار يساعدكم في معالجة أكبر فجوة حالية بشكل عملي ومباشر."&amp;IF(J177&lt;&gt;"",CHAR(10)&amp;CHAR(10)&amp;"رابط التقرير: "&amp;J177,"")&amp;CHAR(10)&amp;CHAR(10)&amp;"إذا رغبت، يمكننا توضيح لماذا هذا الكورس هو الأنسب لكم الآن.")</x:f>
      </x:c>
      <x:c r="N177" s="12" t="str">
        <x:f>IF(D177="","",HYPERLINK("https://wa.me/"&amp;REGEXREPLACE(D177,"[^\d]","")&amp;"?text="&amp;ENCODEURL(M177),"واتساب 2"))</x:f>
      </x:c>
      <x:c r="O177" s="12" t="str">
        <x:f>IF(A177="","","مرحبًا "&amp;C177&amp;CHAR(10)&amp;CHAR(10)&amp;"إذا كانت التحديات لديكم تحتاج حلًا أشمل، فالبرنامج الكامل المناسب لكم هو: "&amp;H177&amp;"."&amp;IF(I177&lt;&gt;"",CHAR(10)&amp;"كما يمكنكم أيضًا حجز: "&amp;I177&amp;".","")&amp;IF(J177&lt;&gt;"",CHAR(10)&amp;CHAR(10)&amp;"رابط التقرير: "&amp;J177,"")&amp;CHAR(10)&amp;CHAR(10)&amp;"يسعدنا مساعدتكم في اختيار المسار الأنسب حسب وضع العيادة الحالي.")</x:f>
      </x:c>
      <x:c r="P177" s="12" t="str">
        <x:f>IF(D177="","",HYPERLINK("https://wa.me/"&amp;REGEXREPLACE(D177,"[^\d]","")&amp;"?text="&amp;ENCODEURL(O177),"واتساب 3"))</x:f>
      </x:c>
    </x:row>
    <x:row r="178" ht="15" hidden="0" customHeight="1">
      <x:c r="A178" s="12" t="str">
        <x:f>IF(Leads!A178="","",Leads!A178)</x:f>
      </x:c>
      <x:c r="B178" s="12" t="str">
        <x:f>IF(Leads!F178="","",Leads!F178)</x:f>
      </x:c>
      <x:c r="C178" s="12" t="str">
        <x:f>IF(Leads!G178="","",Leads!G178)</x:f>
      </x:c>
      <x:c r="D178" s="12" t="str">
        <x:f>IF(Leads!O178="","",Leads!O178)</x:f>
      </x:c>
      <x:c r="E178" s="12" t="str">
        <x:f>IF(Leads!AV178="","",Leads!AV178)</x:f>
      </x:c>
      <x:c r="F178" s="12" t="str">
        <x:f>IF(Leads!AX178="","",Leads!AX178)</x:f>
      </x:c>
      <x:c r="G178" s="12" t="str">
        <x:f>IF(Leads!BC178="","",Leads!BC178)</x:f>
      </x:c>
      <x:c r="H178" s="12" t="str">
        <x:f>IF(Leads!BE178="","",Leads!BE178)</x:f>
      </x:c>
      <x:c r="I178" s="12" t="str">
        <x:f>IF(Leads!BG178="","",Leads!BG178)</x:f>
      </x:c>
      <x:c r="J178" s="12" t="str">
        <x:f>IF(Leads!BH178="","",Leads!BH178)</x:f>
      </x:c>
      <x:c r="K178" s="12" t="str">
        <x:f>IF(A178="","","مرحبًا "&amp;C178&amp;CHAR(10)&amp;CHAR(10)&amp;"شكرًا لإتمام تقييم DBD الخاص بعيادة "&amp;B178&amp;"."&amp;CHAR(10)&amp;"نتيجتكم الحالية: "&amp;E178&amp;"%."&amp;CHAR(10)&amp;"أولوية التحسين الأولى: "&amp;F178&amp;"."&amp;IF(J178&lt;&gt;"",CHAR(10)&amp;CHAR(10)&amp;"رابط التقرير: "&amp;J178,"")&amp;CHAR(10)&amp;CHAR(10)&amp;"إذا أحببت، يمكننا مساعدتك في فهم التقرير وتحديد أفضل خطوة تالية لعيادتكم.")</x:f>
      </x:c>
      <x:c r="L178" s="12" t="str">
        <x:f>IF(D178="","",HYPERLINK("https://wa.me/"&amp;REGEXREPLACE(D178,"[^\d]","")&amp;"?text="&amp;ENCODEURL(K178),"واتساب 1"))</x:f>
      </x:c>
      <x:c r="M178" s="12" t="str">
        <x:f>IF(A178="","","مرحبًا "&amp;C178&amp;CHAR(10)&amp;CHAR(10)&amp;"بناءً على نتيجة تقييم عيادة "&amp;B178&amp;"، فإن الترشيح الأقوى لكم الآن هو: "&amp;G178&amp;"."&amp;CHAR(10)&amp;"هذا الخيار يساعدكم في معالجة أكبر فجوة حالية بشكل عملي ومباشر."&amp;IF(J178&lt;&gt;"",CHAR(10)&amp;CHAR(10)&amp;"رابط التقرير: "&amp;J178,"")&amp;CHAR(10)&amp;CHAR(10)&amp;"إذا رغبت، يمكننا توضيح لماذا هذا الكورس هو الأنسب لكم الآن.")</x:f>
      </x:c>
      <x:c r="N178" s="12" t="str">
        <x:f>IF(D178="","",HYPERLINK("https://wa.me/"&amp;REGEXREPLACE(D178,"[^\d]","")&amp;"?text="&amp;ENCODEURL(M178),"واتساب 2"))</x:f>
      </x:c>
      <x:c r="O178" s="12" t="str">
        <x:f>IF(A178="","","مرحبًا "&amp;C178&amp;CHAR(10)&amp;CHAR(10)&amp;"إذا كانت التحديات لديكم تحتاج حلًا أشمل، فالبرنامج الكامل المناسب لكم هو: "&amp;H178&amp;"."&amp;IF(I178&lt;&gt;"",CHAR(10)&amp;"كما يمكنكم أيضًا حجز: "&amp;I178&amp;".","")&amp;IF(J178&lt;&gt;"",CHAR(10)&amp;CHAR(10)&amp;"رابط التقرير: "&amp;J178,"")&amp;CHAR(10)&amp;CHAR(10)&amp;"يسعدنا مساعدتكم في اختيار المسار الأنسب حسب وضع العيادة الحالي.")</x:f>
      </x:c>
      <x:c r="P178" s="12" t="str">
        <x:f>IF(D178="","",HYPERLINK("https://wa.me/"&amp;REGEXREPLACE(D178,"[^\d]","")&amp;"?text="&amp;ENCODEURL(O178),"واتساب 3"))</x:f>
      </x:c>
    </x:row>
    <x:row r="179" ht="15" hidden="0" customHeight="1">
      <x:c r="A179" s="12" t="str">
        <x:f>IF(Leads!A179="","",Leads!A179)</x:f>
      </x:c>
      <x:c r="B179" s="12" t="str">
        <x:f>IF(Leads!F179="","",Leads!F179)</x:f>
      </x:c>
      <x:c r="C179" s="12" t="str">
        <x:f>IF(Leads!G179="","",Leads!G179)</x:f>
      </x:c>
      <x:c r="D179" s="12" t="str">
        <x:f>IF(Leads!O179="","",Leads!O179)</x:f>
      </x:c>
      <x:c r="E179" s="12" t="str">
        <x:f>IF(Leads!AV179="","",Leads!AV179)</x:f>
      </x:c>
      <x:c r="F179" s="12" t="str">
        <x:f>IF(Leads!AX179="","",Leads!AX179)</x:f>
      </x:c>
      <x:c r="G179" s="12" t="str">
        <x:f>IF(Leads!BC179="","",Leads!BC179)</x:f>
      </x:c>
      <x:c r="H179" s="12" t="str">
        <x:f>IF(Leads!BE179="","",Leads!BE179)</x:f>
      </x:c>
      <x:c r="I179" s="12" t="str">
        <x:f>IF(Leads!BG179="","",Leads!BG179)</x:f>
      </x:c>
      <x:c r="J179" s="12" t="str">
        <x:f>IF(Leads!BH179="","",Leads!BH179)</x:f>
      </x:c>
      <x:c r="K179" s="12" t="str">
        <x:f>IF(A179="","","مرحبًا "&amp;C179&amp;CHAR(10)&amp;CHAR(10)&amp;"شكرًا لإتمام تقييم DBD الخاص بعيادة "&amp;B179&amp;"."&amp;CHAR(10)&amp;"نتيجتكم الحالية: "&amp;E179&amp;"%."&amp;CHAR(10)&amp;"أولوية التحسين الأولى: "&amp;F179&amp;"."&amp;IF(J179&lt;&gt;"",CHAR(10)&amp;CHAR(10)&amp;"رابط التقرير: "&amp;J179,"")&amp;CHAR(10)&amp;CHAR(10)&amp;"إذا أحببت، يمكننا مساعدتك في فهم التقرير وتحديد أفضل خطوة تالية لعيادتكم.")</x:f>
      </x:c>
      <x:c r="L179" s="12" t="str">
        <x:f>IF(D179="","",HYPERLINK("https://wa.me/"&amp;REGEXREPLACE(D179,"[^\d]","")&amp;"?text="&amp;ENCODEURL(K179),"واتساب 1"))</x:f>
      </x:c>
      <x:c r="M179" s="12" t="str">
        <x:f>IF(A179="","","مرحبًا "&amp;C179&amp;CHAR(10)&amp;CHAR(10)&amp;"بناءً على نتيجة تقييم عيادة "&amp;B179&amp;"، فإن الترشيح الأقوى لكم الآن هو: "&amp;G179&amp;"."&amp;CHAR(10)&amp;"هذا الخيار يساعدكم في معالجة أكبر فجوة حالية بشكل عملي ومباشر."&amp;IF(J179&lt;&gt;"",CHAR(10)&amp;CHAR(10)&amp;"رابط التقرير: "&amp;J179,"")&amp;CHAR(10)&amp;CHAR(10)&amp;"إذا رغبت، يمكننا توضيح لماذا هذا الكورس هو الأنسب لكم الآن.")</x:f>
      </x:c>
      <x:c r="N179" s="12" t="str">
        <x:f>IF(D179="","",HYPERLINK("https://wa.me/"&amp;REGEXREPLACE(D179,"[^\d]","")&amp;"?text="&amp;ENCODEURL(M179),"واتساب 2"))</x:f>
      </x:c>
      <x:c r="O179" s="12" t="str">
        <x:f>IF(A179="","","مرحبًا "&amp;C179&amp;CHAR(10)&amp;CHAR(10)&amp;"إذا كانت التحديات لديكم تحتاج حلًا أشمل، فالبرنامج الكامل المناسب لكم هو: "&amp;H179&amp;"."&amp;IF(I179&lt;&gt;"",CHAR(10)&amp;"كما يمكنكم أيضًا حجز: "&amp;I179&amp;".","")&amp;IF(J179&lt;&gt;"",CHAR(10)&amp;CHAR(10)&amp;"رابط التقرير: "&amp;J179,"")&amp;CHAR(10)&amp;CHAR(10)&amp;"يسعدنا مساعدتكم في اختيار المسار الأنسب حسب وضع العيادة الحالي.")</x:f>
      </x:c>
      <x:c r="P179" s="12" t="str">
        <x:f>IF(D179="","",HYPERLINK("https://wa.me/"&amp;REGEXREPLACE(D179,"[^\d]","")&amp;"?text="&amp;ENCODEURL(O179),"واتساب 3"))</x:f>
      </x:c>
    </x:row>
    <x:row r="180" ht="15" hidden="0" customHeight="1">
      <x:c r="A180" s="12" t="str">
        <x:f>IF(Leads!A180="","",Leads!A180)</x:f>
      </x:c>
      <x:c r="B180" s="12" t="str">
        <x:f>IF(Leads!F180="","",Leads!F180)</x:f>
      </x:c>
      <x:c r="C180" s="12" t="str">
        <x:f>IF(Leads!G180="","",Leads!G180)</x:f>
      </x:c>
      <x:c r="D180" s="12" t="str">
        <x:f>IF(Leads!O180="","",Leads!O180)</x:f>
      </x:c>
      <x:c r="E180" s="12" t="str">
        <x:f>IF(Leads!AV180="","",Leads!AV180)</x:f>
      </x:c>
      <x:c r="F180" s="12" t="str">
        <x:f>IF(Leads!AX180="","",Leads!AX180)</x:f>
      </x:c>
      <x:c r="G180" s="12" t="str">
        <x:f>IF(Leads!BC180="","",Leads!BC180)</x:f>
      </x:c>
      <x:c r="H180" s="12" t="str">
        <x:f>IF(Leads!BE180="","",Leads!BE180)</x:f>
      </x:c>
      <x:c r="I180" s="12" t="str">
        <x:f>IF(Leads!BG180="","",Leads!BG180)</x:f>
      </x:c>
      <x:c r="J180" s="12" t="str">
        <x:f>IF(Leads!BH180="","",Leads!BH180)</x:f>
      </x:c>
      <x:c r="K180" s="12" t="str">
        <x:f>IF(A180="","","مرحبًا "&amp;C180&amp;CHAR(10)&amp;CHAR(10)&amp;"شكرًا لإتمام تقييم DBD الخاص بعيادة "&amp;B180&amp;"."&amp;CHAR(10)&amp;"نتيجتكم الحالية: "&amp;E180&amp;"%."&amp;CHAR(10)&amp;"أولوية التحسين الأولى: "&amp;F180&amp;"."&amp;IF(J180&lt;&gt;"",CHAR(10)&amp;CHAR(10)&amp;"رابط التقرير: "&amp;J180,"")&amp;CHAR(10)&amp;CHAR(10)&amp;"إذا أحببت، يمكننا مساعدتك في فهم التقرير وتحديد أفضل خطوة تالية لعيادتكم.")</x:f>
      </x:c>
      <x:c r="L180" s="12" t="str">
        <x:f>IF(D180="","",HYPERLINK("https://wa.me/"&amp;REGEXREPLACE(D180,"[^\d]","")&amp;"?text="&amp;ENCODEURL(K180),"واتساب 1"))</x:f>
      </x:c>
      <x:c r="M180" s="12" t="str">
        <x:f>IF(A180="","","مرحبًا "&amp;C180&amp;CHAR(10)&amp;CHAR(10)&amp;"بناءً على نتيجة تقييم عيادة "&amp;B180&amp;"، فإن الترشيح الأقوى لكم الآن هو: "&amp;G180&amp;"."&amp;CHAR(10)&amp;"هذا الخيار يساعدكم في معالجة أكبر فجوة حالية بشكل عملي ومباشر."&amp;IF(J180&lt;&gt;"",CHAR(10)&amp;CHAR(10)&amp;"رابط التقرير: "&amp;J180,"")&amp;CHAR(10)&amp;CHAR(10)&amp;"إذا رغبت، يمكننا توضيح لماذا هذا الكورس هو الأنسب لكم الآن.")</x:f>
      </x:c>
      <x:c r="N180" s="12" t="str">
        <x:f>IF(D180="","",HYPERLINK("https://wa.me/"&amp;REGEXREPLACE(D180,"[^\d]","")&amp;"?text="&amp;ENCODEURL(M180),"واتساب 2"))</x:f>
      </x:c>
      <x:c r="O180" s="12" t="str">
        <x:f>IF(A180="","","مرحبًا "&amp;C180&amp;CHAR(10)&amp;CHAR(10)&amp;"إذا كانت التحديات لديكم تحتاج حلًا أشمل، فالبرنامج الكامل المناسب لكم هو: "&amp;H180&amp;"."&amp;IF(I180&lt;&gt;"",CHAR(10)&amp;"كما يمكنكم أيضًا حجز: "&amp;I180&amp;".","")&amp;IF(J180&lt;&gt;"",CHAR(10)&amp;CHAR(10)&amp;"رابط التقرير: "&amp;J180,"")&amp;CHAR(10)&amp;CHAR(10)&amp;"يسعدنا مساعدتكم في اختيار المسار الأنسب حسب وضع العيادة الحالي.")</x:f>
      </x:c>
      <x:c r="P180" s="12" t="str">
        <x:f>IF(D180="","",HYPERLINK("https://wa.me/"&amp;REGEXREPLACE(D180,"[^\d]","")&amp;"?text="&amp;ENCODEURL(O180),"واتساب 3"))</x:f>
      </x:c>
    </x:row>
    <x:row r="181" ht="15" hidden="0" customHeight="1">
      <x:c r="A181" s="12" t="str">
        <x:f>IF(Leads!A181="","",Leads!A181)</x:f>
      </x:c>
      <x:c r="B181" s="12" t="str">
        <x:f>IF(Leads!F181="","",Leads!F181)</x:f>
      </x:c>
      <x:c r="C181" s="12" t="str">
        <x:f>IF(Leads!G181="","",Leads!G181)</x:f>
      </x:c>
      <x:c r="D181" s="12" t="str">
        <x:f>IF(Leads!O181="","",Leads!O181)</x:f>
      </x:c>
      <x:c r="E181" s="12" t="str">
        <x:f>IF(Leads!AV181="","",Leads!AV181)</x:f>
      </x:c>
      <x:c r="F181" s="12" t="str">
        <x:f>IF(Leads!AX181="","",Leads!AX181)</x:f>
      </x:c>
      <x:c r="G181" s="12" t="str">
        <x:f>IF(Leads!BC181="","",Leads!BC181)</x:f>
      </x:c>
      <x:c r="H181" s="12" t="str">
        <x:f>IF(Leads!BE181="","",Leads!BE181)</x:f>
      </x:c>
      <x:c r="I181" s="12" t="str">
        <x:f>IF(Leads!BG181="","",Leads!BG181)</x:f>
      </x:c>
      <x:c r="J181" s="12" t="str">
        <x:f>IF(Leads!BH181="","",Leads!BH181)</x:f>
      </x:c>
      <x:c r="K181" s="12" t="str">
        <x:f>IF(A181="","","مرحبًا "&amp;C181&amp;CHAR(10)&amp;CHAR(10)&amp;"شكرًا لإتمام تقييم DBD الخاص بعيادة "&amp;B181&amp;"."&amp;CHAR(10)&amp;"نتيجتكم الحالية: "&amp;E181&amp;"%."&amp;CHAR(10)&amp;"أولوية التحسين الأولى: "&amp;F181&amp;"."&amp;IF(J181&lt;&gt;"",CHAR(10)&amp;CHAR(10)&amp;"رابط التقرير: "&amp;J181,"")&amp;CHAR(10)&amp;CHAR(10)&amp;"إذا أحببت، يمكننا مساعدتك في فهم التقرير وتحديد أفضل خطوة تالية لعيادتكم.")</x:f>
      </x:c>
      <x:c r="L181" s="12" t="str">
        <x:f>IF(D181="","",HYPERLINK("https://wa.me/"&amp;REGEXREPLACE(D181,"[^\d]","")&amp;"?text="&amp;ENCODEURL(K181),"واتساب 1"))</x:f>
      </x:c>
      <x:c r="M181" s="12" t="str">
        <x:f>IF(A181="","","مرحبًا "&amp;C181&amp;CHAR(10)&amp;CHAR(10)&amp;"بناءً على نتيجة تقييم عيادة "&amp;B181&amp;"، فإن الترشيح الأقوى لكم الآن هو: "&amp;G181&amp;"."&amp;CHAR(10)&amp;"هذا الخيار يساعدكم في معالجة أكبر فجوة حالية بشكل عملي ومباشر."&amp;IF(J181&lt;&gt;"",CHAR(10)&amp;CHAR(10)&amp;"رابط التقرير: "&amp;J181,"")&amp;CHAR(10)&amp;CHAR(10)&amp;"إذا رغبت، يمكننا توضيح لماذا هذا الكورس هو الأنسب لكم الآن.")</x:f>
      </x:c>
      <x:c r="N181" s="12" t="str">
        <x:f>IF(D181="","",HYPERLINK("https://wa.me/"&amp;REGEXREPLACE(D181,"[^\d]","")&amp;"?text="&amp;ENCODEURL(M181),"واتساب 2"))</x:f>
      </x:c>
      <x:c r="O181" s="12" t="str">
        <x:f>IF(A181="","","مرحبًا "&amp;C181&amp;CHAR(10)&amp;CHAR(10)&amp;"إذا كانت التحديات لديكم تحتاج حلًا أشمل، فالبرنامج الكامل المناسب لكم هو: "&amp;H181&amp;"."&amp;IF(I181&lt;&gt;"",CHAR(10)&amp;"كما يمكنكم أيضًا حجز: "&amp;I181&amp;".","")&amp;IF(J181&lt;&gt;"",CHAR(10)&amp;CHAR(10)&amp;"رابط التقرير: "&amp;J181,"")&amp;CHAR(10)&amp;CHAR(10)&amp;"يسعدنا مساعدتكم في اختيار المسار الأنسب حسب وضع العيادة الحالي.")</x:f>
      </x:c>
      <x:c r="P181" s="12" t="str">
        <x:f>IF(D181="","",HYPERLINK("https://wa.me/"&amp;REGEXREPLACE(D181,"[^\d]","")&amp;"?text="&amp;ENCODEURL(O181),"واتساب 3"))</x:f>
      </x:c>
    </x:row>
    <x:row r="182" ht="15" hidden="0" customHeight="1">
      <x:c r="A182" s="12" t="str">
        <x:f>IF(Leads!A182="","",Leads!A182)</x:f>
      </x:c>
      <x:c r="B182" s="12" t="str">
        <x:f>IF(Leads!F182="","",Leads!F182)</x:f>
      </x:c>
      <x:c r="C182" s="12" t="str">
        <x:f>IF(Leads!G182="","",Leads!G182)</x:f>
      </x:c>
      <x:c r="D182" s="12" t="str">
        <x:f>IF(Leads!O182="","",Leads!O182)</x:f>
      </x:c>
      <x:c r="E182" s="12" t="str">
        <x:f>IF(Leads!AV182="","",Leads!AV182)</x:f>
      </x:c>
      <x:c r="F182" s="12" t="str">
        <x:f>IF(Leads!AX182="","",Leads!AX182)</x:f>
      </x:c>
      <x:c r="G182" s="12" t="str">
        <x:f>IF(Leads!BC182="","",Leads!BC182)</x:f>
      </x:c>
      <x:c r="H182" s="12" t="str">
        <x:f>IF(Leads!BE182="","",Leads!BE182)</x:f>
      </x:c>
      <x:c r="I182" s="12" t="str">
        <x:f>IF(Leads!BG182="","",Leads!BG182)</x:f>
      </x:c>
      <x:c r="J182" s="12" t="str">
        <x:f>IF(Leads!BH182="","",Leads!BH182)</x:f>
      </x:c>
      <x:c r="K182" s="12" t="str">
        <x:f>IF(A182="","","مرحبًا "&amp;C182&amp;CHAR(10)&amp;CHAR(10)&amp;"شكرًا لإتمام تقييم DBD الخاص بعيادة "&amp;B182&amp;"."&amp;CHAR(10)&amp;"نتيجتكم الحالية: "&amp;E182&amp;"%."&amp;CHAR(10)&amp;"أولوية التحسين الأولى: "&amp;F182&amp;"."&amp;IF(J182&lt;&gt;"",CHAR(10)&amp;CHAR(10)&amp;"رابط التقرير: "&amp;J182,"")&amp;CHAR(10)&amp;CHAR(10)&amp;"إذا أحببت، يمكننا مساعدتك في فهم التقرير وتحديد أفضل خطوة تالية لعيادتكم.")</x:f>
      </x:c>
      <x:c r="L182" s="12" t="str">
        <x:f>IF(D182="","",HYPERLINK("https://wa.me/"&amp;REGEXREPLACE(D182,"[^\d]","")&amp;"?text="&amp;ENCODEURL(K182),"واتساب 1"))</x:f>
      </x:c>
      <x:c r="M182" s="12" t="str">
        <x:f>IF(A182="","","مرحبًا "&amp;C182&amp;CHAR(10)&amp;CHAR(10)&amp;"بناءً على نتيجة تقييم عيادة "&amp;B182&amp;"، فإن الترشيح الأقوى لكم الآن هو: "&amp;G182&amp;"."&amp;CHAR(10)&amp;"هذا الخيار يساعدكم في معالجة أكبر فجوة حالية بشكل عملي ومباشر."&amp;IF(J182&lt;&gt;"",CHAR(10)&amp;CHAR(10)&amp;"رابط التقرير: "&amp;J182,"")&amp;CHAR(10)&amp;CHAR(10)&amp;"إذا رغبت، يمكننا توضيح لماذا هذا الكورس هو الأنسب لكم الآن.")</x:f>
      </x:c>
      <x:c r="N182" s="12" t="str">
        <x:f>IF(D182="","",HYPERLINK("https://wa.me/"&amp;REGEXREPLACE(D182,"[^\d]","")&amp;"?text="&amp;ENCODEURL(M182),"واتساب 2"))</x:f>
      </x:c>
      <x:c r="O182" s="12" t="str">
        <x:f>IF(A182="","","مرحبًا "&amp;C182&amp;CHAR(10)&amp;CHAR(10)&amp;"إذا كانت التحديات لديكم تحتاج حلًا أشمل، فالبرنامج الكامل المناسب لكم هو: "&amp;H182&amp;"."&amp;IF(I182&lt;&gt;"",CHAR(10)&amp;"كما يمكنكم أيضًا حجز: "&amp;I182&amp;".","")&amp;IF(J182&lt;&gt;"",CHAR(10)&amp;CHAR(10)&amp;"رابط التقرير: "&amp;J182,"")&amp;CHAR(10)&amp;CHAR(10)&amp;"يسعدنا مساعدتكم في اختيار المسار الأنسب حسب وضع العيادة الحالي.")</x:f>
      </x:c>
      <x:c r="P182" s="12" t="str">
        <x:f>IF(D182="","",HYPERLINK("https://wa.me/"&amp;REGEXREPLACE(D182,"[^\d]","")&amp;"?text="&amp;ENCODEURL(O182),"واتساب 3"))</x:f>
      </x:c>
    </x:row>
    <x:row r="183" ht="15" hidden="0" customHeight="1">
      <x:c r="A183" s="12" t="str">
        <x:f>IF(Leads!A183="","",Leads!A183)</x:f>
      </x:c>
      <x:c r="B183" s="12" t="str">
        <x:f>IF(Leads!F183="","",Leads!F183)</x:f>
      </x:c>
      <x:c r="C183" s="12" t="str">
        <x:f>IF(Leads!G183="","",Leads!G183)</x:f>
      </x:c>
      <x:c r="D183" s="12" t="str">
        <x:f>IF(Leads!O183="","",Leads!O183)</x:f>
      </x:c>
      <x:c r="E183" s="12" t="str">
        <x:f>IF(Leads!AV183="","",Leads!AV183)</x:f>
      </x:c>
      <x:c r="F183" s="12" t="str">
        <x:f>IF(Leads!AX183="","",Leads!AX183)</x:f>
      </x:c>
      <x:c r="G183" s="12" t="str">
        <x:f>IF(Leads!BC183="","",Leads!BC183)</x:f>
      </x:c>
      <x:c r="H183" s="12" t="str">
        <x:f>IF(Leads!BE183="","",Leads!BE183)</x:f>
      </x:c>
      <x:c r="I183" s="12" t="str">
        <x:f>IF(Leads!BG183="","",Leads!BG183)</x:f>
      </x:c>
      <x:c r="J183" s="12" t="str">
        <x:f>IF(Leads!BH183="","",Leads!BH183)</x:f>
      </x:c>
      <x:c r="K183" s="12" t="str">
        <x:f>IF(A183="","","مرحبًا "&amp;C183&amp;CHAR(10)&amp;CHAR(10)&amp;"شكرًا لإتمام تقييم DBD الخاص بعيادة "&amp;B183&amp;"."&amp;CHAR(10)&amp;"نتيجتكم الحالية: "&amp;E183&amp;"%."&amp;CHAR(10)&amp;"أولوية التحسين الأولى: "&amp;F183&amp;"."&amp;IF(J183&lt;&gt;"",CHAR(10)&amp;CHAR(10)&amp;"رابط التقرير: "&amp;J183,"")&amp;CHAR(10)&amp;CHAR(10)&amp;"إذا أحببت، يمكننا مساعدتك في فهم التقرير وتحديد أفضل خطوة تالية لعيادتكم.")</x:f>
      </x:c>
      <x:c r="L183" s="12" t="str">
        <x:f>IF(D183="","",HYPERLINK("https://wa.me/"&amp;REGEXREPLACE(D183,"[^\d]","")&amp;"?text="&amp;ENCODEURL(K183),"واتساب 1"))</x:f>
      </x:c>
      <x:c r="M183" s="12" t="str">
        <x:f>IF(A183="","","مرحبًا "&amp;C183&amp;CHAR(10)&amp;CHAR(10)&amp;"بناءً على نتيجة تقييم عيادة "&amp;B183&amp;"، فإن الترشيح الأقوى لكم الآن هو: "&amp;G183&amp;"."&amp;CHAR(10)&amp;"هذا الخيار يساعدكم في معالجة أكبر فجوة حالية بشكل عملي ومباشر."&amp;IF(J183&lt;&gt;"",CHAR(10)&amp;CHAR(10)&amp;"رابط التقرير: "&amp;J183,"")&amp;CHAR(10)&amp;CHAR(10)&amp;"إذا رغبت، يمكننا توضيح لماذا هذا الكورس هو الأنسب لكم الآن.")</x:f>
      </x:c>
      <x:c r="N183" s="12" t="str">
        <x:f>IF(D183="","",HYPERLINK("https://wa.me/"&amp;REGEXREPLACE(D183,"[^\d]","")&amp;"?text="&amp;ENCODEURL(M183),"واتساب 2"))</x:f>
      </x:c>
      <x:c r="O183" s="12" t="str">
        <x:f>IF(A183="","","مرحبًا "&amp;C183&amp;CHAR(10)&amp;CHAR(10)&amp;"إذا كانت التحديات لديكم تحتاج حلًا أشمل، فالبرنامج الكامل المناسب لكم هو: "&amp;H183&amp;"."&amp;IF(I183&lt;&gt;"",CHAR(10)&amp;"كما يمكنكم أيضًا حجز: "&amp;I183&amp;".","")&amp;IF(J183&lt;&gt;"",CHAR(10)&amp;CHAR(10)&amp;"رابط التقرير: "&amp;J183,"")&amp;CHAR(10)&amp;CHAR(10)&amp;"يسعدنا مساعدتكم في اختيار المسار الأنسب حسب وضع العيادة الحالي.")</x:f>
      </x:c>
      <x:c r="P183" s="12" t="str">
        <x:f>IF(D183="","",HYPERLINK("https://wa.me/"&amp;REGEXREPLACE(D183,"[^\d]","")&amp;"?text="&amp;ENCODEURL(O183),"واتساب 3"))</x:f>
      </x:c>
    </x:row>
    <x:row r="184" ht="15" hidden="0" customHeight="1">
      <x:c r="A184" s="12" t="str">
        <x:f>IF(Leads!A184="","",Leads!A184)</x:f>
      </x:c>
      <x:c r="B184" s="12" t="str">
        <x:f>IF(Leads!F184="","",Leads!F184)</x:f>
      </x:c>
      <x:c r="C184" s="12" t="str">
        <x:f>IF(Leads!G184="","",Leads!G184)</x:f>
      </x:c>
      <x:c r="D184" s="12" t="str">
        <x:f>IF(Leads!O184="","",Leads!O184)</x:f>
      </x:c>
      <x:c r="E184" s="12" t="str">
        <x:f>IF(Leads!AV184="","",Leads!AV184)</x:f>
      </x:c>
      <x:c r="F184" s="12" t="str">
        <x:f>IF(Leads!AX184="","",Leads!AX184)</x:f>
      </x:c>
      <x:c r="G184" s="12" t="str">
        <x:f>IF(Leads!BC184="","",Leads!BC184)</x:f>
      </x:c>
      <x:c r="H184" s="12" t="str">
        <x:f>IF(Leads!BE184="","",Leads!BE184)</x:f>
      </x:c>
      <x:c r="I184" s="12" t="str">
        <x:f>IF(Leads!BG184="","",Leads!BG184)</x:f>
      </x:c>
      <x:c r="J184" s="12" t="str">
        <x:f>IF(Leads!BH184="","",Leads!BH184)</x:f>
      </x:c>
      <x:c r="K184" s="12" t="str">
        <x:f>IF(A184="","","مرحبًا "&amp;C184&amp;CHAR(10)&amp;CHAR(10)&amp;"شكرًا لإتمام تقييم DBD الخاص بعيادة "&amp;B184&amp;"."&amp;CHAR(10)&amp;"نتيجتكم الحالية: "&amp;E184&amp;"%."&amp;CHAR(10)&amp;"أولوية التحسين الأولى: "&amp;F184&amp;"."&amp;IF(J184&lt;&gt;"",CHAR(10)&amp;CHAR(10)&amp;"رابط التقرير: "&amp;J184,"")&amp;CHAR(10)&amp;CHAR(10)&amp;"إذا أحببت، يمكننا مساعدتك في فهم التقرير وتحديد أفضل خطوة تالية لعيادتكم.")</x:f>
      </x:c>
      <x:c r="L184" s="12" t="str">
        <x:f>IF(D184="","",HYPERLINK("https://wa.me/"&amp;REGEXREPLACE(D184,"[^\d]","")&amp;"?text="&amp;ENCODEURL(K184),"واتساب 1"))</x:f>
      </x:c>
      <x:c r="M184" s="12" t="str">
        <x:f>IF(A184="","","مرحبًا "&amp;C184&amp;CHAR(10)&amp;CHAR(10)&amp;"بناءً على نتيجة تقييم عيادة "&amp;B184&amp;"، فإن الترشيح الأقوى لكم الآن هو: "&amp;G184&amp;"."&amp;CHAR(10)&amp;"هذا الخيار يساعدكم في معالجة أكبر فجوة حالية بشكل عملي ومباشر."&amp;IF(J184&lt;&gt;"",CHAR(10)&amp;CHAR(10)&amp;"رابط التقرير: "&amp;J184,"")&amp;CHAR(10)&amp;CHAR(10)&amp;"إذا رغبت، يمكننا توضيح لماذا هذا الكورس هو الأنسب لكم الآن.")</x:f>
      </x:c>
      <x:c r="N184" s="12" t="str">
        <x:f>IF(D184="","",HYPERLINK("https://wa.me/"&amp;REGEXREPLACE(D184,"[^\d]","")&amp;"?text="&amp;ENCODEURL(M184),"واتساب 2"))</x:f>
      </x:c>
      <x:c r="O184" s="12" t="str">
        <x:f>IF(A184="","","مرحبًا "&amp;C184&amp;CHAR(10)&amp;CHAR(10)&amp;"إذا كانت التحديات لديكم تحتاج حلًا أشمل، فالبرنامج الكامل المناسب لكم هو: "&amp;H184&amp;"."&amp;IF(I184&lt;&gt;"",CHAR(10)&amp;"كما يمكنكم أيضًا حجز: "&amp;I184&amp;".","")&amp;IF(J184&lt;&gt;"",CHAR(10)&amp;CHAR(10)&amp;"رابط التقرير: "&amp;J184,"")&amp;CHAR(10)&amp;CHAR(10)&amp;"يسعدنا مساعدتكم في اختيار المسار الأنسب حسب وضع العيادة الحالي.")</x:f>
      </x:c>
      <x:c r="P184" s="12" t="str">
        <x:f>IF(D184="","",HYPERLINK("https://wa.me/"&amp;REGEXREPLACE(D184,"[^\d]","")&amp;"?text="&amp;ENCODEURL(O184),"واتساب 3"))</x:f>
      </x:c>
    </x:row>
    <x:row r="185" ht="15" hidden="0" customHeight="1">
      <x:c r="A185" s="12" t="str">
        <x:f>IF(Leads!A185="","",Leads!A185)</x:f>
      </x:c>
      <x:c r="B185" s="12" t="str">
        <x:f>IF(Leads!F185="","",Leads!F185)</x:f>
      </x:c>
      <x:c r="C185" s="12" t="str">
        <x:f>IF(Leads!G185="","",Leads!G185)</x:f>
      </x:c>
      <x:c r="D185" s="12" t="str">
        <x:f>IF(Leads!O185="","",Leads!O185)</x:f>
      </x:c>
      <x:c r="E185" s="12" t="str">
        <x:f>IF(Leads!AV185="","",Leads!AV185)</x:f>
      </x:c>
      <x:c r="F185" s="12" t="str">
        <x:f>IF(Leads!AX185="","",Leads!AX185)</x:f>
      </x:c>
      <x:c r="G185" s="12" t="str">
        <x:f>IF(Leads!BC185="","",Leads!BC185)</x:f>
      </x:c>
      <x:c r="H185" s="12" t="str">
        <x:f>IF(Leads!BE185="","",Leads!BE185)</x:f>
      </x:c>
      <x:c r="I185" s="12" t="str">
        <x:f>IF(Leads!BG185="","",Leads!BG185)</x:f>
      </x:c>
      <x:c r="J185" s="12" t="str">
        <x:f>IF(Leads!BH185="","",Leads!BH185)</x:f>
      </x:c>
      <x:c r="K185" s="12" t="str">
        <x:f>IF(A185="","","مرحبًا "&amp;C185&amp;CHAR(10)&amp;CHAR(10)&amp;"شكرًا لإتمام تقييم DBD الخاص بعيادة "&amp;B185&amp;"."&amp;CHAR(10)&amp;"نتيجتكم الحالية: "&amp;E185&amp;"%."&amp;CHAR(10)&amp;"أولوية التحسين الأولى: "&amp;F185&amp;"."&amp;IF(J185&lt;&gt;"",CHAR(10)&amp;CHAR(10)&amp;"رابط التقرير: "&amp;J185,"")&amp;CHAR(10)&amp;CHAR(10)&amp;"إذا أحببت، يمكننا مساعدتك في فهم التقرير وتحديد أفضل خطوة تالية لعيادتكم.")</x:f>
      </x:c>
      <x:c r="L185" s="12" t="str">
        <x:f>IF(D185="","",HYPERLINK("https://wa.me/"&amp;REGEXREPLACE(D185,"[^\d]","")&amp;"?text="&amp;ENCODEURL(K185),"واتساب 1"))</x:f>
      </x:c>
      <x:c r="M185" s="12" t="str">
        <x:f>IF(A185="","","مرحبًا "&amp;C185&amp;CHAR(10)&amp;CHAR(10)&amp;"بناءً على نتيجة تقييم عيادة "&amp;B185&amp;"، فإن الترشيح الأقوى لكم الآن هو: "&amp;G185&amp;"."&amp;CHAR(10)&amp;"هذا الخيار يساعدكم في معالجة أكبر فجوة حالية بشكل عملي ومباشر."&amp;IF(J185&lt;&gt;"",CHAR(10)&amp;CHAR(10)&amp;"رابط التقرير: "&amp;J185,"")&amp;CHAR(10)&amp;CHAR(10)&amp;"إذا رغبت، يمكننا توضيح لماذا هذا الكورس هو الأنسب لكم الآن.")</x:f>
      </x:c>
      <x:c r="N185" s="12" t="str">
        <x:f>IF(D185="","",HYPERLINK("https://wa.me/"&amp;REGEXREPLACE(D185,"[^\d]","")&amp;"?text="&amp;ENCODEURL(M185),"واتساب 2"))</x:f>
      </x:c>
      <x:c r="O185" s="12" t="str">
        <x:f>IF(A185="","","مرحبًا "&amp;C185&amp;CHAR(10)&amp;CHAR(10)&amp;"إذا كانت التحديات لديكم تحتاج حلًا أشمل، فالبرنامج الكامل المناسب لكم هو: "&amp;H185&amp;"."&amp;IF(I185&lt;&gt;"",CHAR(10)&amp;"كما يمكنكم أيضًا حجز: "&amp;I185&amp;".","")&amp;IF(J185&lt;&gt;"",CHAR(10)&amp;CHAR(10)&amp;"رابط التقرير: "&amp;J185,"")&amp;CHAR(10)&amp;CHAR(10)&amp;"يسعدنا مساعدتكم في اختيار المسار الأنسب حسب وضع العيادة الحالي.")</x:f>
      </x:c>
      <x:c r="P185" s="12" t="str">
        <x:f>IF(D185="","",HYPERLINK("https://wa.me/"&amp;REGEXREPLACE(D185,"[^\d]","")&amp;"?text="&amp;ENCODEURL(O185),"واتساب 3"))</x:f>
      </x:c>
    </x:row>
    <x:row r="186" ht="15" hidden="0" customHeight="1">
      <x:c r="A186" s="12" t="str">
        <x:f>IF(Leads!A186="","",Leads!A186)</x:f>
      </x:c>
      <x:c r="B186" s="12" t="str">
        <x:f>IF(Leads!F186="","",Leads!F186)</x:f>
      </x:c>
      <x:c r="C186" s="12" t="str">
        <x:f>IF(Leads!G186="","",Leads!G186)</x:f>
      </x:c>
      <x:c r="D186" s="12" t="str">
        <x:f>IF(Leads!O186="","",Leads!O186)</x:f>
      </x:c>
      <x:c r="E186" s="12" t="str">
        <x:f>IF(Leads!AV186="","",Leads!AV186)</x:f>
      </x:c>
      <x:c r="F186" s="12" t="str">
        <x:f>IF(Leads!AX186="","",Leads!AX186)</x:f>
      </x:c>
      <x:c r="G186" s="12" t="str">
        <x:f>IF(Leads!BC186="","",Leads!BC186)</x:f>
      </x:c>
      <x:c r="H186" s="12" t="str">
        <x:f>IF(Leads!BE186="","",Leads!BE186)</x:f>
      </x:c>
      <x:c r="I186" s="12" t="str">
        <x:f>IF(Leads!BG186="","",Leads!BG186)</x:f>
      </x:c>
      <x:c r="J186" s="12" t="str">
        <x:f>IF(Leads!BH186="","",Leads!BH186)</x:f>
      </x:c>
      <x:c r="K186" s="12" t="str">
        <x:f>IF(A186="","","مرحبًا "&amp;C186&amp;CHAR(10)&amp;CHAR(10)&amp;"شكرًا لإتمام تقييم DBD الخاص بعيادة "&amp;B186&amp;"."&amp;CHAR(10)&amp;"نتيجتكم الحالية: "&amp;E186&amp;"%."&amp;CHAR(10)&amp;"أولوية التحسين الأولى: "&amp;F186&amp;"."&amp;IF(J186&lt;&gt;"",CHAR(10)&amp;CHAR(10)&amp;"رابط التقرير: "&amp;J186,"")&amp;CHAR(10)&amp;CHAR(10)&amp;"إذا أحببت، يمكننا مساعدتك في فهم التقرير وتحديد أفضل خطوة تالية لعيادتكم.")</x:f>
      </x:c>
      <x:c r="L186" s="12" t="str">
        <x:f>IF(D186="","",HYPERLINK("https://wa.me/"&amp;REGEXREPLACE(D186,"[^\d]","")&amp;"?text="&amp;ENCODEURL(K186),"واتساب 1"))</x:f>
      </x:c>
      <x:c r="M186" s="12" t="str">
        <x:f>IF(A186="","","مرحبًا "&amp;C186&amp;CHAR(10)&amp;CHAR(10)&amp;"بناءً على نتيجة تقييم عيادة "&amp;B186&amp;"، فإن الترشيح الأقوى لكم الآن هو: "&amp;G186&amp;"."&amp;CHAR(10)&amp;"هذا الخيار يساعدكم في معالجة أكبر فجوة حالية بشكل عملي ومباشر."&amp;IF(J186&lt;&gt;"",CHAR(10)&amp;CHAR(10)&amp;"رابط التقرير: "&amp;J186,"")&amp;CHAR(10)&amp;CHAR(10)&amp;"إذا رغبت، يمكننا توضيح لماذا هذا الكورس هو الأنسب لكم الآن.")</x:f>
      </x:c>
      <x:c r="N186" s="12" t="str">
        <x:f>IF(D186="","",HYPERLINK("https://wa.me/"&amp;REGEXREPLACE(D186,"[^\d]","")&amp;"?text="&amp;ENCODEURL(M186),"واتساب 2"))</x:f>
      </x:c>
      <x:c r="O186" s="12" t="str">
        <x:f>IF(A186="","","مرحبًا "&amp;C186&amp;CHAR(10)&amp;CHAR(10)&amp;"إذا كانت التحديات لديكم تحتاج حلًا أشمل، فالبرنامج الكامل المناسب لكم هو: "&amp;H186&amp;"."&amp;IF(I186&lt;&gt;"",CHAR(10)&amp;"كما يمكنكم أيضًا حجز: "&amp;I186&amp;".","")&amp;IF(J186&lt;&gt;"",CHAR(10)&amp;CHAR(10)&amp;"رابط التقرير: "&amp;J186,"")&amp;CHAR(10)&amp;CHAR(10)&amp;"يسعدنا مساعدتكم في اختيار المسار الأنسب حسب وضع العيادة الحالي.")</x:f>
      </x:c>
      <x:c r="P186" s="12" t="str">
        <x:f>IF(D186="","",HYPERLINK("https://wa.me/"&amp;REGEXREPLACE(D186,"[^\d]","")&amp;"?text="&amp;ENCODEURL(O186),"واتساب 3"))</x:f>
      </x:c>
    </x:row>
    <x:row r="187" ht="15" hidden="0" customHeight="1">
      <x:c r="A187" s="12" t="str">
        <x:f>IF(Leads!A187="","",Leads!A187)</x:f>
      </x:c>
      <x:c r="B187" s="12" t="str">
        <x:f>IF(Leads!F187="","",Leads!F187)</x:f>
      </x:c>
      <x:c r="C187" s="12" t="str">
        <x:f>IF(Leads!G187="","",Leads!G187)</x:f>
      </x:c>
      <x:c r="D187" s="12" t="str">
        <x:f>IF(Leads!O187="","",Leads!O187)</x:f>
      </x:c>
      <x:c r="E187" s="12" t="str">
        <x:f>IF(Leads!AV187="","",Leads!AV187)</x:f>
      </x:c>
      <x:c r="F187" s="12" t="str">
        <x:f>IF(Leads!AX187="","",Leads!AX187)</x:f>
      </x:c>
      <x:c r="G187" s="12" t="str">
        <x:f>IF(Leads!BC187="","",Leads!BC187)</x:f>
      </x:c>
      <x:c r="H187" s="12" t="str">
        <x:f>IF(Leads!BE187="","",Leads!BE187)</x:f>
      </x:c>
      <x:c r="I187" s="12" t="str">
        <x:f>IF(Leads!BG187="","",Leads!BG187)</x:f>
      </x:c>
      <x:c r="J187" s="12" t="str">
        <x:f>IF(Leads!BH187="","",Leads!BH187)</x:f>
      </x:c>
      <x:c r="K187" s="12" t="str">
        <x:f>IF(A187="","","مرحبًا "&amp;C187&amp;CHAR(10)&amp;CHAR(10)&amp;"شكرًا لإتمام تقييم DBD الخاص بعيادة "&amp;B187&amp;"."&amp;CHAR(10)&amp;"نتيجتكم الحالية: "&amp;E187&amp;"%."&amp;CHAR(10)&amp;"أولوية التحسين الأولى: "&amp;F187&amp;"."&amp;IF(J187&lt;&gt;"",CHAR(10)&amp;CHAR(10)&amp;"رابط التقرير: "&amp;J187,"")&amp;CHAR(10)&amp;CHAR(10)&amp;"إذا أحببت، يمكننا مساعدتك في فهم التقرير وتحديد أفضل خطوة تالية لعيادتكم.")</x:f>
      </x:c>
      <x:c r="L187" s="12" t="str">
        <x:f>IF(D187="","",HYPERLINK("https://wa.me/"&amp;REGEXREPLACE(D187,"[^\d]","")&amp;"?text="&amp;ENCODEURL(K187),"واتساب 1"))</x:f>
      </x:c>
      <x:c r="M187" s="12" t="str">
        <x:f>IF(A187="","","مرحبًا "&amp;C187&amp;CHAR(10)&amp;CHAR(10)&amp;"بناءً على نتيجة تقييم عيادة "&amp;B187&amp;"، فإن الترشيح الأقوى لكم الآن هو: "&amp;G187&amp;"."&amp;CHAR(10)&amp;"هذا الخيار يساعدكم في معالجة أكبر فجوة حالية بشكل عملي ومباشر."&amp;IF(J187&lt;&gt;"",CHAR(10)&amp;CHAR(10)&amp;"رابط التقرير: "&amp;J187,"")&amp;CHAR(10)&amp;CHAR(10)&amp;"إذا رغبت، يمكننا توضيح لماذا هذا الكورس هو الأنسب لكم الآن.")</x:f>
      </x:c>
      <x:c r="N187" s="12" t="str">
        <x:f>IF(D187="","",HYPERLINK("https://wa.me/"&amp;REGEXREPLACE(D187,"[^\d]","")&amp;"?text="&amp;ENCODEURL(M187),"واتساب 2"))</x:f>
      </x:c>
      <x:c r="O187" s="12" t="str">
        <x:f>IF(A187="","","مرحبًا "&amp;C187&amp;CHAR(10)&amp;CHAR(10)&amp;"إذا كانت التحديات لديكم تحتاج حلًا أشمل، فالبرنامج الكامل المناسب لكم هو: "&amp;H187&amp;"."&amp;IF(I187&lt;&gt;"",CHAR(10)&amp;"كما يمكنكم أيضًا حجز: "&amp;I187&amp;".","")&amp;IF(J187&lt;&gt;"",CHAR(10)&amp;CHAR(10)&amp;"رابط التقرير: "&amp;J187,"")&amp;CHAR(10)&amp;CHAR(10)&amp;"يسعدنا مساعدتكم في اختيار المسار الأنسب حسب وضع العيادة الحالي.")</x:f>
      </x:c>
      <x:c r="P187" s="12" t="str">
        <x:f>IF(D187="","",HYPERLINK("https://wa.me/"&amp;REGEXREPLACE(D187,"[^\d]","")&amp;"?text="&amp;ENCODEURL(O187),"واتساب 3"))</x:f>
      </x:c>
    </x:row>
    <x:row r="188" ht="15" hidden="0" customHeight="1">
      <x:c r="A188" s="12" t="str">
        <x:f>IF(Leads!A188="","",Leads!A188)</x:f>
      </x:c>
      <x:c r="B188" s="12" t="str">
        <x:f>IF(Leads!F188="","",Leads!F188)</x:f>
      </x:c>
      <x:c r="C188" s="12" t="str">
        <x:f>IF(Leads!G188="","",Leads!G188)</x:f>
      </x:c>
      <x:c r="D188" s="12" t="str">
        <x:f>IF(Leads!O188="","",Leads!O188)</x:f>
      </x:c>
      <x:c r="E188" s="12" t="str">
        <x:f>IF(Leads!AV188="","",Leads!AV188)</x:f>
      </x:c>
      <x:c r="F188" s="12" t="str">
        <x:f>IF(Leads!AX188="","",Leads!AX188)</x:f>
      </x:c>
      <x:c r="G188" s="12" t="str">
        <x:f>IF(Leads!BC188="","",Leads!BC188)</x:f>
      </x:c>
      <x:c r="H188" s="12" t="str">
        <x:f>IF(Leads!BE188="","",Leads!BE188)</x:f>
      </x:c>
      <x:c r="I188" s="12" t="str">
        <x:f>IF(Leads!BG188="","",Leads!BG188)</x:f>
      </x:c>
      <x:c r="J188" s="12" t="str">
        <x:f>IF(Leads!BH188="","",Leads!BH188)</x:f>
      </x:c>
      <x:c r="K188" s="12" t="str">
        <x:f>IF(A188="","","مرحبًا "&amp;C188&amp;CHAR(10)&amp;CHAR(10)&amp;"شكرًا لإتمام تقييم DBD الخاص بعيادة "&amp;B188&amp;"."&amp;CHAR(10)&amp;"نتيجتكم الحالية: "&amp;E188&amp;"%."&amp;CHAR(10)&amp;"أولوية التحسين الأولى: "&amp;F188&amp;"."&amp;IF(J188&lt;&gt;"",CHAR(10)&amp;CHAR(10)&amp;"رابط التقرير: "&amp;J188,"")&amp;CHAR(10)&amp;CHAR(10)&amp;"إذا أحببت، يمكننا مساعدتك في فهم التقرير وتحديد أفضل خطوة تالية لعيادتكم.")</x:f>
      </x:c>
      <x:c r="L188" s="12" t="str">
        <x:f>IF(D188="","",HYPERLINK("https://wa.me/"&amp;REGEXREPLACE(D188,"[^\d]","")&amp;"?text="&amp;ENCODEURL(K188),"واتساب 1"))</x:f>
      </x:c>
      <x:c r="M188" s="12" t="str">
        <x:f>IF(A188="","","مرحبًا "&amp;C188&amp;CHAR(10)&amp;CHAR(10)&amp;"بناءً على نتيجة تقييم عيادة "&amp;B188&amp;"، فإن الترشيح الأقوى لكم الآن هو: "&amp;G188&amp;"."&amp;CHAR(10)&amp;"هذا الخيار يساعدكم في معالجة أكبر فجوة حالية بشكل عملي ومباشر."&amp;IF(J188&lt;&gt;"",CHAR(10)&amp;CHAR(10)&amp;"رابط التقرير: "&amp;J188,"")&amp;CHAR(10)&amp;CHAR(10)&amp;"إذا رغبت، يمكننا توضيح لماذا هذا الكورس هو الأنسب لكم الآن.")</x:f>
      </x:c>
      <x:c r="N188" s="12" t="str">
        <x:f>IF(D188="","",HYPERLINK("https://wa.me/"&amp;REGEXREPLACE(D188,"[^\d]","")&amp;"?text="&amp;ENCODEURL(M188),"واتساب 2"))</x:f>
      </x:c>
      <x:c r="O188" s="12" t="str">
        <x:f>IF(A188="","","مرحبًا "&amp;C188&amp;CHAR(10)&amp;CHAR(10)&amp;"إذا كانت التحديات لديكم تحتاج حلًا أشمل، فالبرنامج الكامل المناسب لكم هو: "&amp;H188&amp;"."&amp;IF(I188&lt;&gt;"",CHAR(10)&amp;"كما يمكنكم أيضًا حجز: "&amp;I188&amp;".","")&amp;IF(J188&lt;&gt;"",CHAR(10)&amp;CHAR(10)&amp;"رابط التقرير: "&amp;J188,"")&amp;CHAR(10)&amp;CHAR(10)&amp;"يسعدنا مساعدتكم في اختيار المسار الأنسب حسب وضع العيادة الحالي.")</x:f>
      </x:c>
      <x:c r="P188" s="12" t="str">
        <x:f>IF(D188="","",HYPERLINK("https://wa.me/"&amp;REGEXREPLACE(D188,"[^\d]","")&amp;"?text="&amp;ENCODEURL(O188),"واتساب 3"))</x:f>
      </x:c>
    </x:row>
    <x:row r="189" ht="15" hidden="0" customHeight="1">
      <x:c r="A189" s="12" t="str">
        <x:f>IF(Leads!A189="","",Leads!A189)</x:f>
      </x:c>
      <x:c r="B189" s="12" t="str">
        <x:f>IF(Leads!F189="","",Leads!F189)</x:f>
      </x:c>
      <x:c r="C189" s="12" t="str">
        <x:f>IF(Leads!G189="","",Leads!G189)</x:f>
      </x:c>
      <x:c r="D189" s="12" t="str">
        <x:f>IF(Leads!O189="","",Leads!O189)</x:f>
      </x:c>
      <x:c r="E189" s="12" t="str">
        <x:f>IF(Leads!AV189="","",Leads!AV189)</x:f>
      </x:c>
      <x:c r="F189" s="12" t="str">
        <x:f>IF(Leads!AX189="","",Leads!AX189)</x:f>
      </x:c>
      <x:c r="G189" s="12" t="str">
        <x:f>IF(Leads!BC189="","",Leads!BC189)</x:f>
      </x:c>
      <x:c r="H189" s="12" t="str">
        <x:f>IF(Leads!BE189="","",Leads!BE189)</x:f>
      </x:c>
      <x:c r="I189" s="12" t="str">
        <x:f>IF(Leads!BG189="","",Leads!BG189)</x:f>
      </x:c>
      <x:c r="J189" s="12" t="str">
        <x:f>IF(Leads!BH189="","",Leads!BH189)</x:f>
      </x:c>
      <x:c r="K189" s="12" t="str">
        <x:f>IF(A189="","","مرحبًا "&amp;C189&amp;CHAR(10)&amp;CHAR(10)&amp;"شكرًا لإتمام تقييم DBD الخاص بعيادة "&amp;B189&amp;"."&amp;CHAR(10)&amp;"نتيجتكم الحالية: "&amp;E189&amp;"%."&amp;CHAR(10)&amp;"أولوية التحسين الأولى: "&amp;F189&amp;"."&amp;IF(J189&lt;&gt;"",CHAR(10)&amp;CHAR(10)&amp;"رابط التقرير: "&amp;J189,"")&amp;CHAR(10)&amp;CHAR(10)&amp;"إذا أحببت، يمكننا مساعدتك في فهم التقرير وتحديد أفضل خطوة تالية لعيادتكم.")</x:f>
      </x:c>
      <x:c r="L189" s="12" t="str">
        <x:f>IF(D189="","",HYPERLINK("https://wa.me/"&amp;REGEXREPLACE(D189,"[^\d]","")&amp;"?text="&amp;ENCODEURL(K189),"واتساب 1"))</x:f>
      </x:c>
      <x:c r="M189" s="12" t="str">
        <x:f>IF(A189="","","مرحبًا "&amp;C189&amp;CHAR(10)&amp;CHAR(10)&amp;"بناءً على نتيجة تقييم عيادة "&amp;B189&amp;"، فإن الترشيح الأقوى لكم الآن هو: "&amp;G189&amp;"."&amp;CHAR(10)&amp;"هذا الخيار يساعدكم في معالجة أكبر فجوة حالية بشكل عملي ومباشر."&amp;IF(J189&lt;&gt;"",CHAR(10)&amp;CHAR(10)&amp;"رابط التقرير: "&amp;J189,"")&amp;CHAR(10)&amp;CHAR(10)&amp;"إذا رغبت، يمكننا توضيح لماذا هذا الكورس هو الأنسب لكم الآن.")</x:f>
      </x:c>
      <x:c r="N189" s="12" t="str">
        <x:f>IF(D189="","",HYPERLINK("https://wa.me/"&amp;REGEXREPLACE(D189,"[^\d]","")&amp;"?text="&amp;ENCODEURL(M189),"واتساب 2"))</x:f>
      </x:c>
      <x:c r="O189" s="12" t="str">
        <x:f>IF(A189="","","مرحبًا "&amp;C189&amp;CHAR(10)&amp;CHAR(10)&amp;"إذا كانت التحديات لديكم تحتاج حلًا أشمل، فالبرنامج الكامل المناسب لكم هو: "&amp;H189&amp;"."&amp;IF(I189&lt;&gt;"",CHAR(10)&amp;"كما يمكنكم أيضًا حجز: "&amp;I189&amp;".","")&amp;IF(J189&lt;&gt;"",CHAR(10)&amp;CHAR(10)&amp;"رابط التقرير: "&amp;J189,"")&amp;CHAR(10)&amp;CHAR(10)&amp;"يسعدنا مساعدتكم في اختيار المسار الأنسب حسب وضع العيادة الحالي.")</x:f>
      </x:c>
      <x:c r="P189" s="12" t="str">
        <x:f>IF(D189="","",HYPERLINK("https://wa.me/"&amp;REGEXREPLACE(D189,"[^\d]","")&amp;"?text="&amp;ENCODEURL(O189),"واتساب 3"))</x:f>
      </x:c>
    </x:row>
    <x:row r="190" ht="15" hidden="0" customHeight="1">
      <x:c r="A190" s="12" t="str">
        <x:f>IF(Leads!A190="","",Leads!A190)</x:f>
      </x:c>
      <x:c r="B190" s="12" t="str">
        <x:f>IF(Leads!F190="","",Leads!F190)</x:f>
      </x:c>
      <x:c r="C190" s="12" t="str">
        <x:f>IF(Leads!G190="","",Leads!G190)</x:f>
      </x:c>
      <x:c r="D190" s="12" t="str">
        <x:f>IF(Leads!O190="","",Leads!O190)</x:f>
      </x:c>
      <x:c r="E190" s="12" t="str">
        <x:f>IF(Leads!AV190="","",Leads!AV190)</x:f>
      </x:c>
      <x:c r="F190" s="12" t="str">
        <x:f>IF(Leads!AX190="","",Leads!AX190)</x:f>
      </x:c>
      <x:c r="G190" s="12" t="str">
        <x:f>IF(Leads!BC190="","",Leads!BC190)</x:f>
      </x:c>
      <x:c r="H190" s="12" t="str">
        <x:f>IF(Leads!BE190="","",Leads!BE190)</x:f>
      </x:c>
      <x:c r="I190" s="12" t="str">
        <x:f>IF(Leads!BG190="","",Leads!BG190)</x:f>
      </x:c>
      <x:c r="J190" s="12" t="str">
        <x:f>IF(Leads!BH190="","",Leads!BH190)</x:f>
      </x:c>
      <x:c r="K190" s="12" t="str">
        <x:f>IF(A190="","","مرحبًا "&amp;C190&amp;CHAR(10)&amp;CHAR(10)&amp;"شكرًا لإتمام تقييم DBD الخاص بعيادة "&amp;B190&amp;"."&amp;CHAR(10)&amp;"نتيجتكم الحالية: "&amp;E190&amp;"%."&amp;CHAR(10)&amp;"أولوية التحسين الأولى: "&amp;F190&amp;"."&amp;IF(J190&lt;&gt;"",CHAR(10)&amp;CHAR(10)&amp;"رابط التقرير: "&amp;J190,"")&amp;CHAR(10)&amp;CHAR(10)&amp;"إذا أحببت، يمكننا مساعدتك في فهم التقرير وتحديد أفضل خطوة تالية لعيادتكم.")</x:f>
      </x:c>
      <x:c r="L190" s="12" t="str">
        <x:f>IF(D190="","",HYPERLINK("https://wa.me/"&amp;REGEXREPLACE(D190,"[^\d]","")&amp;"?text="&amp;ENCODEURL(K190),"واتساب 1"))</x:f>
      </x:c>
      <x:c r="M190" s="12" t="str">
        <x:f>IF(A190="","","مرحبًا "&amp;C190&amp;CHAR(10)&amp;CHAR(10)&amp;"بناءً على نتيجة تقييم عيادة "&amp;B190&amp;"، فإن الترشيح الأقوى لكم الآن هو: "&amp;G190&amp;"."&amp;CHAR(10)&amp;"هذا الخيار يساعدكم في معالجة أكبر فجوة حالية بشكل عملي ومباشر."&amp;IF(J190&lt;&gt;"",CHAR(10)&amp;CHAR(10)&amp;"رابط التقرير: "&amp;J190,"")&amp;CHAR(10)&amp;CHAR(10)&amp;"إذا رغبت، يمكننا توضيح لماذا هذا الكورس هو الأنسب لكم الآن.")</x:f>
      </x:c>
      <x:c r="N190" s="12" t="str">
        <x:f>IF(D190="","",HYPERLINK("https://wa.me/"&amp;REGEXREPLACE(D190,"[^\d]","")&amp;"?text="&amp;ENCODEURL(M190),"واتساب 2"))</x:f>
      </x:c>
      <x:c r="O190" s="12" t="str">
        <x:f>IF(A190="","","مرحبًا "&amp;C190&amp;CHAR(10)&amp;CHAR(10)&amp;"إذا كانت التحديات لديكم تحتاج حلًا أشمل، فالبرنامج الكامل المناسب لكم هو: "&amp;H190&amp;"."&amp;IF(I190&lt;&gt;"",CHAR(10)&amp;"كما يمكنكم أيضًا حجز: "&amp;I190&amp;".","")&amp;IF(J190&lt;&gt;"",CHAR(10)&amp;CHAR(10)&amp;"رابط التقرير: "&amp;J190,"")&amp;CHAR(10)&amp;CHAR(10)&amp;"يسعدنا مساعدتكم في اختيار المسار الأنسب حسب وضع العيادة الحالي.")</x:f>
      </x:c>
      <x:c r="P190" s="12" t="str">
        <x:f>IF(D190="","",HYPERLINK("https://wa.me/"&amp;REGEXREPLACE(D190,"[^\d]","")&amp;"?text="&amp;ENCODEURL(O190),"واتساب 3"))</x:f>
      </x:c>
    </x:row>
    <x:row r="191" ht="15" hidden="0" customHeight="1">
      <x:c r="A191" s="12" t="str">
        <x:f>IF(Leads!A191="","",Leads!A191)</x:f>
      </x:c>
      <x:c r="B191" s="12" t="str">
        <x:f>IF(Leads!F191="","",Leads!F191)</x:f>
      </x:c>
      <x:c r="C191" s="12" t="str">
        <x:f>IF(Leads!G191="","",Leads!G191)</x:f>
      </x:c>
      <x:c r="D191" s="12" t="str">
        <x:f>IF(Leads!O191="","",Leads!O191)</x:f>
      </x:c>
      <x:c r="E191" s="12" t="str">
        <x:f>IF(Leads!AV191="","",Leads!AV191)</x:f>
      </x:c>
      <x:c r="F191" s="12" t="str">
        <x:f>IF(Leads!AX191="","",Leads!AX191)</x:f>
      </x:c>
      <x:c r="G191" s="12" t="str">
        <x:f>IF(Leads!BC191="","",Leads!BC191)</x:f>
      </x:c>
      <x:c r="H191" s="12" t="str">
        <x:f>IF(Leads!BE191="","",Leads!BE191)</x:f>
      </x:c>
      <x:c r="I191" s="12" t="str">
        <x:f>IF(Leads!BG191="","",Leads!BG191)</x:f>
      </x:c>
      <x:c r="J191" s="12" t="str">
        <x:f>IF(Leads!BH191="","",Leads!BH191)</x:f>
      </x:c>
      <x:c r="K191" s="12" t="str">
        <x:f>IF(A191="","","مرحبًا "&amp;C191&amp;CHAR(10)&amp;CHAR(10)&amp;"شكرًا لإتمام تقييم DBD الخاص بعيادة "&amp;B191&amp;"."&amp;CHAR(10)&amp;"نتيجتكم الحالية: "&amp;E191&amp;"%."&amp;CHAR(10)&amp;"أولوية التحسين الأولى: "&amp;F191&amp;"."&amp;IF(J191&lt;&gt;"",CHAR(10)&amp;CHAR(10)&amp;"رابط التقرير: "&amp;J191,"")&amp;CHAR(10)&amp;CHAR(10)&amp;"إذا أحببت، يمكننا مساعدتك في فهم التقرير وتحديد أفضل خطوة تالية لعيادتكم.")</x:f>
      </x:c>
      <x:c r="L191" s="12" t="str">
        <x:f>IF(D191="","",HYPERLINK("https://wa.me/"&amp;REGEXREPLACE(D191,"[^\d]","")&amp;"?text="&amp;ENCODEURL(K191),"واتساب 1"))</x:f>
      </x:c>
      <x:c r="M191" s="12" t="str">
        <x:f>IF(A191="","","مرحبًا "&amp;C191&amp;CHAR(10)&amp;CHAR(10)&amp;"بناءً على نتيجة تقييم عيادة "&amp;B191&amp;"، فإن الترشيح الأقوى لكم الآن هو: "&amp;G191&amp;"."&amp;CHAR(10)&amp;"هذا الخيار يساعدكم في معالجة أكبر فجوة حالية بشكل عملي ومباشر."&amp;IF(J191&lt;&gt;"",CHAR(10)&amp;CHAR(10)&amp;"رابط التقرير: "&amp;J191,"")&amp;CHAR(10)&amp;CHAR(10)&amp;"إذا رغبت، يمكننا توضيح لماذا هذا الكورس هو الأنسب لكم الآن.")</x:f>
      </x:c>
      <x:c r="N191" s="12" t="str">
        <x:f>IF(D191="","",HYPERLINK("https://wa.me/"&amp;REGEXREPLACE(D191,"[^\d]","")&amp;"?text="&amp;ENCODEURL(M191),"واتساب 2"))</x:f>
      </x:c>
      <x:c r="O191" s="12" t="str">
        <x:f>IF(A191="","","مرحبًا "&amp;C191&amp;CHAR(10)&amp;CHAR(10)&amp;"إذا كانت التحديات لديكم تحتاج حلًا أشمل، فالبرنامج الكامل المناسب لكم هو: "&amp;H191&amp;"."&amp;IF(I191&lt;&gt;"",CHAR(10)&amp;"كما يمكنكم أيضًا حجز: "&amp;I191&amp;".","")&amp;IF(J191&lt;&gt;"",CHAR(10)&amp;CHAR(10)&amp;"رابط التقرير: "&amp;J191,"")&amp;CHAR(10)&amp;CHAR(10)&amp;"يسعدنا مساعدتكم في اختيار المسار الأنسب حسب وضع العيادة الحالي.")</x:f>
      </x:c>
      <x:c r="P191" s="12" t="str">
        <x:f>IF(D191="","",HYPERLINK("https://wa.me/"&amp;REGEXREPLACE(D191,"[^\d]","")&amp;"?text="&amp;ENCODEURL(O191),"واتساب 3"))</x:f>
      </x:c>
    </x:row>
    <x:row r="192" ht="15" hidden="0" customHeight="1">
      <x:c r="A192" s="12" t="str">
        <x:f>IF(Leads!A192="","",Leads!A192)</x:f>
      </x:c>
      <x:c r="B192" s="12" t="str">
        <x:f>IF(Leads!F192="","",Leads!F192)</x:f>
      </x:c>
      <x:c r="C192" s="12" t="str">
        <x:f>IF(Leads!G192="","",Leads!G192)</x:f>
      </x:c>
      <x:c r="D192" s="12" t="str">
        <x:f>IF(Leads!O192="","",Leads!O192)</x:f>
      </x:c>
      <x:c r="E192" s="12" t="str">
        <x:f>IF(Leads!AV192="","",Leads!AV192)</x:f>
      </x:c>
      <x:c r="F192" s="12" t="str">
        <x:f>IF(Leads!AX192="","",Leads!AX192)</x:f>
      </x:c>
      <x:c r="G192" s="12" t="str">
        <x:f>IF(Leads!BC192="","",Leads!BC192)</x:f>
      </x:c>
      <x:c r="H192" s="12" t="str">
        <x:f>IF(Leads!BE192="","",Leads!BE192)</x:f>
      </x:c>
      <x:c r="I192" s="12" t="str">
        <x:f>IF(Leads!BG192="","",Leads!BG192)</x:f>
      </x:c>
      <x:c r="J192" s="12" t="str">
        <x:f>IF(Leads!BH192="","",Leads!BH192)</x:f>
      </x:c>
      <x:c r="K192" s="12" t="str">
        <x:f>IF(A192="","","مرحبًا "&amp;C192&amp;CHAR(10)&amp;CHAR(10)&amp;"شكرًا لإتمام تقييم DBD الخاص بعيادة "&amp;B192&amp;"."&amp;CHAR(10)&amp;"نتيجتكم الحالية: "&amp;E192&amp;"%."&amp;CHAR(10)&amp;"أولوية التحسين الأولى: "&amp;F192&amp;"."&amp;IF(J192&lt;&gt;"",CHAR(10)&amp;CHAR(10)&amp;"رابط التقرير: "&amp;J192,"")&amp;CHAR(10)&amp;CHAR(10)&amp;"إذا أحببت، يمكننا مساعدتك في فهم التقرير وتحديد أفضل خطوة تالية لعيادتكم.")</x:f>
      </x:c>
      <x:c r="L192" s="12" t="str">
        <x:f>IF(D192="","",HYPERLINK("https://wa.me/"&amp;REGEXREPLACE(D192,"[^\d]","")&amp;"?text="&amp;ENCODEURL(K192),"واتساب 1"))</x:f>
      </x:c>
      <x:c r="M192" s="12" t="str">
        <x:f>IF(A192="","","مرحبًا "&amp;C192&amp;CHAR(10)&amp;CHAR(10)&amp;"بناءً على نتيجة تقييم عيادة "&amp;B192&amp;"، فإن الترشيح الأقوى لكم الآن هو: "&amp;G192&amp;"."&amp;CHAR(10)&amp;"هذا الخيار يساعدكم في معالجة أكبر فجوة حالية بشكل عملي ومباشر."&amp;IF(J192&lt;&gt;"",CHAR(10)&amp;CHAR(10)&amp;"رابط التقرير: "&amp;J192,"")&amp;CHAR(10)&amp;CHAR(10)&amp;"إذا رغبت، يمكننا توضيح لماذا هذا الكورس هو الأنسب لكم الآن.")</x:f>
      </x:c>
      <x:c r="N192" s="12" t="str">
        <x:f>IF(D192="","",HYPERLINK("https://wa.me/"&amp;REGEXREPLACE(D192,"[^\d]","")&amp;"?text="&amp;ENCODEURL(M192),"واتساب 2"))</x:f>
      </x:c>
      <x:c r="O192" s="12" t="str">
        <x:f>IF(A192="","","مرحبًا "&amp;C192&amp;CHAR(10)&amp;CHAR(10)&amp;"إذا كانت التحديات لديكم تحتاج حلًا أشمل، فالبرنامج الكامل المناسب لكم هو: "&amp;H192&amp;"."&amp;IF(I192&lt;&gt;"",CHAR(10)&amp;"كما يمكنكم أيضًا حجز: "&amp;I192&amp;".","")&amp;IF(J192&lt;&gt;"",CHAR(10)&amp;CHAR(10)&amp;"رابط التقرير: "&amp;J192,"")&amp;CHAR(10)&amp;CHAR(10)&amp;"يسعدنا مساعدتكم في اختيار المسار الأنسب حسب وضع العيادة الحالي.")</x:f>
      </x:c>
      <x:c r="P192" s="12" t="str">
        <x:f>IF(D192="","",HYPERLINK("https://wa.me/"&amp;REGEXREPLACE(D192,"[^\d]","")&amp;"?text="&amp;ENCODEURL(O192),"واتساب 3"))</x:f>
      </x:c>
    </x:row>
    <x:row r="193" ht="15" hidden="0" customHeight="1">
      <x:c r="A193" s="12" t="str">
        <x:f>IF(Leads!A193="","",Leads!A193)</x:f>
      </x:c>
      <x:c r="B193" s="12" t="str">
        <x:f>IF(Leads!F193="","",Leads!F193)</x:f>
      </x:c>
      <x:c r="C193" s="12" t="str">
        <x:f>IF(Leads!G193="","",Leads!G193)</x:f>
      </x:c>
      <x:c r="D193" s="12" t="str">
        <x:f>IF(Leads!O193="","",Leads!O193)</x:f>
      </x:c>
      <x:c r="E193" s="12" t="str">
        <x:f>IF(Leads!AV193="","",Leads!AV193)</x:f>
      </x:c>
      <x:c r="F193" s="12" t="str">
        <x:f>IF(Leads!AX193="","",Leads!AX193)</x:f>
      </x:c>
      <x:c r="G193" s="12" t="str">
        <x:f>IF(Leads!BC193="","",Leads!BC193)</x:f>
      </x:c>
      <x:c r="H193" s="12" t="str">
        <x:f>IF(Leads!BE193="","",Leads!BE193)</x:f>
      </x:c>
      <x:c r="I193" s="12" t="str">
        <x:f>IF(Leads!BG193="","",Leads!BG193)</x:f>
      </x:c>
      <x:c r="J193" s="12" t="str">
        <x:f>IF(Leads!BH193="","",Leads!BH193)</x:f>
      </x:c>
      <x:c r="K193" s="12" t="str">
        <x:f>IF(A193="","","مرحبًا "&amp;C193&amp;CHAR(10)&amp;CHAR(10)&amp;"شكرًا لإتمام تقييم DBD الخاص بعيادة "&amp;B193&amp;"."&amp;CHAR(10)&amp;"نتيجتكم الحالية: "&amp;E193&amp;"%."&amp;CHAR(10)&amp;"أولوية التحسين الأولى: "&amp;F193&amp;"."&amp;IF(J193&lt;&gt;"",CHAR(10)&amp;CHAR(10)&amp;"رابط التقرير: "&amp;J193,"")&amp;CHAR(10)&amp;CHAR(10)&amp;"إذا أحببت، يمكننا مساعدتك في فهم التقرير وتحديد أفضل خطوة تالية لعيادتكم.")</x:f>
      </x:c>
      <x:c r="L193" s="12" t="str">
        <x:f>IF(D193="","",HYPERLINK("https://wa.me/"&amp;REGEXREPLACE(D193,"[^\d]","")&amp;"?text="&amp;ENCODEURL(K193),"واتساب 1"))</x:f>
      </x:c>
      <x:c r="M193" s="12" t="str">
        <x:f>IF(A193="","","مرحبًا "&amp;C193&amp;CHAR(10)&amp;CHAR(10)&amp;"بناءً على نتيجة تقييم عيادة "&amp;B193&amp;"، فإن الترشيح الأقوى لكم الآن هو: "&amp;G193&amp;"."&amp;CHAR(10)&amp;"هذا الخيار يساعدكم في معالجة أكبر فجوة حالية بشكل عملي ومباشر."&amp;IF(J193&lt;&gt;"",CHAR(10)&amp;CHAR(10)&amp;"رابط التقرير: "&amp;J193,"")&amp;CHAR(10)&amp;CHAR(10)&amp;"إذا رغبت، يمكننا توضيح لماذا هذا الكورس هو الأنسب لكم الآن.")</x:f>
      </x:c>
      <x:c r="N193" s="12" t="str">
        <x:f>IF(D193="","",HYPERLINK("https://wa.me/"&amp;REGEXREPLACE(D193,"[^\d]","")&amp;"?text="&amp;ENCODEURL(M193),"واتساب 2"))</x:f>
      </x:c>
      <x:c r="O193" s="12" t="str">
        <x:f>IF(A193="","","مرحبًا "&amp;C193&amp;CHAR(10)&amp;CHAR(10)&amp;"إذا كانت التحديات لديكم تحتاج حلًا أشمل، فالبرنامج الكامل المناسب لكم هو: "&amp;H193&amp;"."&amp;IF(I193&lt;&gt;"",CHAR(10)&amp;"كما يمكنكم أيضًا حجز: "&amp;I193&amp;".","")&amp;IF(J193&lt;&gt;"",CHAR(10)&amp;CHAR(10)&amp;"رابط التقرير: "&amp;J193,"")&amp;CHAR(10)&amp;CHAR(10)&amp;"يسعدنا مساعدتكم في اختيار المسار الأنسب حسب وضع العيادة الحالي.")</x:f>
      </x:c>
      <x:c r="P193" s="12" t="str">
        <x:f>IF(D193="","",HYPERLINK("https://wa.me/"&amp;REGEXREPLACE(D193,"[^\d]","")&amp;"?text="&amp;ENCODEURL(O193),"واتساب 3"))</x:f>
      </x:c>
    </x:row>
    <x:row r="194" ht="15" hidden="0" customHeight="1">
      <x:c r="A194" s="12" t="str">
        <x:f>IF(Leads!A194="","",Leads!A194)</x:f>
      </x:c>
      <x:c r="B194" s="12" t="str">
        <x:f>IF(Leads!F194="","",Leads!F194)</x:f>
      </x:c>
      <x:c r="C194" s="12" t="str">
        <x:f>IF(Leads!G194="","",Leads!G194)</x:f>
      </x:c>
      <x:c r="D194" s="12" t="str">
        <x:f>IF(Leads!O194="","",Leads!O194)</x:f>
      </x:c>
      <x:c r="E194" s="12" t="str">
        <x:f>IF(Leads!AV194="","",Leads!AV194)</x:f>
      </x:c>
      <x:c r="F194" s="12" t="str">
        <x:f>IF(Leads!AX194="","",Leads!AX194)</x:f>
      </x:c>
      <x:c r="G194" s="12" t="str">
        <x:f>IF(Leads!BC194="","",Leads!BC194)</x:f>
      </x:c>
      <x:c r="H194" s="12" t="str">
        <x:f>IF(Leads!BE194="","",Leads!BE194)</x:f>
      </x:c>
      <x:c r="I194" s="12" t="str">
        <x:f>IF(Leads!BG194="","",Leads!BG194)</x:f>
      </x:c>
      <x:c r="J194" s="12" t="str">
        <x:f>IF(Leads!BH194="","",Leads!BH194)</x:f>
      </x:c>
      <x:c r="K194" s="12" t="str">
        <x:f>IF(A194="","","مرحبًا "&amp;C194&amp;CHAR(10)&amp;CHAR(10)&amp;"شكرًا لإتمام تقييم DBD الخاص بعيادة "&amp;B194&amp;"."&amp;CHAR(10)&amp;"نتيجتكم الحالية: "&amp;E194&amp;"%."&amp;CHAR(10)&amp;"أولوية التحسين الأولى: "&amp;F194&amp;"."&amp;IF(J194&lt;&gt;"",CHAR(10)&amp;CHAR(10)&amp;"رابط التقرير: "&amp;J194,"")&amp;CHAR(10)&amp;CHAR(10)&amp;"إذا أحببت، يمكننا مساعدتك في فهم التقرير وتحديد أفضل خطوة تالية لعيادتكم.")</x:f>
      </x:c>
      <x:c r="L194" s="12" t="str">
        <x:f>IF(D194="","",HYPERLINK("https://wa.me/"&amp;REGEXREPLACE(D194,"[^\d]","")&amp;"?text="&amp;ENCODEURL(K194),"واتساب 1"))</x:f>
      </x:c>
      <x:c r="M194" s="12" t="str">
        <x:f>IF(A194="","","مرحبًا "&amp;C194&amp;CHAR(10)&amp;CHAR(10)&amp;"بناءً على نتيجة تقييم عيادة "&amp;B194&amp;"، فإن الترشيح الأقوى لكم الآن هو: "&amp;G194&amp;"."&amp;CHAR(10)&amp;"هذا الخيار يساعدكم في معالجة أكبر فجوة حالية بشكل عملي ومباشر."&amp;IF(J194&lt;&gt;"",CHAR(10)&amp;CHAR(10)&amp;"رابط التقرير: "&amp;J194,"")&amp;CHAR(10)&amp;CHAR(10)&amp;"إذا رغبت، يمكننا توضيح لماذا هذا الكورس هو الأنسب لكم الآن.")</x:f>
      </x:c>
      <x:c r="N194" s="12" t="str">
        <x:f>IF(D194="","",HYPERLINK("https://wa.me/"&amp;REGEXREPLACE(D194,"[^\d]","")&amp;"?text="&amp;ENCODEURL(M194),"واتساب 2"))</x:f>
      </x:c>
      <x:c r="O194" s="12" t="str">
        <x:f>IF(A194="","","مرحبًا "&amp;C194&amp;CHAR(10)&amp;CHAR(10)&amp;"إذا كانت التحديات لديكم تحتاج حلًا أشمل، فالبرنامج الكامل المناسب لكم هو: "&amp;H194&amp;"."&amp;IF(I194&lt;&gt;"",CHAR(10)&amp;"كما يمكنكم أيضًا حجز: "&amp;I194&amp;".","")&amp;IF(J194&lt;&gt;"",CHAR(10)&amp;CHAR(10)&amp;"رابط التقرير: "&amp;J194,"")&amp;CHAR(10)&amp;CHAR(10)&amp;"يسعدنا مساعدتكم في اختيار المسار الأنسب حسب وضع العيادة الحالي.")</x:f>
      </x:c>
      <x:c r="P194" s="12" t="str">
        <x:f>IF(D194="","",HYPERLINK("https://wa.me/"&amp;REGEXREPLACE(D194,"[^\d]","")&amp;"?text="&amp;ENCODEURL(O194),"واتساب 3"))</x:f>
      </x:c>
    </x:row>
    <x:row r="195" ht="15" hidden="0" customHeight="1">
      <x:c r="A195" s="12" t="str">
        <x:f>IF(Leads!A195="","",Leads!A195)</x:f>
      </x:c>
      <x:c r="B195" s="12" t="str">
        <x:f>IF(Leads!F195="","",Leads!F195)</x:f>
      </x:c>
      <x:c r="C195" s="12" t="str">
        <x:f>IF(Leads!G195="","",Leads!G195)</x:f>
      </x:c>
      <x:c r="D195" s="12" t="str">
        <x:f>IF(Leads!O195="","",Leads!O195)</x:f>
      </x:c>
      <x:c r="E195" s="12" t="str">
        <x:f>IF(Leads!AV195="","",Leads!AV195)</x:f>
      </x:c>
      <x:c r="F195" s="12" t="str">
        <x:f>IF(Leads!AX195="","",Leads!AX195)</x:f>
      </x:c>
      <x:c r="G195" s="12" t="str">
        <x:f>IF(Leads!BC195="","",Leads!BC195)</x:f>
      </x:c>
      <x:c r="H195" s="12" t="str">
        <x:f>IF(Leads!BE195="","",Leads!BE195)</x:f>
      </x:c>
      <x:c r="I195" s="12" t="str">
        <x:f>IF(Leads!BG195="","",Leads!BG195)</x:f>
      </x:c>
      <x:c r="J195" s="12" t="str">
        <x:f>IF(Leads!BH195="","",Leads!BH195)</x:f>
      </x:c>
      <x:c r="K195" s="12" t="str">
        <x:f>IF(A195="","","مرحبًا "&amp;C195&amp;CHAR(10)&amp;CHAR(10)&amp;"شكرًا لإتمام تقييم DBD الخاص بعيادة "&amp;B195&amp;"."&amp;CHAR(10)&amp;"نتيجتكم الحالية: "&amp;E195&amp;"%."&amp;CHAR(10)&amp;"أولوية التحسين الأولى: "&amp;F195&amp;"."&amp;IF(J195&lt;&gt;"",CHAR(10)&amp;CHAR(10)&amp;"رابط التقرير: "&amp;J195,"")&amp;CHAR(10)&amp;CHAR(10)&amp;"إذا أحببت، يمكننا مساعدتك في فهم التقرير وتحديد أفضل خطوة تالية لعيادتكم.")</x:f>
      </x:c>
      <x:c r="L195" s="12" t="str">
        <x:f>IF(D195="","",HYPERLINK("https://wa.me/"&amp;REGEXREPLACE(D195,"[^\d]","")&amp;"?text="&amp;ENCODEURL(K195),"واتساب 1"))</x:f>
      </x:c>
      <x:c r="M195" s="12" t="str">
        <x:f>IF(A195="","","مرحبًا "&amp;C195&amp;CHAR(10)&amp;CHAR(10)&amp;"بناءً على نتيجة تقييم عيادة "&amp;B195&amp;"، فإن الترشيح الأقوى لكم الآن هو: "&amp;G195&amp;"."&amp;CHAR(10)&amp;"هذا الخيار يساعدكم في معالجة أكبر فجوة حالية بشكل عملي ومباشر."&amp;IF(J195&lt;&gt;"",CHAR(10)&amp;CHAR(10)&amp;"رابط التقرير: "&amp;J195,"")&amp;CHAR(10)&amp;CHAR(10)&amp;"إذا رغبت، يمكننا توضيح لماذا هذا الكورس هو الأنسب لكم الآن.")</x:f>
      </x:c>
      <x:c r="N195" s="12" t="str">
        <x:f>IF(D195="","",HYPERLINK("https://wa.me/"&amp;REGEXREPLACE(D195,"[^\d]","")&amp;"?text="&amp;ENCODEURL(M195),"واتساب 2"))</x:f>
      </x:c>
      <x:c r="O195" s="12" t="str">
        <x:f>IF(A195="","","مرحبًا "&amp;C195&amp;CHAR(10)&amp;CHAR(10)&amp;"إذا كانت التحديات لديكم تحتاج حلًا أشمل، فالبرنامج الكامل المناسب لكم هو: "&amp;H195&amp;"."&amp;IF(I195&lt;&gt;"",CHAR(10)&amp;"كما يمكنكم أيضًا حجز: "&amp;I195&amp;".","")&amp;IF(J195&lt;&gt;"",CHAR(10)&amp;CHAR(10)&amp;"رابط التقرير: "&amp;J195,"")&amp;CHAR(10)&amp;CHAR(10)&amp;"يسعدنا مساعدتكم في اختيار المسار الأنسب حسب وضع العيادة الحالي.")</x:f>
      </x:c>
      <x:c r="P195" s="12" t="str">
        <x:f>IF(D195="","",HYPERLINK("https://wa.me/"&amp;REGEXREPLACE(D195,"[^\d]","")&amp;"?text="&amp;ENCODEURL(O195),"واتساب 3"))</x:f>
      </x:c>
    </x:row>
    <x:row r="196" ht="15" hidden="0" customHeight="1">
      <x:c r="A196" s="12" t="str">
        <x:f>IF(Leads!A196="","",Leads!A196)</x:f>
      </x:c>
      <x:c r="B196" s="12" t="str">
        <x:f>IF(Leads!F196="","",Leads!F196)</x:f>
      </x:c>
      <x:c r="C196" s="12" t="str">
        <x:f>IF(Leads!G196="","",Leads!G196)</x:f>
      </x:c>
      <x:c r="D196" s="12" t="str">
        <x:f>IF(Leads!O196="","",Leads!O196)</x:f>
      </x:c>
      <x:c r="E196" s="12" t="str">
        <x:f>IF(Leads!AV196="","",Leads!AV196)</x:f>
      </x:c>
      <x:c r="F196" s="12" t="str">
        <x:f>IF(Leads!AX196="","",Leads!AX196)</x:f>
      </x:c>
      <x:c r="G196" s="12" t="str">
        <x:f>IF(Leads!BC196="","",Leads!BC196)</x:f>
      </x:c>
      <x:c r="H196" s="12" t="str">
        <x:f>IF(Leads!BE196="","",Leads!BE196)</x:f>
      </x:c>
      <x:c r="I196" s="12" t="str">
        <x:f>IF(Leads!BG196="","",Leads!BG196)</x:f>
      </x:c>
      <x:c r="J196" s="12" t="str">
        <x:f>IF(Leads!BH196="","",Leads!BH196)</x:f>
      </x:c>
      <x:c r="K196" s="12" t="str">
        <x:f>IF(A196="","","مرحبًا "&amp;C196&amp;CHAR(10)&amp;CHAR(10)&amp;"شكرًا لإتمام تقييم DBD الخاص بعيادة "&amp;B196&amp;"."&amp;CHAR(10)&amp;"نتيجتكم الحالية: "&amp;E196&amp;"%."&amp;CHAR(10)&amp;"أولوية التحسين الأولى: "&amp;F196&amp;"."&amp;IF(J196&lt;&gt;"",CHAR(10)&amp;CHAR(10)&amp;"رابط التقرير: "&amp;J196,"")&amp;CHAR(10)&amp;CHAR(10)&amp;"إذا أحببت، يمكننا مساعدتك في فهم التقرير وتحديد أفضل خطوة تالية لعيادتكم.")</x:f>
      </x:c>
      <x:c r="L196" s="12" t="str">
        <x:f>IF(D196="","",HYPERLINK("https://wa.me/"&amp;REGEXREPLACE(D196,"[^\d]","")&amp;"?text="&amp;ENCODEURL(K196),"واتساب 1"))</x:f>
      </x:c>
      <x:c r="M196" s="12" t="str">
        <x:f>IF(A196="","","مرحبًا "&amp;C196&amp;CHAR(10)&amp;CHAR(10)&amp;"بناءً على نتيجة تقييم عيادة "&amp;B196&amp;"، فإن الترشيح الأقوى لكم الآن هو: "&amp;G196&amp;"."&amp;CHAR(10)&amp;"هذا الخيار يساعدكم في معالجة أكبر فجوة حالية بشكل عملي ومباشر."&amp;IF(J196&lt;&gt;"",CHAR(10)&amp;CHAR(10)&amp;"رابط التقرير: "&amp;J196,"")&amp;CHAR(10)&amp;CHAR(10)&amp;"إذا رغبت، يمكننا توضيح لماذا هذا الكورس هو الأنسب لكم الآن.")</x:f>
      </x:c>
      <x:c r="N196" s="12" t="str">
        <x:f>IF(D196="","",HYPERLINK("https://wa.me/"&amp;REGEXREPLACE(D196,"[^\d]","")&amp;"?text="&amp;ENCODEURL(M196),"واتساب 2"))</x:f>
      </x:c>
      <x:c r="O196" s="12" t="str">
        <x:f>IF(A196="","","مرحبًا "&amp;C196&amp;CHAR(10)&amp;CHAR(10)&amp;"إذا كانت التحديات لديكم تحتاج حلًا أشمل، فالبرنامج الكامل المناسب لكم هو: "&amp;H196&amp;"."&amp;IF(I196&lt;&gt;"",CHAR(10)&amp;"كما يمكنكم أيضًا حجز: "&amp;I196&amp;".","")&amp;IF(J196&lt;&gt;"",CHAR(10)&amp;CHAR(10)&amp;"رابط التقرير: "&amp;J196,"")&amp;CHAR(10)&amp;CHAR(10)&amp;"يسعدنا مساعدتكم في اختيار المسار الأنسب حسب وضع العيادة الحالي.")</x:f>
      </x:c>
      <x:c r="P196" s="12" t="str">
        <x:f>IF(D196="","",HYPERLINK("https://wa.me/"&amp;REGEXREPLACE(D196,"[^\d]","")&amp;"?text="&amp;ENCODEURL(O196),"واتساب 3"))</x:f>
      </x:c>
    </x:row>
    <x:row r="197" ht="15" hidden="0" customHeight="1">
      <x:c r="A197" s="12" t="str">
        <x:f>IF(Leads!A197="","",Leads!A197)</x:f>
      </x:c>
      <x:c r="B197" s="12" t="str">
        <x:f>IF(Leads!F197="","",Leads!F197)</x:f>
      </x:c>
      <x:c r="C197" s="12" t="str">
        <x:f>IF(Leads!G197="","",Leads!G197)</x:f>
      </x:c>
      <x:c r="D197" s="12" t="str">
        <x:f>IF(Leads!O197="","",Leads!O197)</x:f>
      </x:c>
      <x:c r="E197" s="12" t="str">
        <x:f>IF(Leads!AV197="","",Leads!AV197)</x:f>
      </x:c>
      <x:c r="F197" s="12" t="str">
        <x:f>IF(Leads!AX197="","",Leads!AX197)</x:f>
      </x:c>
      <x:c r="G197" s="12" t="str">
        <x:f>IF(Leads!BC197="","",Leads!BC197)</x:f>
      </x:c>
      <x:c r="H197" s="12" t="str">
        <x:f>IF(Leads!BE197="","",Leads!BE197)</x:f>
      </x:c>
      <x:c r="I197" s="12" t="str">
        <x:f>IF(Leads!BG197="","",Leads!BG197)</x:f>
      </x:c>
      <x:c r="J197" s="12" t="str">
        <x:f>IF(Leads!BH197="","",Leads!BH197)</x:f>
      </x:c>
      <x:c r="K197" s="12" t="str">
        <x:f>IF(A197="","","مرحبًا "&amp;C197&amp;CHAR(10)&amp;CHAR(10)&amp;"شكرًا لإتمام تقييم DBD الخاص بعيادة "&amp;B197&amp;"."&amp;CHAR(10)&amp;"نتيجتكم الحالية: "&amp;E197&amp;"%."&amp;CHAR(10)&amp;"أولوية التحسين الأولى: "&amp;F197&amp;"."&amp;IF(J197&lt;&gt;"",CHAR(10)&amp;CHAR(10)&amp;"رابط التقرير: "&amp;J197,"")&amp;CHAR(10)&amp;CHAR(10)&amp;"إذا أحببت، يمكننا مساعدتك في فهم التقرير وتحديد أفضل خطوة تالية لعيادتكم.")</x:f>
      </x:c>
      <x:c r="L197" s="12" t="str">
        <x:f>IF(D197="","",HYPERLINK("https://wa.me/"&amp;REGEXREPLACE(D197,"[^\d]","")&amp;"?text="&amp;ENCODEURL(K197),"واتساب 1"))</x:f>
      </x:c>
      <x:c r="M197" s="12" t="str">
        <x:f>IF(A197="","","مرحبًا "&amp;C197&amp;CHAR(10)&amp;CHAR(10)&amp;"بناءً على نتيجة تقييم عيادة "&amp;B197&amp;"، فإن الترشيح الأقوى لكم الآن هو: "&amp;G197&amp;"."&amp;CHAR(10)&amp;"هذا الخيار يساعدكم في معالجة أكبر فجوة حالية بشكل عملي ومباشر."&amp;IF(J197&lt;&gt;"",CHAR(10)&amp;CHAR(10)&amp;"رابط التقرير: "&amp;J197,"")&amp;CHAR(10)&amp;CHAR(10)&amp;"إذا رغبت، يمكننا توضيح لماذا هذا الكورس هو الأنسب لكم الآن.")</x:f>
      </x:c>
      <x:c r="N197" s="12" t="str">
        <x:f>IF(D197="","",HYPERLINK("https://wa.me/"&amp;REGEXREPLACE(D197,"[^\d]","")&amp;"?text="&amp;ENCODEURL(M197),"واتساب 2"))</x:f>
      </x:c>
      <x:c r="O197" s="12" t="str">
        <x:f>IF(A197="","","مرحبًا "&amp;C197&amp;CHAR(10)&amp;CHAR(10)&amp;"إذا كانت التحديات لديكم تحتاج حلًا أشمل، فالبرنامج الكامل المناسب لكم هو: "&amp;H197&amp;"."&amp;IF(I197&lt;&gt;"",CHAR(10)&amp;"كما يمكنكم أيضًا حجز: "&amp;I197&amp;".","")&amp;IF(J197&lt;&gt;"",CHAR(10)&amp;CHAR(10)&amp;"رابط التقرير: "&amp;J197,"")&amp;CHAR(10)&amp;CHAR(10)&amp;"يسعدنا مساعدتكم في اختيار المسار الأنسب حسب وضع العيادة الحالي.")</x:f>
      </x:c>
      <x:c r="P197" s="12" t="str">
        <x:f>IF(D197="","",HYPERLINK("https://wa.me/"&amp;REGEXREPLACE(D197,"[^\d]","")&amp;"?text="&amp;ENCODEURL(O197),"واتساب 3"))</x:f>
      </x:c>
    </x:row>
    <x:row r="198" ht="15" hidden="0" customHeight="1">
      <x:c r="A198" s="12" t="str">
        <x:f>IF(Leads!A198="","",Leads!A198)</x:f>
      </x:c>
      <x:c r="B198" s="12" t="str">
        <x:f>IF(Leads!F198="","",Leads!F198)</x:f>
      </x:c>
      <x:c r="C198" s="12" t="str">
        <x:f>IF(Leads!G198="","",Leads!G198)</x:f>
      </x:c>
      <x:c r="D198" s="12" t="str">
        <x:f>IF(Leads!O198="","",Leads!O198)</x:f>
      </x:c>
      <x:c r="E198" s="12" t="str">
        <x:f>IF(Leads!AV198="","",Leads!AV198)</x:f>
      </x:c>
      <x:c r="F198" s="12" t="str">
        <x:f>IF(Leads!AX198="","",Leads!AX198)</x:f>
      </x:c>
      <x:c r="G198" s="12" t="str">
        <x:f>IF(Leads!BC198="","",Leads!BC198)</x:f>
      </x:c>
      <x:c r="H198" s="12" t="str">
        <x:f>IF(Leads!BE198="","",Leads!BE198)</x:f>
      </x:c>
      <x:c r="I198" s="12" t="str">
        <x:f>IF(Leads!BG198="","",Leads!BG198)</x:f>
      </x:c>
      <x:c r="J198" s="12" t="str">
        <x:f>IF(Leads!BH198="","",Leads!BH198)</x:f>
      </x:c>
      <x:c r="K198" s="12" t="str">
        <x:f>IF(A198="","","مرحبًا "&amp;C198&amp;CHAR(10)&amp;CHAR(10)&amp;"شكرًا لإتمام تقييم DBD الخاص بعيادة "&amp;B198&amp;"."&amp;CHAR(10)&amp;"نتيجتكم الحالية: "&amp;E198&amp;"%."&amp;CHAR(10)&amp;"أولوية التحسين الأولى: "&amp;F198&amp;"."&amp;IF(J198&lt;&gt;"",CHAR(10)&amp;CHAR(10)&amp;"رابط التقرير: "&amp;J198,"")&amp;CHAR(10)&amp;CHAR(10)&amp;"إذا أحببت، يمكننا مساعدتك في فهم التقرير وتحديد أفضل خطوة تالية لعيادتكم.")</x:f>
      </x:c>
      <x:c r="L198" s="12" t="str">
        <x:f>IF(D198="","",HYPERLINK("https://wa.me/"&amp;REGEXREPLACE(D198,"[^\d]","")&amp;"?text="&amp;ENCODEURL(K198),"واتساب 1"))</x:f>
      </x:c>
      <x:c r="M198" s="12" t="str">
        <x:f>IF(A198="","","مرحبًا "&amp;C198&amp;CHAR(10)&amp;CHAR(10)&amp;"بناءً على نتيجة تقييم عيادة "&amp;B198&amp;"، فإن الترشيح الأقوى لكم الآن هو: "&amp;G198&amp;"."&amp;CHAR(10)&amp;"هذا الخيار يساعدكم في معالجة أكبر فجوة حالية بشكل عملي ومباشر."&amp;IF(J198&lt;&gt;"",CHAR(10)&amp;CHAR(10)&amp;"رابط التقرير: "&amp;J198,"")&amp;CHAR(10)&amp;CHAR(10)&amp;"إذا رغبت، يمكننا توضيح لماذا هذا الكورس هو الأنسب لكم الآن.")</x:f>
      </x:c>
      <x:c r="N198" s="12" t="str">
        <x:f>IF(D198="","",HYPERLINK("https://wa.me/"&amp;REGEXREPLACE(D198,"[^\d]","")&amp;"?text="&amp;ENCODEURL(M198),"واتساب 2"))</x:f>
      </x:c>
      <x:c r="O198" s="12" t="str">
        <x:f>IF(A198="","","مرحبًا "&amp;C198&amp;CHAR(10)&amp;CHAR(10)&amp;"إذا كانت التحديات لديكم تحتاج حلًا أشمل، فالبرنامج الكامل المناسب لكم هو: "&amp;H198&amp;"."&amp;IF(I198&lt;&gt;"",CHAR(10)&amp;"كما يمكنكم أيضًا حجز: "&amp;I198&amp;".","")&amp;IF(J198&lt;&gt;"",CHAR(10)&amp;CHAR(10)&amp;"رابط التقرير: "&amp;J198,"")&amp;CHAR(10)&amp;CHAR(10)&amp;"يسعدنا مساعدتكم في اختيار المسار الأنسب حسب وضع العيادة الحالي.")</x:f>
      </x:c>
      <x:c r="P198" s="12" t="str">
        <x:f>IF(D198="","",HYPERLINK("https://wa.me/"&amp;REGEXREPLACE(D198,"[^\d]","")&amp;"?text="&amp;ENCODEURL(O198),"واتساب 3"))</x:f>
      </x:c>
    </x:row>
    <x:row r="199" ht="15" hidden="0" customHeight="1">
      <x:c r="A199" s="12" t="str">
        <x:f>IF(Leads!A199="","",Leads!A199)</x:f>
      </x:c>
      <x:c r="B199" s="12" t="str">
        <x:f>IF(Leads!F199="","",Leads!F199)</x:f>
      </x:c>
      <x:c r="C199" s="12" t="str">
        <x:f>IF(Leads!G199="","",Leads!G199)</x:f>
      </x:c>
      <x:c r="D199" s="12" t="str">
        <x:f>IF(Leads!O199="","",Leads!O199)</x:f>
      </x:c>
      <x:c r="E199" s="12" t="str">
        <x:f>IF(Leads!AV199="","",Leads!AV199)</x:f>
      </x:c>
      <x:c r="F199" s="12" t="str">
        <x:f>IF(Leads!AX199="","",Leads!AX199)</x:f>
      </x:c>
      <x:c r="G199" s="12" t="str">
        <x:f>IF(Leads!BC199="","",Leads!BC199)</x:f>
      </x:c>
      <x:c r="H199" s="12" t="str">
        <x:f>IF(Leads!BE199="","",Leads!BE199)</x:f>
      </x:c>
      <x:c r="I199" s="12" t="str">
        <x:f>IF(Leads!BG199="","",Leads!BG199)</x:f>
      </x:c>
      <x:c r="J199" s="12" t="str">
        <x:f>IF(Leads!BH199="","",Leads!BH199)</x:f>
      </x:c>
      <x:c r="K199" s="12" t="str">
        <x:f>IF(A199="","","مرحبًا "&amp;C199&amp;CHAR(10)&amp;CHAR(10)&amp;"شكرًا لإتمام تقييم DBD الخاص بعيادة "&amp;B199&amp;"."&amp;CHAR(10)&amp;"نتيجتكم الحالية: "&amp;E199&amp;"%."&amp;CHAR(10)&amp;"أولوية التحسين الأولى: "&amp;F199&amp;"."&amp;IF(J199&lt;&gt;"",CHAR(10)&amp;CHAR(10)&amp;"رابط التقرير: "&amp;J199,"")&amp;CHAR(10)&amp;CHAR(10)&amp;"إذا أحببت، يمكننا مساعدتك في فهم التقرير وتحديد أفضل خطوة تالية لعيادتكم.")</x:f>
      </x:c>
      <x:c r="L199" s="12" t="str">
        <x:f>IF(D199="","",HYPERLINK("https://wa.me/"&amp;REGEXREPLACE(D199,"[^\d]","")&amp;"?text="&amp;ENCODEURL(K199),"واتساب 1"))</x:f>
      </x:c>
      <x:c r="M199" s="12" t="str">
        <x:f>IF(A199="","","مرحبًا "&amp;C199&amp;CHAR(10)&amp;CHAR(10)&amp;"بناءً على نتيجة تقييم عيادة "&amp;B199&amp;"، فإن الترشيح الأقوى لكم الآن هو: "&amp;G199&amp;"."&amp;CHAR(10)&amp;"هذا الخيار يساعدكم في معالجة أكبر فجوة حالية بشكل عملي ومباشر."&amp;IF(J199&lt;&gt;"",CHAR(10)&amp;CHAR(10)&amp;"رابط التقرير: "&amp;J199,"")&amp;CHAR(10)&amp;CHAR(10)&amp;"إذا رغبت، يمكننا توضيح لماذا هذا الكورس هو الأنسب لكم الآن.")</x:f>
      </x:c>
      <x:c r="N199" s="12" t="str">
        <x:f>IF(D199="","",HYPERLINK("https://wa.me/"&amp;REGEXREPLACE(D199,"[^\d]","")&amp;"?text="&amp;ENCODEURL(M199),"واتساب 2"))</x:f>
      </x:c>
      <x:c r="O199" s="12" t="str">
        <x:f>IF(A199="","","مرحبًا "&amp;C199&amp;CHAR(10)&amp;CHAR(10)&amp;"إذا كانت التحديات لديكم تحتاج حلًا أشمل، فالبرنامج الكامل المناسب لكم هو: "&amp;H199&amp;"."&amp;IF(I199&lt;&gt;"",CHAR(10)&amp;"كما يمكنكم أيضًا حجز: "&amp;I199&amp;".","")&amp;IF(J199&lt;&gt;"",CHAR(10)&amp;CHAR(10)&amp;"رابط التقرير: "&amp;J199,"")&amp;CHAR(10)&amp;CHAR(10)&amp;"يسعدنا مساعدتكم في اختيار المسار الأنسب حسب وضع العيادة الحالي.")</x:f>
      </x:c>
      <x:c r="P199" s="12" t="str">
        <x:f>IF(D199="","",HYPERLINK("https://wa.me/"&amp;REGEXREPLACE(D199,"[^\d]","")&amp;"?text="&amp;ENCODEURL(O199),"واتساب 3"))</x:f>
      </x:c>
    </x:row>
    <x:row r="200" ht="15" hidden="0" customHeight="1">
      <x:c r="A200" s="12" t="str">
        <x:f>IF(Leads!A200="","",Leads!A200)</x:f>
      </x:c>
      <x:c r="B200" s="12" t="str">
        <x:f>IF(Leads!F200="","",Leads!F200)</x:f>
      </x:c>
      <x:c r="C200" s="12" t="str">
        <x:f>IF(Leads!G200="","",Leads!G200)</x:f>
      </x:c>
      <x:c r="D200" s="12" t="str">
        <x:f>IF(Leads!O200="","",Leads!O200)</x:f>
      </x:c>
      <x:c r="E200" s="12" t="str">
        <x:f>IF(Leads!AV200="","",Leads!AV200)</x:f>
      </x:c>
      <x:c r="F200" s="12" t="str">
        <x:f>IF(Leads!AX200="","",Leads!AX200)</x:f>
      </x:c>
      <x:c r="G200" s="12" t="str">
        <x:f>IF(Leads!BC200="","",Leads!BC200)</x:f>
      </x:c>
      <x:c r="H200" s="12" t="str">
        <x:f>IF(Leads!BE200="","",Leads!BE200)</x:f>
      </x:c>
      <x:c r="I200" s="12" t="str">
        <x:f>IF(Leads!BG200="","",Leads!BG200)</x:f>
      </x:c>
      <x:c r="J200" s="12" t="str">
        <x:f>IF(Leads!BH200="","",Leads!BH200)</x:f>
      </x:c>
      <x:c r="K200" s="12" t="str">
        <x:f>IF(A200="","","مرحبًا "&amp;C200&amp;CHAR(10)&amp;CHAR(10)&amp;"شكرًا لإتمام تقييم DBD الخاص بعيادة "&amp;B200&amp;"."&amp;CHAR(10)&amp;"نتيجتكم الحالية: "&amp;E200&amp;"%."&amp;CHAR(10)&amp;"أولوية التحسين الأولى: "&amp;F200&amp;"."&amp;IF(J200&lt;&gt;"",CHAR(10)&amp;CHAR(10)&amp;"رابط التقرير: "&amp;J200,"")&amp;CHAR(10)&amp;CHAR(10)&amp;"إذا أحببت، يمكننا مساعدتك في فهم التقرير وتحديد أفضل خطوة تالية لعيادتكم.")</x:f>
      </x:c>
      <x:c r="L200" s="12" t="str">
        <x:f>IF(D200="","",HYPERLINK("https://wa.me/"&amp;REGEXREPLACE(D200,"[^\d]","")&amp;"?text="&amp;ENCODEURL(K200),"واتساب 1"))</x:f>
      </x:c>
      <x:c r="M200" s="12" t="str">
        <x:f>IF(A200="","","مرحبًا "&amp;C200&amp;CHAR(10)&amp;CHAR(10)&amp;"بناءً على نتيجة تقييم عيادة "&amp;B200&amp;"، فإن الترشيح الأقوى لكم الآن هو: "&amp;G200&amp;"."&amp;CHAR(10)&amp;"هذا الخيار يساعدكم في معالجة أكبر فجوة حالية بشكل عملي ومباشر."&amp;IF(J200&lt;&gt;"",CHAR(10)&amp;CHAR(10)&amp;"رابط التقرير: "&amp;J200,"")&amp;CHAR(10)&amp;CHAR(10)&amp;"إذا رغبت، يمكننا توضيح لماذا هذا الكورس هو الأنسب لكم الآن.")</x:f>
      </x:c>
      <x:c r="N200" s="12" t="str">
        <x:f>IF(D200="","",HYPERLINK("https://wa.me/"&amp;REGEXREPLACE(D200,"[^\d]","")&amp;"?text="&amp;ENCODEURL(M200),"واتساب 2"))</x:f>
      </x:c>
      <x:c r="O200" s="12" t="str">
        <x:f>IF(A200="","","مرحبًا "&amp;C200&amp;CHAR(10)&amp;CHAR(10)&amp;"إذا كانت التحديات لديكم تحتاج حلًا أشمل، فالبرنامج الكامل المناسب لكم هو: "&amp;H200&amp;"."&amp;IF(I200&lt;&gt;"",CHAR(10)&amp;"كما يمكنكم أيضًا حجز: "&amp;I200&amp;".","")&amp;IF(J200&lt;&gt;"",CHAR(10)&amp;CHAR(10)&amp;"رابط التقرير: "&amp;J200,"")&amp;CHAR(10)&amp;CHAR(10)&amp;"يسعدنا مساعدتكم في اختيار المسار الأنسب حسب وضع العيادة الحالي.")</x:f>
      </x:c>
      <x:c r="P200" s="12" t="str">
        <x:f>IF(D200="","",HYPERLINK("https://wa.me/"&amp;REGEXREPLACE(D200,"[^\d]","")&amp;"?text="&amp;ENCODEURL(O200),"واتساب 3"))</x:f>
      </x:c>
    </x:row>
    <x:row r="201" ht="15" hidden="0" customHeight="1">
      <x:c r="A201" s="12" t="str">
        <x:f>IF(Leads!A201="","",Leads!A201)</x:f>
      </x:c>
      <x:c r="B201" s="12" t="str">
        <x:f>IF(Leads!F201="","",Leads!F201)</x:f>
      </x:c>
      <x:c r="C201" s="12" t="str">
        <x:f>IF(Leads!G201="","",Leads!G201)</x:f>
      </x:c>
      <x:c r="D201" s="12" t="str">
        <x:f>IF(Leads!O201="","",Leads!O201)</x:f>
      </x:c>
      <x:c r="E201" s="12" t="str">
        <x:f>IF(Leads!AV201="","",Leads!AV201)</x:f>
      </x:c>
      <x:c r="F201" s="12" t="str">
        <x:f>IF(Leads!AX201="","",Leads!AX201)</x:f>
      </x:c>
      <x:c r="G201" s="12" t="str">
        <x:f>IF(Leads!BC201="","",Leads!BC201)</x:f>
      </x:c>
      <x:c r="H201" s="12" t="str">
        <x:f>IF(Leads!BE201="","",Leads!BE201)</x:f>
      </x:c>
      <x:c r="I201" s="12" t="str">
        <x:f>IF(Leads!BG201="","",Leads!BG201)</x:f>
      </x:c>
      <x:c r="J201" s="12" t="str">
        <x:f>IF(Leads!BH201="","",Leads!BH201)</x:f>
      </x:c>
      <x:c r="K201" s="12" t="str">
        <x:f>IF(A201="","","مرحبًا "&amp;C201&amp;CHAR(10)&amp;CHAR(10)&amp;"شكرًا لإتمام تقييم DBD الخاص بعيادة "&amp;B201&amp;"."&amp;CHAR(10)&amp;"نتيجتكم الحالية: "&amp;E201&amp;"%."&amp;CHAR(10)&amp;"أولوية التحسين الأولى: "&amp;F201&amp;"."&amp;IF(J201&lt;&gt;"",CHAR(10)&amp;CHAR(10)&amp;"رابط التقرير: "&amp;J201,"")&amp;CHAR(10)&amp;CHAR(10)&amp;"إذا أحببت، يمكننا مساعدتك في فهم التقرير وتحديد أفضل خطوة تالية لعيادتكم.")</x:f>
      </x:c>
      <x:c r="L201" s="12" t="str">
        <x:f>IF(D201="","",HYPERLINK("https://wa.me/"&amp;REGEXREPLACE(D201,"[^\d]","")&amp;"?text="&amp;ENCODEURL(K201),"واتساب 1"))</x:f>
      </x:c>
      <x:c r="M201" s="12" t="str">
        <x:f>IF(A201="","","مرحبًا "&amp;C201&amp;CHAR(10)&amp;CHAR(10)&amp;"بناءً على نتيجة تقييم عيادة "&amp;B201&amp;"، فإن الترشيح الأقوى لكم الآن هو: "&amp;G201&amp;"."&amp;CHAR(10)&amp;"هذا الخيار يساعدكم في معالجة أكبر فجوة حالية بشكل عملي ومباشر."&amp;IF(J201&lt;&gt;"",CHAR(10)&amp;CHAR(10)&amp;"رابط التقرير: "&amp;J201,"")&amp;CHAR(10)&amp;CHAR(10)&amp;"إذا رغبت، يمكننا توضيح لماذا هذا الكورس هو الأنسب لكم الآن.")</x:f>
      </x:c>
      <x:c r="N201" s="12" t="str">
        <x:f>IF(D201="","",HYPERLINK("https://wa.me/"&amp;REGEXREPLACE(D201,"[^\d]","")&amp;"?text="&amp;ENCODEURL(M201),"واتساب 2"))</x:f>
      </x:c>
      <x:c r="O201" s="12" t="str">
        <x:f>IF(A201="","","مرحبًا "&amp;C201&amp;CHAR(10)&amp;CHAR(10)&amp;"إذا كانت التحديات لديكم تحتاج حلًا أشمل، فالبرنامج الكامل المناسب لكم هو: "&amp;H201&amp;"."&amp;IF(I201&lt;&gt;"",CHAR(10)&amp;"كما يمكنكم أيضًا حجز: "&amp;I201&amp;".","")&amp;IF(J201&lt;&gt;"",CHAR(10)&amp;CHAR(10)&amp;"رابط التقرير: "&amp;J201,"")&amp;CHAR(10)&amp;CHAR(10)&amp;"يسعدنا مساعدتكم في اختيار المسار الأنسب حسب وضع العيادة الحالي.")</x:f>
      </x:c>
      <x:c r="P201" s="12" t="str">
        <x:f>IF(D201="","",HYPERLINK("https://wa.me/"&amp;REGEXREPLACE(D201,"[^\d]","")&amp;"?text="&amp;ENCODEURL(O201),"واتساب 3"))</x:f>
      </x:c>
    </x:row>
    <x:row r="202" ht="15" hidden="0" customHeight="1">
      <x:c r="A202" s="12" t="str">
        <x:f>IF(Leads!A202="","",Leads!A202)</x:f>
      </x:c>
      <x:c r="B202" s="12" t="str">
        <x:f>IF(Leads!F202="","",Leads!F202)</x:f>
      </x:c>
      <x:c r="C202" s="12" t="str">
        <x:f>IF(Leads!G202="","",Leads!G202)</x:f>
      </x:c>
      <x:c r="D202" s="12" t="str">
        <x:f>IF(Leads!O202="","",Leads!O202)</x:f>
      </x:c>
      <x:c r="E202" s="12" t="str">
        <x:f>IF(Leads!AV202="","",Leads!AV202)</x:f>
      </x:c>
      <x:c r="F202" s="12" t="str">
        <x:f>IF(Leads!AX202="","",Leads!AX202)</x:f>
      </x:c>
      <x:c r="G202" s="12" t="str">
        <x:f>IF(Leads!BC202="","",Leads!BC202)</x:f>
      </x:c>
      <x:c r="H202" s="12" t="str">
        <x:f>IF(Leads!BE202="","",Leads!BE202)</x:f>
      </x:c>
      <x:c r="I202" s="12" t="str">
        <x:f>IF(Leads!BG202="","",Leads!BG202)</x:f>
      </x:c>
      <x:c r="J202" s="12" t="str">
        <x:f>IF(Leads!BH202="","",Leads!BH202)</x:f>
      </x:c>
      <x:c r="K202" s="12" t="str">
        <x:f>IF(A202="","","مرحبًا "&amp;C202&amp;CHAR(10)&amp;CHAR(10)&amp;"شكرًا لإتمام تقييم DBD الخاص بعيادة "&amp;B202&amp;"."&amp;CHAR(10)&amp;"نتيجتكم الحالية: "&amp;E202&amp;"%."&amp;CHAR(10)&amp;"أولوية التحسين الأولى: "&amp;F202&amp;"."&amp;IF(J202&lt;&gt;"",CHAR(10)&amp;CHAR(10)&amp;"رابط التقرير: "&amp;J202,"")&amp;CHAR(10)&amp;CHAR(10)&amp;"إذا أحببت، يمكننا مساعدتك في فهم التقرير وتحديد أفضل خطوة تالية لعيادتكم.")</x:f>
      </x:c>
      <x:c r="L202" s="12" t="str">
        <x:f>IF(D202="","",HYPERLINK("https://wa.me/"&amp;REGEXREPLACE(D202,"[^\d]","")&amp;"?text="&amp;ENCODEURL(K202),"واتساب 1"))</x:f>
      </x:c>
      <x:c r="M202" s="12" t="str">
        <x:f>IF(A202="","","مرحبًا "&amp;C202&amp;CHAR(10)&amp;CHAR(10)&amp;"بناءً على نتيجة تقييم عيادة "&amp;B202&amp;"، فإن الترشيح الأقوى لكم الآن هو: "&amp;G202&amp;"."&amp;CHAR(10)&amp;"هذا الخيار يساعدكم في معالجة أكبر فجوة حالية بشكل عملي ومباشر."&amp;IF(J202&lt;&gt;"",CHAR(10)&amp;CHAR(10)&amp;"رابط التقرير: "&amp;J202,"")&amp;CHAR(10)&amp;CHAR(10)&amp;"إذا رغبت، يمكننا توضيح لماذا هذا الكورس هو الأنسب لكم الآن.")</x:f>
      </x:c>
      <x:c r="N202" s="12" t="str">
        <x:f>IF(D202="","",HYPERLINK("https://wa.me/"&amp;REGEXREPLACE(D202,"[^\d]","")&amp;"?text="&amp;ENCODEURL(M202),"واتساب 2"))</x:f>
      </x:c>
      <x:c r="O202" s="12" t="str">
        <x:f>IF(A202="","","مرحبًا "&amp;C202&amp;CHAR(10)&amp;CHAR(10)&amp;"إذا كانت التحديات لديكم تحتاج حلًا أشمل، فالبرنامج الكامل المناسب لكم هو: "&amp;H202&amp;"."&amp;IF(I202&lt;&gt;"",CHAR(10)&amp;"كما يمكنكم أيضًا حجز: "&amp;I202&amp;".","")&amp;IF(J202&lt;&gt;"",CHAR(10)&amp;CHAR(10)&amp;"رابط التقرير: "&amp;J202,"")&amp;CHAR(10)&amp;CHAR(10)&amp;"يسعدنا مساعدتكم في اختيار المسار الأنسب حسب وضع العيادة الحالي.")</x:f>
      </x:c>
      <x:c r="P202" s="12" t="str">
        <x:f>IF(D202="","",HYPERLINK("https://wa.me/"&amp;REGEXREPLACE(D202,"[^\d]","")&amp;"?text="&amp;ENCODEURL(O202),"واتساب 3"))</x:f>
      </x:c>
    </x:row>
    <x:row r="203" ht="15" hidden="0" customHeight="1">
      <x:c r="A203" s="12" t="str">
        <x:f>IF(Leads!A203="","",Leads!A203)</x:f>
      </x:c>
      <x:c r="B203" s="12" t="str">
        <x:f>IF(Leads!F203="","",Leads!F203)</x:f>
      </x:c>
      <x:c r="C203" s="12" t="str">
        <x:f>IF(Leads!G203="","",Leads!G203)</x:f>
      </x:c>
      <x:c r="D203" s="12" t="str">
        <x:f>IF(Leads!O203="","",Leads!O203)</x:f>
      </x:c>
      <x:c r="E203" s="12" t="str">
        <x:f>IF(Leads!AV203="","",Leads!AV203)</x:f>
      </x:c>
      <x:c r="F203" s="12" t="str">
        <x:f>IF(Leads!AX203="","",Leads!AX203)</x:f>
      </x:c>
      <x:c r="G203" s="12" t="str">
        <x:f>IF(Leads!BC203="","",Leads!BC203)</x:f>
      </x:c>
      <x:c r="H203" s="12" t="str">
        <x:f>IF(Leads!BE203="","",Leads!BE203)</x:f>
      </x:c>
      <x:c r="I203" s="12" t="str">
        <x:f>IF(Leads!BG203="","",Leads!BG203)</x:f>
      </x:c>
      <x:c r="J203" s="12" t="str">
        <x:f>IF(Leads!BH203="","",Leads!BH203)</x:f>
      </x:c>
      <x:c r="K203" s="12" t="str">
        <x:f>IF(A203="","","مرحبًا "&amp;C203&amp;CHAR(10)&amp;CHAR(10)&amp;"شكرًا لإتمام تقييم DBD الخاص بعيادة "&amp;B203&amp;"."&amp;CHAR(10)&amp;"نتيجتكم الحالية: "&amp;E203&amp;"%."&amp;CHAR(10)&amp;"أولوية التحسين الأولى: "&amp;F203&amp;"."&amp;IF(J203&lt;&gt;"",CHAR(10)&amp;CHAR(10)&amp;"رابط التقرير: "&amp;J203,"")&amp;CHAR(10)&amp;CHAR(10)&amp;"إذا أحببت، يمكننا مساعدتك في فهم التقرير وتحديد أفضل خطوة تالية لعيادتكم.")</x:f>
      </x:c>
      <x:c r="L203" s="12" t="str">
        <x:f>IF(D203="","",HYPERLINK("https://wa.me/"&amp;REGEXREPLACE(D203,"[^\d]","")&amp;"?text="&amp;ENCODEURL(K203),"واتساب 1"))</x:f>
      </x:c>
      <x:c r="M203" s="12" t="str">
        <x:f>IF(A203="","","مرحبًا "&amp;C203&amp;CHAR(10)&amp;CHAR(10)&amp;"بناءً على نتيجة تقييم عيادة "&amp;B203&amp;"، فإن الترشيح الأقوى لكم الآن هو: "&amp;G203&amp;"."&amp;CHAR(10)&amp;"هذا الخيار يساعدكم في معالجة أكبر فجوة حالية بشكل عملي ومباشر."&amp;IF(J203&lt;&gt;"",CHAR(10)&amp;CHAR(10)&amp;"رابط التقرير: "&amp;J203,"")&amp;CHAR(10)&amp;CHAR(10)&amp;"إذا رغبت، يمكننا توضيح لماذا هذا الكورس هو الأنسب لكم الآن.")</x:f>
      </x:c>
      <x:c r="N203" s="12" t="str">
        <x:f>IF(D203="","",HYPERLINK("https://wa.me/"&amp;REGEXREPLACE(D203,"[^\d]","")&amp;"?text="&amp;ENCODEURL(M203),"واتساب 2"))</x:f>
      </x:c>
      <x:c r="O203" s="12" t="str">
        <x:f>IF(A203="","","مرحبًا "&amp;C203&amp;CHAR(10)&amp;CHAR(10)&amp;"إذا كانت التحديات لديكم تحتاج حلًا أشمل، فالبرنامج الكامل المناسب لكم هو: "&amp;H203&amp;"."&amp;IF(I203&lt;&gt;"",CHAR(10)&amp;"كما يمكنكم أيضًا حجز: "&amp;I203&amp;".","")&amp;IF(J203&lt;&gt;"",CHAR(10)&amp;CHAR(10)&amp;"رابط التقرير: "&amp;J203,"")&amp;CHAR(10)&amp;CHAR(10)&amp;"يسعدنا مساعدتكم في اختيار المسار الأنسب حسب وضع العيادة الحالي.")</x:f>
      </x:c>
      <x:c r="P203" s="12" t="str">
        <x:f>IF(D203="","",HYPERLINK("https://wa.me/"&amp;REGEXREPLACE(D203,"[^\d]","")&amp;"?text="&amp;ENCODEURL(O203),"واتساب 3"))</x:f>
      </x:c>
    </x:row>
    <x:row r="204" ht="15" hidden="0" customHeight="1">
      <x:c r="A204" s="12" t="str">
        <x:f>IF(Leads!A204="","",Leads!A204)</x:f>
      </x:c>
      <x:c r="B204" s="12" t="str">
        <x:f>IF(Leads!F204="","",Leads!F204)</x:f>
      </x:c>
      <x:c r="C204" s="12" t="str">
        <x:f>IF(Leads!G204="","",Leads!G204)</x:f>
      </x:c>
      <x:c r="D204" s="12" t="str">
        <x:f>IF(Leads!O204="","",Leads!O204)</x:f>
      </x:c>
      <x:c r="E204" s="12" t="str">
        <x:f>IF(Leads!AV204="","",Leads!AV204)</x:f>
      </x:c>
      <x:c r="F204" s="12" t="str">
        <x:f>IF(Leads!AX204="","",Leads!AX204)</x:f>
      </x:c>
      <x:c r="G204" s="12" t="str">
        <x:f>IF(Leads!BC204="","",Leads!BC204)</x:f>
      </x:c>
      <x:c r="H204" s="12" t="str">
        <x:f>IF(Leads!BE204="","",Leads!BE204)</x:f>
      </x:c>
      <x:c r="I204" s="12" t="str">
        <x:f>IF(Leads!BG204="","",Leads!BG204)</x:f>
      </x:c>
      <x:c r="J204" s="12" t="str">
        <x:f>IF(Leads!BH204="","",Leads!BH204)</x:f>
      </x:c>
      <x:c r="K204" s="12" t="str">
        <x:f>IF(A204="","","مرحبًا "&amp;C204&amp;CHAR(10)&amp;CHAR(10)&amp;"شكرًا لإتمام تقييم DBD الخاص بعيادة "&amp;B204&amp;"."&amp;CHAR(10)&amp;"نتيجتكم الحالية: "&amp;E204&amp;"%."&amp;CHAR(10)&amp;"أولوية التحسين الأولى: "&amp;F204&amp;"."&amp;IF(J204&lt;&gt;"",CHAR(10)&amp;CHAR(10)&amp;"رابط التقرير: "&amp;J204,"")&amp;CHAR(10)&amp;CHAR(10)&amp;"إذا أحببت، يمكننا مساعدتك في فهم التقرير وتحديد أفضل خطوة تالية لعيادتكم.")</x:f>
      </x:c>
      <x:c r="L204" s="12" t="str">
        <x:f>IF(D204="","",HYPERLINK("https://wa.me/"&amp;REGEXREPLACE(D204,"[^\d]","")&amp;"?text="&amp;ENCODEURL(K204),"واتساب 1"))</x:f>
      </x:c>
      <x:c r="M204" s="12" t="str">
        <x:f>IF(A204="","","مرحبًا "&amp;C204&amp;CHAR(10)&amp;CHAR(10)&amp;"بناءً على نتيجة تقييم عيادة "&amp;B204&amp;"، فإن الترشيح الأقوى لكم الآن هو: "&amp;G204&amp;"."&amp;CHAR(10)&amp;"هذا الخيار يساعدكم في معالجة أكبر فجوة حالية بشكل عملي ومباشر."&amp;IF(J204&lt;&gt;"",CHAR(10)&amp;CHAR(10)&amp;"رابط التقرير: "&amp;J204,"")&amp;CHAR(10)&amp;CHAR(10)&amp;"إذا رغبت، يمكننا توضيح لماذا هذا الكورس هو الأنسب لكم الآن.")</x:f>
      </x:c>
      <x:c r="N204" s="12" t="str">
        <x:f>IF(D204="","",HYPERLINK("https://wa.me/"&amp;REGEXREPLACE(D204,"[^\d]","")&amp;"?text="&amp;ENCODEURL(M204),"واتساب 2"))</x:f>
      </x:c>
      <x:c r="O204" s="12" t="str">
        <x:f>IF(A204="","","مرحبًا "&amp;C204&amp;CHAR(10)&amp;CHAR(10)&amp;"إذا كانت التحديات لديكم تحتاج حلًا أشمل، فالبرنامج الكامل المناسب لكم هو: "&amp;H204&amp;"."&amp;IF(I204&lt;&gt;"",CHAR(10)&amp;"كما يمكنكم أيضًا حجز: "&amp;I204&amp;".","")&amp;IF(J204&lt;&gt;"",CHAR(10)&amp;CHAR(10)&amp;"رابط التقرير: "&amp;J204,"")&amp;CHAR(10)&amp;CHAR(10)&amp;"يسعدنا مساعدتكم في اختيار المسار الأنسب حسب وضع العيادة الحالي.")</x:f>
      </x:c>
      <x:c r="P204" s="12" t="str">
        <x:f>IF(D204="","",HYPERLINK("https://wa.me/"&amp;REGEXREPLACE(D204,"[^\d]","")&amp;"?text="&amp;ENCODEURL(O204),"واتساب 3"))</x:f>
      </x:c>
    </x:row>
    <x:row r="205" ht="15" hidden="0" customHeight="1">
      <x:c r="A205" s="12" t="str">
        <x:f>IF(Leads!A205="","",Leads!A205)</x:f>
      </x:c>
      <x:c r="B205" s="12" t="str">
        <x:f>IF(Leads!F205="","",Leads!F205)</x:f>
      </x:c>
      <x:c r="C205" s="12" t="str">
        <x:f>IF(Leads!G205="","",Leads!G205)</x:f>
      </x:c>
      <x:c r="D205" s="12" t="str">
        <x:f>IF(Leads!O205="","",Leads!O205)</x:f>
      </x:c>
      <x:c r="E205" s="12" t="str">
        <x:f>IF(Leads!AV205="","",Leads!AV205)</x:f>
      </x:c>
      <x:c r="F205" s="12" t="str">
        <x:f>IF(Leads!AX205="","",Leads!AX205)</x:f>
      </x:c>
      <x:c r="G205" s="12" t="str">
        <x:f>IF(Leads!BC205="","",Leads!BC205)</x:f>
      </x:c>
      <x:c r="H205" s="12" t="str">
        <x:f>IF(Leads!BE205="","",Leads!BE205)</x:f>
      </x:c>
      <x:c r="I205" s="12" t="str">
        <x:f>IF(Leads!BG205="","",Leads!BG205)</x:f>
      </x:c>
      <x:c r="J205" s="12" t="str">
        <x:f>IF(Leads!BH205="","",Leads!BH205)</x:f>
      </x:c>
      <x:c r="K205" s="12" t="str">
        <x:f>IF(A205="","","مرحبًا "&amp;C205&amp;CHAR(10)&amp;CHAR(10)&amp;"شكرًا لإتمام تقييم DBD الخاص بعيادة "&amp;B205&amp;"."&amp;CHAR(10)&amp;"نتيجتكم الحالية: "&amp;E205&amp;"%."&amp;CHAR(10)&amp;"أولوية التحسين الأولى: "&amp;F205&amp;"."&amp;IF(J205&lt;&gt;"",CHAR(10)&amp;CHAR(10)&amp;"رابط التقرير: "&amp;J205,"")&amp;CHAR(10)&amp;CHAR(10)&amp;"إذا أحببت، يمكننا مساعدتك في فهم التقرير وتحديد أفضل خطوة تالية لعيادتكم.")</x:f>
      </x:c>
      <x:c r="L205" s="12" t="str">
        <x:f>IF(D205="","",HYPERLINK("https://wa.me/"&amp;REGEXREPLACE(D205,"[^\d]","")&amp;"?text="&amp;ENCODEURL(K205),"واتساب 1"))</x:f>
      </x:c>
      <x:c r="M205" s="12" t="str">
        <x:f>IF(A205="","","مرحبًا "&amp;C205&amp;CHAR(10)&amp;CHAR(10)&amp;"بناءً على نتيجة تقييم عيادة "&amp;B205&amp;"، فإن الترشيح الأقوى لكم الآن هو: "&amp;G205&amp;"."&amp;CHAR(10)&amp;"هذا الخيار يساعدكم في معالجة أكبر فجوة حالية بشكل عملي ومباشر."&amp;IF(J205&lt;&gt;"",CHAR(10)&amp;CHAR(10)&amp;"رابط التقرير: "&amp;J205,"")&amp;CHAR(10)&amp;CHAR(10)&amp;"إذا رغبت، يمكننا توضيح لماذا هذا الكورس هو الأنسب لكم الآن.")</x:f>
      </x:c>
      <x:c r="N205" s="12" t="str">
        <x:f>IF(D205="","",HYPERLINK("https://wa.me/"&amp;REGEXREPLACE(D205,"[^\d]","")&amp;"?text="&amp;ENCODEURL(M205),"واتساب 2"))</x:f>
      </x:c>
      <x:c r="O205" s="12" t="str">
        <x:f>IF(A205="","","مرحبًا "&amp;C205&amp;CHAR(10)&amp;CHAR(10)&amp;"إذا كانت التحديات لديكم تحتاج حلًا أشمل، فالبرنامج الكامل المناسب لكم هو: "&amp;H205&amp;"."&amp;IF(I205&lt;&gt;"",CHAR(10)&amp;"كما يمكنكم أيضًا حجز: "&amp;I205&amp;".","")&amp;IF(J205&lt;&gt;"",CHAR(10)&amp;CHAR(10)&amp;"رابط التقرير: "&amp;J205,"")&amp;CHAR(10)&amp;CHAR(10)&amp;"يسعدنا مساعدتكم في اختيار المسار الأنسب حسب وضع العيادة الحالي.")</x:f>
      </x:c>
      <x:c r="P205" s="12" t="str">
        <x:f>IF(D205="","",HYPERLINK("https://wa.me/"&amp;REGEXREPLACE(D205,"[^\d]","")&amp;"?text="&amp;ENCODEURL(O205),"واتساب 3"))</x:f>
      </x:c>
    </x:row>
    <x:row r="206" ht="15" hidden="0" customHeight="1">
      <x:c r="A206" s="12" t="str">
        <x:f>IF(Leads!A206="","",Leads!A206)</x:f>
      </x:c>
      <x:c r="B206" s="12" t="str">
        <x:f>IF(Leads!F206="","",Leads!F206)</x:f>
      </x:c>
      <x:c r="C206" s="12" t="str">
        <x:f>IF(Leads!G206="","",Leads!G206)</x:f>
      </x:c>
      <x:c r="D206" s="12" t="str">
        <x:f>IF(Leads!O206="","",Leads!O206)</x:f>
      </x:c>
      <x:c r="E206" s="12" t="str">
        <x:f>IF(Leads!AV206="","",Leads!AV206)</x:f>
      </x:c>
      <x:c r="F206" s="12" t="str">
        <x:f>IF(Leads!AX206="","",Leads!AX206)</x:f>
      </x:c>
      <x:c r="G206" s="12" t="str">
        <x:f>IF(Leads!BC206="","",Leads!BC206)</x:f>
      </x:c>
      <x:c r="H206" s="12" t="str">
        <x:f>IF(Leads!BE206="","",Leads!BE206)</x:f>
      </x:c>
      <x:c r="I206" s="12" t="str">
        <x:f>IF(Leads!BG206="","",Leads!BG206)</x:f>
      </x:c>
      <x:c r="J206" s="12" t="str">
        <x:f>IF(Leads!BH206="","",Leads!BH206)</x:f>
      </x:c>
      <x:c r="K206" s="12" t="str">
        <x:f>IF(A206="","","مرحبًا "&amp;C206&amp;CHAR(10)&amp;CHAR(10)&amp;"شكرًا لإتمام تقييم DBD الخاص بعيادة "&amp;B206&amp;"."&amp;CHAR(10)&amp;"نتيجتكم الحالية: "&amp;E206&amp;"%."&amp;CHAR(10)&amp;"أولوية التحسين الأولى: "&amp;F206&amp;"."&amp;IF(J206&lt;&gt;"",CHAR(10)&amp;CHAR(10)&amp;"رابط التقرير: "&amp;J206,"")&amp;CHAR(10)&amp;CHAR(10)&amp;"إذا أحببت، يمكننا مساعدتك في فهم التقرير وتحديد أفضل خطوة تالية لعيادتكم.")</x:f>
      </x:c>
      <x:c r="L206" s="12" t="str">
        <x:f>IF(D206="","",HYPERLINK("https://wa.me/"&amp;REGEXREPLACE(D206,"[^\d]","")&amp;"?text="&amp;ENCODEURL(K206),"واتساب 1"))</x:f>
      </x:c>
      <x:c r="M206" s="12" t="str">
        <x:f>IF(A206="","","مرحبًا "&amp;C206&amp;CHAR(10)&amp;CHAR(10)&amp;"بناءً على نتيجة تقييم عيادة "&amp;B206&amp;"، فإن الترشيح الأقوى لكم الآن هو: "&amp;G206&amp;"."&amp;CHAR(10)&amp;"هذا الخيار يساعدكم في معالجة أكبر فجوة حالية بشكل عملي ومباشر."&amp;IF(J206&lt;&gt;"",CHAR(10)&amp;CHAR(10)&amp;"رابط التقرير: "&amp;J206,"")&amp;CHAR(10)&amp;CHAR(10)&amp;"إذا رغبت، يمكننا توضيح لماذا هذا الكورس هو الأنسب لكم الآن.")</x:f>
      </x:c>
      <x:c r="N206" s="12" t="str">
        <x:f>IF(D206="","",HYPERLINK("https://wa.me/"&amp;REGEXREPLACE(D206,"[^\d]","")&amp;"?text="&amp;ENCODEURL(M206),"واتساب 2"))</x:f>
      </x:c>
      <x:c r="O206" s="12" t="str">
        <x:f>IF(A206="","","مرحبًا "&amp;C206&amp;CHAR(10)&amp;CHAR(10)&amp;"إذا كانت التحديات لديكم تحتاج حلًا أشمل، فالبرنامج الكامل المناسب لكم هو: "&amp;H206&amp;"."&amp;IF(I206&lt;&gt;"",CHAR(10)&amp;"كما يمكنكم أيضًا حجز: "&amp;I206&amp;".","")&amp;IF(J206&lt;&gt;"",CHAR(10)&amp;CHAR(10)&amp;"رابط التقرير: "&amp;J206,"")&amp;CHAR(10)&amp;CHAR(10)&amp;"يسعدنا مساعدتكم في اختيار المسار الأنسب حسب وضع العيادة الحالي.")</x:f>
      </x:c>
      <x:c r="P206" s="12" t="str">
        <x:f>IF(D206="","",HYPERLINK("https://wa.me/"&amp;REGEXREPLACE(D206,"[^\d]","")&amp;"?text="&amp;ENCODEURL(O206),"واتساب 3"))</x:f>
      </x:c>
    </x:row>
    <x:row r="207" ht="15" hidden="0" customHeight="1">
      <x:c r="A207" s="12" t="str">
        <x:f>IF(Leads!A207="","",Leads!A207)</x:f>
      </x:c>
      <x:c r="B207" s="12" t="str">
        <x:f>IF(Leads!F207="","",Leads!F207)</x:f>
      </x:c>
      <x:c r="C207" s="12" t="str">
        <x:f>IF(Leads!G207="","",Leads!G207)</x:f>
      </x:c>
      <x:c r="D207" s="12" t="str">
        <x:f>IF(Leads!O207="","",Leads!O207)</x:f>
      </x:c>
      <x:c r="E207" s="12" t="str">
        <x:f>IF(Leads!AV207="","",Leads!AV207)</x:f>
      </x:c>
      <x:c r="F207" s="12" t="str">
        <x:f>IF(Leads!AX207="","",Leads!AX207)</x:f>
      </x:c>
      <x:c r="G207" s="12" t="str">
        <x:f>IF(Leads!BC207="","",Leads!BC207)</x:f>
      </x:c>
      <x:c r="H207" s="12" t="str">
        <x:f>IF(Leads!BE207="","",Leads!BE207)</x:f>
      </x:c>
      <x:c r="I207" s="12" t="str">
        <x:f>IF(Leads!BG207="","",Leads!BG207)</x:f>
      </x:c>
      <x:c r="J207" s="12" t="str">
        <x:f>IF(Leads!BH207="","",Leads!BH207)</x:f>
      </x:c>
      <x:c r="K207" s="12" t="str">
        <x:f>IF(A207="","","مرحبًا "&amp;C207&amp;CHAR(10)&amp;CHAR(10)&amp;"شكرًا لإتمام تقييم DBD الخاص بعيادة "&amp;B207&amp;"."&amp;CHAR(10)&amp;"نتيجتكم الحالية: "&amp;E207&amp;"%."&amp;CHAR(10)&amp;"أولوية التحسين الأولى: "&amp;F207&amp;"."&amp;IF(J207&lt;&gt;"",CHAR(10)&amp;CHAR(10)&amp;"رابط التقرير: "&amp;J207,"")&amp;CHAR(10)&amp;CHAR(10)&amp;"إذا أحببت، يمكننا مساعدتك في فهم التقرير وتحديد أفضل خطوة تالية لعيادتكم.")</x:f>
      </x:c>
      <x:c r="L207" s="12" t="str">
        <x:f>IF(D207="","",HYPERLINK("https://wa.me/"&amp;REGEXREPLACE(D207,"[^\d]","")&amp;"?text="&amp;ENCODEURL(K207),"واتساب 1"))</x:f>
      </x:c>
      <x:c r="M207" s="12" t="str">
        <x:f>IF(A207="","","مرحبًا "&amp;C207&amp;CHAR(10)&amp;CHAR(10)&amp;"بناءً على نتيجة تقييم عيادة "&amp;B207&amp;"، فإن الترشيح الأقوى لكم الآن هو: "&amp;G207&amp;"."&amp;CHAR(10)&amp;"هذا الخيار يساعدكم في معالجة أكبر فجوة حالية بشكل عملي ومباشر."&amp;IF(J207&lt;&gt;"",CHAR(10)&amp;CHAR(10)&amp;"رابط التقرير: "&amp;J207,"")&amp;CHAR(10)&amp;CHAR(10)&amp;"إذا رغبت، يمكننا توضيح لماذا هذا الكورس هو الأنسب لكم الآن.")</x:f>
      </x:c>
      <x:c r="N207" s="12" t="str">
        <x:f>IF(D207="","",HYPERLINK("https://wa.me/"&amp;REGEXREPLACE(D207,"[^\d]","")&amp;"?text="&amp;ENCODEURL(M207),"واتساب 2"))</x:f>
      </x:c>
      <x:c r="O207" s="12" t="str">
        <x:f>IF(A207="","","مرحبًا "&amp;C207&amp;CHAR(10)&amp;CHAR(10)&amp;"إذا كانت التحديات لديكم تحتاج حلًا أشمل، فالبرنامج الكامل المناسب لكم هو: "&amp;H207&amp;"."&amp;IF(I207&lt;&gt;"",CHAR(10)&amp;"كما يمكنكم أيضًا حجز: "&amp;I207&amp;".","")&amp;IF(J207&lt;&gt;"",CHAR(10)&amp;CHAR(10)&amp;"رابط التقرير: "&amp;J207,"")&amp;CHAR(10)&amp;CHAR(10)&amp;"يسعدنا مساعدتكم في اختيار المسار الأنسب حسب وضع العيادة الحالي.")</x:f>
      </x:c>
      <x:c r="P207" s="12" t="str">
        <x:f>IF(D207="","",HYPERLINK("https://wa.me/"&amp;REGEXREPLACE(D207,"[^\d]","")&amp;"?text="&amp;ENCODEURL(O207),"واتساب 3"))</x:f>
      </x:c>
    </x:row>
    <x:row r="208" ht="15" hidden="0" customHeight="1">
      <x:c r="A208" s="12" t="str">
        <x:f>IF(Leads!A208="","",Leads!A208)</x:f>
      </x:c>
      <x:c r="B208" s="12" t="str">
        <x:f>IF(Leads!F208="","",Leads!F208)</x:f>
      </x:c>
      <x:c r="C208" s="12" t="str">
        <x:f>IF(Leads!G208="","",Leads!G208)</x:f>
      </x:c>
      <x:c r="D208" s="12" t="str">
        <x:f>IF(Leads!O208="","",Leads!O208)</x:f>
      </x:c>
      <x:c r="E208" s="12" t="str">
        <x:f>IF(Leads!AV208="","",Leads!AV208)</x:f>
      </x:c>
      <x:c r="F208" s="12" t="str">
        <x:f>IF(Leads!AX208="","",Leads!AX208)</x:f>
      </x:c>
      <x:c r="G208" s="12" t="str">
        <x:f>IF(Leads!BC208="","",Leads!BC208)</x:f>
      </x:c>
      <x:c r="H208" s="12" t="str">
        <x:f>IF(Leads!BE208="","",Leads!BE208)</x:f>
      </x:c>
      <x:c r="I208" s="12" t="str">
        <x:f>IF(Leads!BG208="","",Leads!BG208)</x:f>
      </x:c>
      <x:c r="J208" s="12" t="str">
        <x:f>IF(Leads!BH208="","",Leads!BH208)</x:f>
      </x:c>
      <x:c r="K208" s="12" t="str">
        <x:f>IF(A208="","","مرحبًا "&amp;C208&amp;CHAR(10)&amp;CHAR(10)&amp;"شكرًا لإتمام تقييم DBD الخاص بعيادة "&amp;B208&amp;"."&amp;CHAR(10)&amp;"نتيجتكم الحالية: "&amp;E208&amp;"%."&amp;CHAR(10)&amp;"أولوية التحسين الأولى: "&amp;F208&amp;"."&amp;IF(J208&lt;&gt;"",CHAR(10)&amp;CHAR(10)&amp;"رابط التقرير: "&amp;J208,"")&amp;CHAR(10)&amp;CHAR(10)&amp;"إذا أحببت، يمكننا مساعدتك في فهم التقرير وتحديد أفضل خطوة تالية لعيادتكم.")</x:f>
      </x:c>
      <x:c r="L208" s="12" t="str">
        <x:f>IF(D208="","",HYPERLINK("https://wa.me/"&amp;REGEXREPLACE(D208,"[^\d]","")&amp;"?text="&amp;ENCODEURL(K208),"واتساب 1"))</x:f>
      </x:c>
      <x:c r="M208" s="12" t="str">
        <x:f>IF(A208="","","مرحبًا "&amp;C208&amp;CHAR(10)&amp;CHAR(10)&amp;"بناءً على نتيجة تقييم عيادة "&amp;B208&amp;"، فإن الترشيح الأقوى لكم الآن هو: "&amp;G208&amp;"."&amp;CHAR(10)&amp;"هذا الخيار يساعدكم في معالجة أكبر فجوة حالية بشكل عملي ومباشر."&amp;IF(J208&lt;&gt;"",CHAR(10)&amp;CHAR(10)&amp;"رابط التقرير: "&amp;J208,"")&amp;CHAR(10)&amp;CHAR(10)&amp;"إذا رغبت، يمكننا توضيح لماذا هذا الكورس هو الأنسب لكم الآن.")</x:f>
      </x:c>
      <x:c r="N208" s="12" t="str">
        <x:f>IF(D208="","",HYPERLINK("https://wa.me/"&amp;REGEXREPLACE(D208,"[^\d]","")&amp;"?text="&amp;ENCODEURL(M208),"واتساب 2"))</x:f>
      </x:c>
      <x:c r="O208" s="12" t="str">
        <x:f>IF(A208="","","مرحبًا "&amp;C208&amp;CHAR(10)&amp;CHAR(10)&amp;"إذا كانت التحديات لديكم تحتاج حلًا أشمل، فالبرنامج الكامل المناسب لكم هو: "&amp;H208&amp;"."&amp;IF(I208&lt;&gt;"",CHAR(10)&amp;"كما يمكنكم أيضًا حجز: "&amp;I208&amp;".","")&amp;IF(J208&lt;&gt;"",CHAR(10)&amp;CHAR(10)&amp;"رابط التقرير: "&amp;J208,"")&amp;CHAR(10)&amp;CHAR(10)&amp;"يسعدنا مساعدتكم في اختيار المسار الأنسب حسب وضع العيادة الحالي.")</x:f>
      </x:c>
      <x:c r="P208" s="12" t="str">
        <x:f>IF(D208="","",HYPERLINK("https://wa.me/"&amp;REGEXREPLACE(D208,"[^\d]","")&amp;"?text="&amp;ENCODEURL(O208),"واتساب 3"))</x:f>
      </x:c>
    </x:row>
    <x:row r="209" ht="15" hidden="0" customHeight="1">
      <x:c r="A209" s="12" t="str">
        <x:f>IF(Leads!A209="","",Leads!A209)</x:f>
      </x:c>
      <x:c r="B209" s="12" t="str">
        <x:f>IF(Leads!F209="","",Leads!F209)</x:f>
      </x:c>
      <x:c r="C209" s="12" t="str">
        <x:f>IF(Leads!G209="","",Leads!G209)</x:f>
      </x:c>
      <x:c r="D209" s="12" t="str">
        <x:f>IF(Leads!O209="","",Leads!O209)</x:f>
      </x:c>
      <x:c r="E209" s="12" t="str">
        <x:f>IF(Leads!AV209="","",Leads!AV209)</x:f>
      </x:c>
      <x:c r="F209" s="12" t="str">
        <x:f>IF(Leads!AX209="","",Leads!AX209)</x:f>
      </x:c>
      <x:c r="G209" s="12" t="str">
        <x:f>IF(Leads!BC209="","",Leads!BC209)</x:f>
      </x:c>
      <x:c r="H209" s="12" t="str">
        <x:f>IF(Leads!BE209="","",Leads!BE209)</x:f>
      </x:c>
      <x:c r="I209" s="12" t="str">
        <x:f>IF(Leads!BG209="","",Leads!BG209)</x:f>
      </x:c>
      <x:c r="J209" s="12" t="str">
        <x:f>IF(Leads!BH209="","",Leads!BH209)</x:f>
      </x:c>
      <x:c r="K209" s="12" t="str">
        <x:f>IF(A209="","","مرحبًا "&amp;C209&amp;CHAR(10)&amp;CHAR(10)&amp;"شكرًا لإتمام تقييم DBD الخاص بعيادة "&amp;B209&amp;"."&amp;CHAR(10)&amp;"نتيجتكم الحالية: "&amp;E209&amp;"%."&amp;CHAR(10)&amp;"أولوية التحسين الأولى: "&amp;F209&amp;"."&amp;IF(J209&lt;&gt;"",CHAR(10)&amp;CHAR(10)&amp;"رابط التقرير: "&amp;J209,"")&amp;CHAR(10)&amp;CHAR(10)&amp;"إذا أحببت، يمكننا مساعدتك في فهم التقرير وتحديد أفضل خطوة تالية لعيادتكم.")</x:f>
      </x:c>
      <x:c r="L209" s="12" t="str">
        <x:f>IF(D209="","",HYPERLINK("https://wa.me/"&amp;REGEXREPLACE(D209,"[^\d]","")&amp;"?text="&amp;ENCODEURL(K209),"واتساب 1"))</x:f>
      </x:c>
      <x:c r="M209" s="12" t="str">
        <x:f>IF(A209="","","مرحبًا "&amp;C209&amp;CHAR(10)&amp;CHAR(10)&amp;"بناءً على نتيجة تقييم عيادة "&amp;B209&amp;"، فإن الترشيح الأقوى لكم الآن هو: "&amp;G209&amp;"."&amp;CHAR(10)&amp;"هذا الخيار يساعدكم في معالجة أكبر فجوة حالية بشكل عملي ومباشر."&amp;IF(J209&lt;&gt;"",CHAR(10)&amp;CHAR(10)&amp;"رابط التقرير: "&amp;J209,"")&amp;CHAR(10)&amp;CHAR(10)&amp;"إذا رغبت، يمكننا توضيح لماذا هذا الكورس هو الأنسب لكم الآن.")</x:f>
      </x:c>
      <x:c r="N209" s="12" t="str">
        <x:f>IF(D209="","",HYPERLINK("https://wa.me/"&amp;REGEXREPLACE(D209,"[^\d]","")&amp;"?text="&amp;ENCODEURL(M209),"واتساب 2"))</x:f>
      </x:c>
      <x:c r="O209" s="12" t="str">
        <x:f>IF(A209="","","مرحبًا "&amp;C209&amp;CHAR(10)&amp;CHAR(10)&amp;"إذا كانت التحديات لديكم تحتاج حلًا أشمل، فالبرنامج الكامل المناسب لكم هو: "&amp;H209&amp;"."&amp;IF(I209&lt;&gt;"",CHAR(10)&amp;"كما يمكنكم أيضًا حجز: "&amp;I209&amp;".","")&amp;IF(J209&lt;&gt;"",CHAR(10)&amp;CHAR(10)&amp;"رابط التقرير: "&amp;J209,"")&amp;CHAR(10)&amp;CHAR(10)&amp;"يسعدنا مساعدتكم في اختيار المسار الأنسب حسب وضع العيادة الحالي.")</x:f>
      </x:c>
      <x:c r="P209" s="12" t="str">
        <x:f>IF(D209="","",HYPERLINK("https://wa.me/"&amp;REGEXREPLACE(D209,"[^\d]","")&amp;"?text="&amp;ENCODEURL(O209),"واتساب 3"))</x:f>
      </x:c>
    </x:row>
    <x:row r="210" ht="15" hidden="0" customHeight="1">
      <x:c r="A210" s="12" t="str">
        <x:f>IF(Leads!A210="","",Leads!A210)</x:f>
      </x:c>
      <x:c r="B210" s="12" t="str">
        <x:f>IF(Leads!F210="","",Leads!F210)</x:f>
      </x:c>
      <x:c r="C210" s="12" t="str">
        <x:f>IF(Leads!G210="","",Leads!G210)</x:f>
      </x:c>
      <x:c r="D210" s="12" t="str">
        <x:f>IF(Leads!O210="","",Leads!O210)</x:f>
      </x:c>
      <x:c r="E210" s="12" t="str">
        <x:f>IF(Leads!AV210="","",Leads!AV210)</x:f>
      </x:c>
      <x:c r="F210" s="12" t="str">
        <x:f>IF(Leads!AX210="","",Leads!AX210)</x:f>
      </x:c>
      <x:c r="G210" s="12" t="str">
        <x:f>IF(Leads!BC210="","",Leads!BC210)</x:f>
      </x:c>
      <x:c r="H210" s="12" t="str">
        <x:f>IF(Leads!BE210="","",Leads!BE210)</x:f>
      </x:c>
      <x:c r="I210" s="12" t="str">
        <x:f>IF(Leads!BG210="","",Leads!BG210)</x:f>
      </x:c>
      <x:c r="J210" s="12" t="str">
        <x:f>IF(Leads!BH210="","",Leads!BH210)</x:f>
      </x:c>
      <x:c r="K210" s="12" t="str">
        <x:f>IF(A210="","","مرحبًا "&amp;C210&amp;CHAR(10)&amp;CHAR(10)&amp;"شكرًا لإتمام تقييم DBD الخاص بعيادة "&amp;B210&amp;"."&amp;CHAR(10)&amp;"نتيجتكم الحالية: "&amp;E210&amp;"%."&amp;CHAR(10)&amp;"أولوية التحسين الأولى: "&amp;F210&amp;"."&amp;IF(J210&lt;&gt;"",CHAR(10)&amp;CHAR(10)&amp;"رابط التقرير: "&amp;J210,"")&amp;CHAR(10)&amp;CHAR(10)&amp;"إذا أحببت، يمكننا مساعدتك في فهم التقرير وتحديد أفضل خطوة تالية لعيادتكم.")</x:f>
      </x:c>
      <x:c r="L210" s="12" t="str">
        <x:f>IF(D210="","",HYPERLINK("https://wa.me/"&amp;REGEXREPLACE(D210,"[^\d]","")&amp;"?text="&amp;ENCODEURL(K210),"واتساب 1"))</x:f>
      </x:c>
      <x:c r="M210" s="12" t="str">
        <x:f>IF(A210="","","مرحبًا "&amp;C210&amp;CHAR(10)&amp;CHAR(10)&amp;"بناءً على نتيجة تقييم عيادة "&amp;B210&amp;"، فإن الترشيح الأقوى لكم الآن هو: "&amp;G210&amp;"."&amp;CHAR(10)&amp;"هذا الخيار يساعدكم في معالجة أكبر فجوة حالية بشكل عملي ومباشر."&amp;IF(J210&lt;&gt;"",CHAR(10)&amp;CHAR(10)&amp;"رابط التقرير: "&amp;J210,"")&amp;CHAR(10)&amp;CHAR(10)&amp;"إذا رغبت، يمكننا توضيح لماذا هذا الكورس هو الأنسب لكم الآن.")</x:f>
      </x:c>
      <x:c r="N210" s="12" t="str">
        <x:f>IF(D210="","",HYPERLINK("https://wa.me/"&amp;REGEXREPLACE(D210,"[^\d]","")&amp;"?text="&amp;ENCODEURL(M210),"واتساب 2"))</x:f>
      </x:c>
      <x:c r="O210" s="12" t="str">
        <x:f>IF(A210="","","مرحبًا "&amp;C210&amp;CHAR(10)&amp;CHAR(10)&amp;"إذا كانت التحديات لديكم تحتاج حلًا أشمل، فالبرنامج الكامل المناسب لكم هو: "&amp;H210&amp;"."&amp;IF(I210&lt;&gt;"",CHAR(10)&amp;"كما يمكنكم أيضًا حجز: "&amp;I210&amp;".","")&amp;IF(J210&lt;&gt;"",CHAR(10)&amp;CHAR(10)&amp;"رابط التقرير: "&amp;J210,"")&amp;CHAR(10)&amp;CHAR(10)&amp;"يسعدنا مساعدتكم في اختيار المسار الأنسب حسب وضع العيادة الحالي.")</x:f>
      </x:c>
      <x:c r="P210" s="12" t="str">
        <x:f>IF(D210="","",HYPERLINK("https://wa.me/"&amp;REGEXREPLACE(D210,"[^\d]","")&amp;"?text="&amp;ENCODEURL(O210),"واتساب 3"))</x:f>
      </x:c>
    </x:row>
    <x:row r="211" ht="15" hidden="0" customHeight="1">
      <x:c r="A211" s="12" t="str">
        <x:f>IF(Leads!A211="","",Leads!A211)</x:f>
      </x:c>
      <x:c r="B211" s="12" t="str">
        <x:f>IF(Leads!F211="","",Leads!F211)</x:f>
      </x:c>
      <x:c r="C211" s="12" t="str">
        <x:f>IF(Leads!G211="","",Leads!G211)</x:f>
      </x:c>
      <x:c r="D211" s="12" t="str">
        <x:f>IF(Leads!O211="","",Leads!O211)</x:f>
      </x:c>
      <x:c r="E211" s="12" t="str">
        <x:f>IF(Leads!AV211="","",Leads!AV211)</x:f>
      </x:c>
      <x:c r="F211" s="12" t="str">
        <x:f>IF(Leads!AX211="","",Leads!AX211)</x:f>
      </x:c>
      <x:c r="G211" s="12" t="str">
        <x:f>IF(Leads!BC211="","",Leads!BC211)</x:f>
      </x:c>
      <x:c r="H211" s="12" t="str">
        <x:f>IF(Leads!BE211="","",Leads!BE211)</x:f>
      </x:c>
      <x:c r="I211" s="12" t="str">
        <x:f>IF(Leads!BG211="","",Leads!BG211)</x:f>
      </x:c>
      <x:c r="J211" s="12" t="str">
        <x:f>IF(Leads!BH211="","",Leads!BH211)</x:f>
      </x:c>
      <x:c r="K211" s="12" t="str">
        <x:f>IF(A211="","","مرحبًا "&amp;C211&amp;CHAR(10)&amp;CHAR(10)&amp;"شكرًا لإتمام تقييم DBD الخاص بعيادة "&amp;B211&amp;"."&amp;CHAR(10)&amp;"نتيجتكم الحالية: "&amp;E211&amp;"%."&amp;CHAR(10)&amp;"أولوية التحسين الأولى: "&amp;F211&amp;"."&amp;IF(J211&lt;&gt;"",CHAR(10)&amp;CHAR(10)&amp;"رابط التقرير: "&amp;J211,"")&amp;CHAR(10)&amp;CHAR(10)&amp;"إذا أحببت، يمكننا مساعدتك في فهم التقرير وتحديد أفضل خطوة تالية لعيادتكم.")</x:f>
      </x:c>
      <x:c r="L211" s="12" t="str">
        <x:f>IF(D211="","",HYPERLINK("https://wa.me/"&amp;REGEXREPLACE(D211,"[^\d]","")&amp;"?text="&amp;ENCODEURL(K211),"واتساب 1"))</x:f>
      </x:c>
      <x:c r="M211" s="12" t="str">
        <x:f>IF(A211="","","مرحبًا "&amp;C211&amp;CHAR(10)&amp;CHAR(10)&amp;"بناءً على نتيجة تقييم عيادة "&amp;B211&amp;"، فإن الترشيح الأقوى لكم الآن هو: "&amp;G211&amp;"."&amp;CHAR(10)&amp;"هذا الخيار يساعدكم في معالجة أكبر فجوة حالية بشكل عملي ومباشر."&amp;IF(J211&lt;&gt;"",CHAR(10)&amp;CHAR(10)&amp;"رابط التقرير: "&amp;J211,"")&amp;CHAR(10)&amp;CHAR(10)&amp;"إذا رغبت، يمكننا توضيح لماذا هذا الكورس هو الأنسب لكم الآن.")</x:f>
      </x:c>
      <x:c r="N211" s="12" t="str">
        <x:f>IF(D211="","",HYPERLINK("https://wa.me/"&amp;REGEXREPLACE(D211,"[^\d]","")&amp;"?text="&amp;ENCODEURL(M211),"واتساب 2"))</x:f>
      </x:c>
      <x:c r="O211" s="12" t="str">
        <x:f>IF(A211="","","مرحبًا "&amp;C211&amp;CHAR(10)&amp;CHAR(10)&amp;"إذا كانت التحديات لديكم تحتاج حلًا أشمل، فالبرنامج الكامل المناسب لكم هو: "&amp;H211&amp;"."&amp;IF(I211&lt;&gt;"",CHAR(10)&amp;"كما يمكنكم أيضًا حجز: "&amp;I211&amp;".","")&amp;IF(J211&lt;&gt;"",CHAR(10)&amp;CHAR(10)&amp;"رابط التقرير: "&amp;J211,"")&amp;CHAR(10)&amp;CHAR(10)&amp;"يسعدنا مساعدتكم في اختيار المسار الأنسب حسب وضع العيادة الحالي.")</x:f>
      </x:c>
      <x:c r="P211" s="12" t="str">
        <x:f>IF(D211="","",HYPERLINK("https://wa.me/"&amp;REGEXREPLACE(D211,"[^\d]","")&amp;"?text="&amp;ENCODEURL(O211),"واتساب 3"))</x:f>
      </x:c>
    </x:row>
    <x:row r="212" ht="15" hidden="0" customHeight="1">
      <x:c r="A212" s="12" t="str">
        <x:f>IF(Leads!A212="","",Leads!A212)</x:f>
      </x:c>
      <x:c r="B212" s="12" t="str">
        <x:f>IF(Leads!F212="","",Leads!F212)</x:f>
      </x:c>
      <x:c r="C212" s="12" t="str">
        <x:f>IF(Leads!G212="","",Leads!G212)</x:f>
      </x:c>
      <x:c r="D212" s="12" t="str">
        <x:f>IF(Leads!O212="","",Leads!O212)</x:f>
      </x:c>
      <x:c r="E212" s="12" t="str">
        <x:f>IF(Leads!AV212="","",Leads!AV212)</x:f>
      </x:c>
      <x:c r="F212" s="12" t="str">
        <x:f>IF(Leads!AX212="","",Leads!AX212)</x:f>
      </x:c>
      <x:c r="G212" s="12" t="str">
        <x:f>IF(Leads!BC212="","",Leads!BC212)</x:f>
      </x:c>
      <x:c r="H212" s="12" t="str">
        <x:f>IF(Leads!BE212="","",Leads!BE212)</x:f>
      </x:c>
      <x:c r="I212" s="12" t="str">
        <x:f>IF(Leads!BG212="","",Leads!BG212)</x:f>
      </x:c>
      <x:c r="J212" s="12" t="str">
        <x:f>IF(Leads!BH212="","",Leads!BH212)</x:f>
      </x:c>
      <x:c r="K212" s="12" t="str">
        <x:f>IF(A212="","","مرحبًا "&amp;C212&amp;CHAR(10)&amp;CHAR(10)&amp;"شكرًا لإتمام تقييم DBD الخاص بعيادة "&amp;B212&amp;"."&amp;CHAR(10)&amp;"نتيجتكم الحالية: "&amp;E212&amp;"%."&amp;CHAR(10)&amp;"أولوية التحسين الأولى: "&amp;F212&amp;"."&amp;IF(J212&lt;&gt;"",CHAR(10)&amp;CHAR(10)&amp;"رابط التقرير: "&amp;J212,"")&amp;CHAR(10)&amp;CHAR(10)&amp;"إذا أحببت، يمكننا مساعدتك في فهم التقرير وتحديد أفضل خطوة تالية لعيادتكم.")</x:f>
      </x:c>
      <x:c r="L212" s="12" t="str">
        <x:f>IF(D212="","",HYPERLINK("https://wa.me/"&amp;REGEXREPLACE(D212,"[^\d]","")&amp;"?text="&amp;ENCODEURL(K212),"واتساب 1"))</x:f>
      </x:c>
      <x:c r="M212" s="12" t="str">
        <x:f>IF(A212="","","مرحبًا "&amp;C212&amp;CHAR(10)&amp;CHAR(10)&amp;"بناءً على نتيجة تقييم عيادة "&amp;B212&amp;"، فإن الترشيح الأقوى لكم الآن هو: "&amp;G212&amp;"."&amp;CHAR(10)&amp;"هذا الخيار يساعدكم في معالجة أكبر فجوة حالية بشكل عملي ومباشر."&amp;IF(J212&lt;&gt;"",CHAR(10)&amp;CHAR(10)&amp;"رابط التقرير: "&amp;J212,"")&amp;CHAR(10)&amp;CHAR(10)&amp;"إذا رغبت، يمكننا توضيح لماذا هذا الكورس هو الأنسب لكم الآن.")</x:f>
      </x:c>
      <x:c r="N212" s="12" t="str">
        <x:f>IF(D212="","",HYPERLINK("https://wa.me/"&amp;REGEXREPLACE(D212,"[^\d]","")&amp;"?text="&amp;ENCODEURL(M212),"واتساب 2"))</x:f>
      </x:c>
      <x:c r="O212" s="12" t="str">
        <x:f>IF(A212="","","مرحبًا "&amp;C212&amp;CHAR(10)&amp;CHAR(10)&amp;"إذا كانت التحديات لديكم تحتاج حلًا أشمل، فالبرنامج الكامل المناسب لكم هو: "&amp;H212&amp;"."&amp;IF(I212&lt;&gt;"",CHAR(10)&amp;"كما يمكنكم أيضًا حجز: "&amp;I212&amp;".","")&amp;IF(J212&lt;&gt;"",CHAR(10)&amp;CHAR(10)&amp;"رابط التقرير: "&amp;J212,"")&amp;CHAR(10)&amp;CHAR(10)&amp;"يسعدنا مساعدتكم في اختيار المسار الأنسب حسب وضع العيادة الحالي.")</x:f>
      </x:c>
      <x:c r="P212" s="12" t="str">
        <x:f>IF(D212="","",HYPERLINK("https://wa.me/"&amp;REGEXREPLACE(D212,"[^\d]","")&amp;"?text="&amp;ENCODEURL(O212),"واتساب 3"))</x:f>
      </x:c>
    </x:row>
    <x:row r="213" ht="15" hidden="0" customHeight="1">
      <x:c r="A213" s="12" t="str">
        <x:f>IF(Leads!A213="","",Leads!A213)</x:f>
      </x:c>
      <x:c r="B213" s="12" t="str">
        <x:f>IF(Leads!F213="","",Leads!F213)</x:f>
      </x:c>
      <x:c r="C213" s="12" t="str">
        <x:f>IF(Leads!G213="","",Leads!G213)</x:f>
      </x:c>
      <x:c r="D213" s="12" t="str">
        <x:f>IF(Leads!O213="","",Leads!O213)</x:f>
      </x:c>
      <x:c r="E213" s="12" t="str">
        <x:f>IF(Leads!AV213="","",Leads!AV213)</x:f>
      </x:c>
      <x:c r="F213" s="12" t="str">
        <x:f>IF(Leads!AX213="","",Leads!AX213)</x:f>
      </x:c>
      <x:c r="G213" s="12" t="str">
        <x:f>IF(Leads!BC213="","",Leads!BC213)</x:f>
      </x:c>
      <x:c r="H213" s="12" t="str">
        <x:f>IF(Leads!BE213="","",Leads!BE213)</x:f>
      </x:c>
      <x:c r="I213" s="12" t="str">
        <x:f>IF(Leads!BG213="","",Leads!BG213)</x:f>
      </x:c>
      <x:c r="J213" s="12" t="str">
        <x:f>IF(Leads!BH213="","",Leads!BH213)</x:f>
      </x:c>
      <x:c r="K213" s="12" t="str">
        <x:f>IF(A213="","","مرحبًا "&amp;C213&amp;CHAR(10)&amp;CHAR(10)&amp;"شكرًا لإتمام تقييم DBD الخاص بعيادة "&amp;B213&amp;"."&amp;CHAR(10)&amp;"نتيجتكم الحالية: "&amp;E213&amp;"%."&amp;CHAR(10)&amp;"أولوية التحسين الأولى: "&amp;F213&amp;"."&amp;IF(J213&lt;&gt;"",CHAR(10)&amp;CHAR(10)&amp;"رابط التقرير: "&amp;J213,"")&amp;CHAR(10)&amp;CHAR(10)&amp;"إذا أحببت، يمكننا مساعدتك في فهم التقرير وتحديد أفضل خطوة تالية لعيادتكم.")</x:f>
      </x:c>
      <x:c r="L213" s="12" t="str">
        <x:f>IF(D213="","",HYPERLINK("https://wa.me/"&amp;REGEXREPLACE(D213,"[^\d]","")&amp;"?text="&amp;ENCODEURL(K213),"واتساب 1"))</x:f>
      </x:c>
      <x:c r="M213" s="12" t="str">
        <x:f>IF(A213="","","مرحبًا "&amp;C213&amp;CHAR(10)&amp;CHAR(10)&amp;"بناءً على نتيجة تقييم عيادة "&amp;B213&amp;"، فإن الترشيح الأقوى لكم الآن هو: "&amp;G213&amp;"."&amp;CHAR(10)&amp;"هذا الخيار يساعدكم في معالجة أكبر فجوة حالية بشكل عملي ومباشر."&amp;IF(J213&lt;&gt;"",CHAR(10)&amp;CHAR(10)&amp;"رابط التقرير: "&amp;J213,"")&amp;CHAR(10)&amp;CHAR(10)&amp;"إذا رغبت، يمكننا توضيح لماذا هذا الكورس هو الأنسب لكم الآن.")</x:f>
      </x:c>
      <x:c r="N213" s="12" t="str">
        <x:f>IF(D213="","",HYPERLINK("https://wa.me/"&amp;REGEXREPLACE(D213,"[^\d]","")&amp;"?text="&amp;ENCODEURL(M213),"واتساب 2"))</x:f>
      </x:c>
      <x:c r="O213" s="12" t="str">
        <x:f>IF(A213="","","مرحبًا "&amp;C213&amp;CHAR(10)&amp;CHAR(10)&amp;"إذا كانت التحديات لديكم تحتاج حلًا أشمل، فالبرنامج الكامل المناسب لكم هو: "&amp;H213&amp;"."&amp;IF(I213&lt;&gt;"",CHAR(10)&amp;"كما يمكنكم أيضًا حجز: "&amp;I213&amp;".","")&amp;IF(J213&lt;&gt;"",CHAR(10)&amp;CHAR(10)&amp;"رابط التقرير: "&amp;J213,"")&amp;CHAR(10)&amp;CHAR(10)&amp;"يسعدنا مساعدتكم في اختيار المسار الأنسب حسب وضع العيادة الحالي.")</x:f>
      </x:c>
      <x:c r="P213" s="12" t="str">
        <x:f>IF(D213="","",HYPERLINK("https://wa.me/"&amp;REGEXREPLACE(D213,"[^\d]","")&amp;"?text="&amp;ENCODEURL(O213),"واتساب 3"))</x:f>
      </x:c>
    </x:row>
    <x:row r="214" ht="15" hidden="0" customHeight="1">
      <x:c r="A214" s="12" t="str">
        <x:f>IF(Leads!A214="","",Leads!A214)</x:f>
      </x:c>
      <x:c r="B214" s="12" t="str">
        <x:f>IF(Leads!F214="","",Leads!F214)</x:f>
      </x:c>
      <x:c r="C214" s="12" t="str">
        <x:f>IF(Leads!G214="","",Leads!G214)</x:f>
      </x:c>
      <x:c r="D214" s="12" t="str">
        <x:f>IF(Leads!O214="","",Leads!O214)</x:f>
      </x:c>
      <x:c r="E214" s="12" t="str">
        <x:f>IF(Leads!AV214="","",Leads!AV214)</x:f>
      </x:c>
      <x:c r="F214" s="12" t="str">
        <x:f>IF(Leads!AX214="","",Leads!AX214)</x:f>
      </x:c>
      <x:c r="G214" s="12" t="str">
        <x:f>IF(Leads!BC214="","",Leads!BC214)</x:f>
      </x:c>
      <x:c r="H214" s="12" t="str">
        <x:f>IF(Leads!BE214="","",Leads!BE214)</x:f>
      </x:c>
      <x:c r="I214" s="12" t="str">
        <x:f>IF(Leads!BG214="","",Leads!BG214)</x:f>
      </x:c>
      <x:c r="J214" s="12" t="str">
        <x:f>IF(Leads!BH214="","",Leads!BH214)</x:f>
      </x:c>
      <x:c r="K214" s="12" t="str">
        <x:f>IF(A214="","","مرحبًا "&amp;C214&amp;CHAR(10)&amp;CHAR(10)&amp;"شكرًا لإتمام تقييم DBD الخاص بعيادة "&amp;B214&amp;"."&amp;CHAR(10)&amp;"نتيجتكم الحالية: "&amp;E214&amp;"%."&amp;CHAR(10)&amp;"أولوية التحسين الأولى: "&amp;F214&amp;"."&amp;IF(J214&lt;&gt;"",CHAR(10)&amp;CHAR(10)&amp;"رابط التقرير: "&amp;J214,"")&amp;CHAR(10)&amp;CHAR(10)&amp;"إذا أحببت، يمكننا مساعدتك في فهم التقرير وتحديد أفضل خطوة تالية لعيادتكم.")</x:f>
      </x:c>
      <x:c r="L214" s="12" t="str">
        <x:f>IF(D214="","",HYPERLINK("https://wa.me/"&amp;REGEXREPLACE(D214,"[^\d]","")&amp;"?text="&amp;ENCODEURL(K214),"واتساب 1"))</x:f>
      </x:c>
      <x:c r="M214" s="12" t="str">
        <x:f>IF(A214="","","مرحبًا "&amp;C214&amp;CHAR(10)&amp;CHAR(10)&amp;"بناءً على نتيجة تقييم عيادة "&amp;B214&amp;"، فإن الترشيح الأقوى لكم الآن هو: "&amp;G214&amp;"."&amp;CHAR(10)&amp;"هذا الخيار يساعدكم في معالجة أكبر فجوة حالية بشكل عملي ومباشر."&amp;IF(J214&lt;&gt;"",CHAR(10)&amp;CHAR(10)&amp;"رابط التقرير: "&amp;J214,"")&amp;CHAR(10)&amp;CHAR(10)&amp;"إذا رغبت، يمكننا توضيح لماذا هذا الكورس هو الأنسب لكم الآن.")</x:f>
      </x:c>
      <x:c r="N214" s="12" t="str">
        <x:f>IF(D214="","",HYPERLINK("https://wa.me/"&amp;REGEXREPLACE(D214,"[^\d]","")&amp;"?text="&amp;ENCODEURL(M214),"واتساب 2"))</x:f>
      </x:c>
      <x:c r="O214" s="12" t="str">
        <x:f>IF(A214="","","مرحبًا "&amp;C214&amp;CHAR(10)&amp;CHAR(10)&amp;"إذا كانت التحديات لديكم تحتاج حلًا أشمل، فالبرنامج الكامل المناسب لكم هو: "&amp;H214&amp;"."&amp;IF(I214&lt;&gt;"",CHAR(10)&amp;"كما يمكنكم أيضًا حجز: "&amp;I214&amp;".","")&amp;IF(J214&lt;&gt;"",CHAR(10)&amp;CHAR(10)&amp;"رابط التقرير: "&amp;J214,"")&amp;CHAR(10)&amp;CHAR(10)&amp;"يسعدنا مساعدتكم في اختيار المسار الأنسب حسب وضع العيادة الحالي.")</x:f>
      </x:c>
      <x:c r="P214" s="12" t="str">
        <x:f>IF(D214="","",HYPERLINK("https://wa.me/"&amp;REGEXREPLACE(D214,"[^\d]","")&amp;"?text="&amp;ENCODEURL(O214),"واتساب 3"))</x:f>
      </x:c>
    </x:row>
    <x:row r="215" ht="15" hidden="0" customHeight="1">
      <x:c r="A215" s="12" t="str">
        <x:f>IF(Leads!A215="","",Leads!A215)</x:f>
      </x:c>
      <x:c r="B215" s="12" t="str">
        <x:f>IF(Leads!F215="","",Leads!F215)</x:f>
      </x:c>
      <x:c r="C215" s="12" t="str">
        <x:f>IF(Leads!G215="","",Leads!G215)</x:f>
      </x:c>
      <x:c r="D215" s="12" t="str">
        <x:f>IF(Leads!O215="","",Leads!O215)</x:f>
      </x:c>
      <x:c r="E215" s="12" t="str">
        <x:f>IF(Leads!AV215="","",Leads!AV215)</x:f>
      </x:c>
      <x:c r="F215" s="12" t="str">
        <x:f>IF(Leads!AX215="","",Leads!AX215)</x:f>
      </x:c>
      <x:c r="G215" s="12" t="str">
        <x:f>IF(Leads!BC215="","",Leads!BC215)</x:f>
      </x:c>
      <x:c r="H215" s="12" t="str">
        <x:f>IF(Leads!BE215="","",Leads!BE215)</x:f>
      </x:c>
      <x:c r="I215" s="12" t="str">
        <x:f>IF(Leads!BG215="","",Leads!BG215)</x:f>
      </x:c>
      <x:c r="J215" s="12" t="str">
        <x:f>IF(Leads!BH215="","",Leads!BH215)</x:f>
      </x:c>
      <x:c r="K215" s="12" t="str">
        <x:f>IF(A215="","","مرحبًا "&amp;C215&amp;CHAR(10)&amp;CHAR(10)&amp;"شكرًا لإتمام تقييم DBD الخاص بعيادة "&amp;B215&amp;"."&amp;CHAR(10)&amp;"نتيجتكم الحالية: "&amp;E215&amp;"%."&amp;CHAR(10)&amp;"أولوية التحسين الأولى: "&amp;F215&amp;"."&amp;IF(J215&lt;&gt;"",CHAR(10)&amp;CHAR(10)&amp;"رابط التقرير: "&amp;J215,"")&amp;CHAR(10)&amp;CHAR(10)&amp;"إذا أحببت، يمكننا مساعدتك في فهم التقرير وتحديد أفضل خطوة تالية لعيادتكم.")</x:f>
      </x:c>
      <x:c r="L215" s="12" t="str">
        <x:f>IF(D215="","",HYPERLINK("https://wa.me/"&amp;REGEXREPLACE(D215,"[^\d]","")&amp;"?text="&amp;ENCODEURL(K215),"واتساب 1"))</x:f>
      </x:c>
      <x:c r="M215" s="12" t="str">
        <x:f>IF(A215="","","مرحبًا "&amp;C215&amp;CHAR(10)&amp;CHAR(10)&amp;"بناءً على نتيجة تقييم عيادة "&amp;B215&amp;"، فإن الترشيح الأقوى لكم الآن هو: "&amp;G215&amp;"."&amp;CHAR(10)&amp;"هذا الخيار يساعدكم في معالجة أكبر فجوة حالية بشكل عملي ومباشر."&amp;IF(J215&lt;&gt;"",CHAR(10)&amp;CHAR(10)&amp;"رابط التقرير: "&amp;J215,"")&amp;CHAR(10)&amp;CHAR(10)&amp;"إذا رغبت، يمكننا توضيح لماذا هذا الكورس هو الأنسب لكم الآن.")</x:f>
      </x:c>
      <x:c r="N215" s="12" t="str">
        <x:f>IF(D215="","",HYPERLINK("https://wa.me/"&amp;REGEXREPLACE(D215,"[^\d]","")&amp;"?text="&amp;ENCODEURL(M215),"واتساب 2"))</x:f>
      </x:c>
      <x:c r="O215" s="12" t="str">
        <x:f>IF(A215="","","مرحبًا "&amp;C215&amp;CHAR(10)&amp;CHAR(10)&amp;"إذا كانت التحديات لديكم تحتاج حلًا أشمل، فالبرنامج الكامل المناسب لكم هو: "&amp;H215&amp;"."&amp;IF(I215&lt;&gt;"",CHAR(10)&amp;"كما يمكنكم أيضًا حجز: "&amp;I215&amp;".","")&amp;IF(J215&lt;&gt;"",CHAR(10)&amp;CHAR(10)&amp;"رابط التقرير: "&amp;J215,"")&amp;CHAR(10)&amp;CHAR(10)&amp;"يسعدنا مساعدتكم في اختيار المسار الأنسب حسب وضع العيادة الحالي.")</x:f>
      </x:c>
      <x:c r="P215" s="12" t="str">
        <x:f>IF(D215="","",HYPERLINK("https://wa.me/"&amp;REGEXREPLACE(D215,"[^\d]","")&amp;"?text="&amp;ENCODEURL(O215),"واتساب 3"))</x:f>
      </x:c>
    </x:row>
    <x:row r="216" ht="15" hidden="0" customHeight="1">
      <x:c r="A216" s="12" t="str">
        <x:f>IF(Leads!A216="","",Leads!A216)</x:f>
      </x:c>
      <x:c r="B216" s="12" t="str">
        <x:f>IF(Leads!F216="","",Leads!F216)</x:f>
      </x:c>
      <x:c r="C216" s="12" t="str">
        <x:f>IF(Leads!G216="","",Leads!G216)</x:f>
      </x:c>
      <x:c r="D216" s="12" t="str">
        <x:f>IF(Leads!O216="","",Leads!O216)</x:f>
      </x:c>
      <x:c r="E216" s="12" t="str">
        <x:f>IF(Leads!AV216="","",Leads!AV216)</x:f>
      </x:c>
      <x:c r="F216" s="12" t="str">
        <x:f>IF(Leads!AX216="","",Leads!AX216)</x:f>
      </x:c>
      <x:c r="G216" s="12" t="str">
        <x:f>IF(Leads!BC216="","",Leads!BC216)</x:f>
      </x:c>
      <x:c r="H216" s="12" t="str">
        <x:f>IF(Leads!BE216="","",Leads!BE216)</x:f>
      </x:c>
      <x:c r="I216" s="12" t="str">
        <x:f>IF(Leads!BG216="","",Leads!BG216)</x:f>
      </x:c>
      <x:c r="J216" s="12" t="str">
        <x:f>IF(Leads!BH216="","",Leads!BH216)</x:f>
      </x:c>
      <x:c r="K216" s="12" t="str">
        <x:f>IF(A216="","","مرحبًا "&amp;C216&amp;CHAR(10)&amp;CHAR(10)&amp;"شكرًا لإتمام تقييم DBD الخاص بعيادة "&amp;B216&amp;"."&amp;CHAR(10)&amp;"نتيجتكم الحالية: "&amp;E216&amp;"%."&amp;CHAR(10)&amp;"أولوية التحسين الأولى: "&amp;F216&amp;"."&amp;IF(J216&lt;&gt;"",CHAR(10)&amp;CHAR(10)&amp;"رابط التقرير: "&amp;J216,"")&amp;CHAR(10)&amp;CHAR(10)&amp;"إذا أحببت، يمكننا مساعدتك في فهم التقرير وتحديد أفضل خطوة تالية لعيادتكم.")</x:f>
      </x:c>
      <x:c r="L216" s="12" t="str">
        <x:f>IF(D216="","",HYPERLINK("https://wa.me/"&amp;REGEXREPLACE(D216,"[^\d]","")&amp;"?text="&amp;ENCODEURL(K216),"واتساب 1"))</x:f>
      </x:c>
      <x:c r="M216" s="12" t="str">
        <x:f>IF(A216="","","مرحبًا "&amp;C216&amp;CHAR(10)&amp;CHAR(10)&amp;"بناءً على نتيجة تقييم عيادة "&amp;B216&amp;"، فإن الترشيح الأقوى لكم الآن هو: "&amp;G216&amp;"."&amp;CHAR(10)&amp;"هذا الخيار يساعدكم في معالجة أكبر فجوة حالية بشكل عملي ومباشر."&amp;IF(J216&lt;&gt;"",CHAR(10)&amp;CHAR(10)&amp;"رابط التقرير: "&amp;J216,"")&amp;CHAR(10)&amp;CHAR(10)&amp;"إذا رغبت، يمكننا توضيح لماذا هذا الكورس هو الأنسب لكم الآن.")</x:f>
      </x:c>
      <x:c r="N216" s="12" t="str">
        <x:f>IF(D216="","",HYPERLINK("https://wa.me/"&amp;REGEXREPLACE(D216,"[^\d]","")&amp;"?text="&amp;ENCODEURL(M216),"واتساب 2"))</x:f>
      </x:c>
      <x:c r="O216" s="12" t="str">
        <x:f>IF(A216="","","مرحبًا "&amp;C216&amp;CHAR(10)&amp;CHAR(10)&amp;"إذا كانت التحديات لديكم تحتاج حلًا أشمل، فالبرنامج الكامل المناسب لكم هو: "&amp;H216&amp;"."&amp;IF(I216&lt;&gt;"",CHAR(10)&amp;"كما يمكنكم أيضًا حجز: "&amp;I216&amp;".","")&amp;IF(J216&lt;&gt;"",CHAR(10)&amp;CHAR(10)&amp;"رابط التقرير: "&amp;J216,"")&amp;CHAR(10)&amp;CHAR(10)&amp;"يسعدنا مساعدتكم في اختيار المسار الأنسب حسب وضع العيادة الحالي.")</x:f>
      </x:c>
      <x:c r="P216" s="12" t="str">
        <x:f>IF(D216="","",HYPERLINK("https://wa.me/"&amp;REGEXREPLACE(D216,"[^\d]","")&amp;"?text="&amp;ENCODEURL(O216),"واتساب 3"))</x:f>
      </x:c>
    </x:row>
    <x:row r="217" ht="15" hidden="0" customHeight="1">
      <x:c r="A217" s="12" t="str">
        <x:f>IF(Leads!A217="","",Leads!A217)</x:f>
      </x:c>
      <x:c r="B217" s="12" t="str">
        <x:f>IF(Leads!F217="","",Leads!F217)</x:f>
      </x:c>
      <x:c r="C217" s="12" t="str">
        <x:f>IF(Leads!G217="","",Leads!G217)</x:f>
      </x:c>
      <x:c r="D217" s="12" t="str">
        <x:f>IF(Leads!O217="","",Leads!O217)</x:f>
      </x:c>
      <x:c r="E217" s="12" t="str">
        <x:f>IF(Leads!AV217="","",Leads!AV217)</x:f>
      </x:c>
      <x:c r="F217" s="12" t="str">
        <x:f>IF(Leads!AX217="","",Leads!AX217)</x:f>
      </x:c>
      <x:c r="G217" s="12" t="str">
        <x:f>IF(Leads!BC217="","",Leads!BC217)</x:f>
      </x:c>
      <x:c r="H217" s="12" t="str">
        <x:f>IF(Leads!BE217="","",Leads!BE217)</x:f>
      </x:c>
      <x:c r="I217" s="12" t="str">
        <x:f>IF(Leads!BG217="","",Leads!BG217)</x:f>
      </x:c>
      <x:c r="J217" s="12" t="str">
        <x:f>IF(Leads!BH217="","",Leads!BH217)</x:f>
      </x:c>
      <x:c r="K217" s="12" t="str">
        <x:f>IF(A217="","","مرحبًا "&amp;C217&amp;CHAR(10)&amp;CHAR(10)&amp;"شكرًا لإتمام تقييم DBD الخاص بعيادة "&amp;B217&amp;"."&amp;CHAR(10)&amp;"نتيجتكم الحالية: "&amp;E217&amp;"%."&amp;CHAR(10)&amp;"أولوية التحسين الأولى: "&amp;F217&amp;"."&amp;IF(J217&lt;&gt;"",CHAR(10)&amp;CHAR(10)&amp;"رابط التقرير: "&amp;J217,"")&amp;CHAR(10)&amp;CHAR(10)&amp;"إذا أحببت، يمكننا مساعدتك في فهم التقرير وتحديد أفضل خطوة تالية لعيادتكم.")</x:f>
      </x:c>
      <x:c r="L217" s="12" t="str">
        <x:f>IF(D217="","",HYPERLINK("https://wa.me/"&amp;REGEXREPLACE(D217,"[^\d]","")&amp;"?text="&amp;ENCODEURL(K217),"واتساب 1"))</x:f>
      </x:c>
      <x:c r="M217" s="12" t="str">
        <x:f>IF(A217="","","مرحبًا "&amp;C217&amp;CHAR(10)&amp;CHAR(10)&amp;"بناءً على نتيجة تقييم عيادة "&amp;B217&amp;"، فإن الترشيح الأقوى لكم الآن هو: "&amp;G217&amp;"."&amp;CHAR(10)&amp;"هذا الخيار يساعدكم في معالجة أكبر فجوة حالية بشكل عملي ومباشر."&amp;IF(J217&lt;&gt;"",CHAR(10)&amp;CHAR(10)&amp;"رابط التقرير: "&amp;J217,"")&amp;CHAR(10)&amp;CHAR(10)&amp;"إذا رغبت، يمكننا توضيح لماذا هذا الكورس هو الأنسب لكم الآن.")</x:f>
      </x:c>
      <x:c r="N217" s="12" t="str">
        <x:f>IF(D217="","",HYPERLINK("https://wa.me/"&amp;REGEXREPLACE(D217,"[^\d]","")&amp;"?text="&amp;ENCODEURL(M217),"واتساب 2"))</x:f>
      </x:c>
      <x:c r="O217" s="12" t="str">
        <x:f>IF(A217="","","مرحبًا "&amp;C217&amp;CHAR(10)&amp;CHAR(10)&amp;"إذا كانت التحديات لديكم تحتاج حلًا أشمل، فالبرنامج الكامل المناسب لكم هو: "&amp;H217&amp;"."&amp;IF(I217&lt;&gt;"",CHAR(10)&amp;"كما يمكنكم أيضًا حجز: "&amp;I217&amp;".","")&amp;IF(J217&lt;&gt;"",CHAR(10)&amp;CHAR(10)&amp;"رابط التقرير: "&amp;J217,"")&amp;CHAR(10)&amp;CHAR(10)&amp;"يسعدنا مساعدتكم في اختيار المسار الأنسب حسب وضع العيادة الحالي.")</x:f>
      </x:c>
      <x:c r="P217" s="12" t="str">
        <x:f>IF(D217="","",HYPERLINK("https://wa.me/"&amp;REGEXREPLACE(D217,"[^\d]","")&amp;"?text="&amp;ENCODEURL(O217),"واتساب 3"))</x:f>
      </x:c>
    </x:row>
    <x:row r="218" ht="15" hidden="0" customHeight="1">
      <x:c r="A218" s="12" t="str">
        <x:f>IF(Leads!A218="","",Leads!A218)</x:f>
      </x:c>
      <x:c r="B218" s="12" t="str">
        <x:f>IF(Leads!F218="","",Leads!F218)</x:f>
      </x:c>
      <x:c r="C218" s="12" t="str">
        <x:f>IF(Leads!G218="","",Leads!G218)</x:f>
      </x:c>
      <x:c r="D218" s="12" t="str">
        <x:f>IF(Leads!O218="","",Leads!O218)</x:f>
      </x:c>
      <x:c r="E218" s="12" t="str">
        <x:f>IF(Leads!AV218="","",Leads!AV218)</x:f>
      </x:c>
      <x:c r="F218" s="12" t="str">
        <x:f>IF(Leads!AX218="","",Leads!AX218)</x:f>
      </x:c>
      <x:c r="G218" s="12" t="str">
        <x:f>IF(Leads!BC218="","",Leads!BC218)</x:f>
      </x:c>
      <x:c r="H218" s="12" t="str">
        <x:f>IF(Leads!BE218="","",Leads!BE218)</x:f>
      </x:c>
      <x:c r="I218" s="12" t="str">
        <x:f>IF(Leads!BG218="","",Leads!BG218)</x:f>
      </x:c>
      <x:c r="J218" s="12" t="str">
        <x:f>IF(Leads!BH218="","",Leads!BH218)</x:f>
      </x:c>
      <x:c r="K218" s="12" t="str">
        <x:f>IF(A218="","","مرحبًا "&amp;C218&amp;CHAR(10)&amp;CHAR(10)&amp;"شكرًا لإتمام تقييم DBD الخاص بعيادة "&amp;B218&amp;"."&amp;CHAR(10)&amp;"نتيجتكم الحالية: "&amp;E218&amp;"%."&amp;CHAR(10)&amp;"أولوية التحسين الأولى: "&amp;F218&amp;"."&amp;IF(J218&lt;&gt;"",CHAR(10)&amp;CHAR(10)&amp;"رابط التقرير: "&amp;J218,"")&amp;CHAR(10)&amp;CHAR(10)&amp;"إذا أحببت، يمكننا مساعدتك في فهم التقرير وتحديد أفضل خطوة تالية لعيادتكم.")</x:f>
      </x:c>
      <x:c r="L218" s="12" t="str">
        <x:f>IF(D218="","",HYPERLINK("https://wa.me/"&amp;REGEXREPLACE(D218,"[^\d]","")&amp;"?text="&amp;ENCODEURL(K218),"واتساب 1"))</x:f>
      </x:c>
      <x:c r="M218" s="12" t="str">
        <x:f>IF(A218="","","مرحبًا "&amp;C218&amp;CHAR(10)&amp;CHAR(10)&amp;"بناءً على نتيجة تقييم عيادة "&amp;B218&amp;"، فإن الترشيح الأقوى لكم الآن هو: "&amp;G218&amp;"."&amp;CHAR(10)&amp;"هذا الخيار يساعدكم في معالجة أكبر فجوة حالية بشكل عملي ومباشر."&amp;IF(J218&lt;&gt;"",CHAR(10)&amp;CHAR(10)&amp;"رابط التقرير: "&amp;J218,"")&amp;CHAR(10)&amp;CHAR(10)&amp;"إذا رغبت، يمكننا توضيح لماذا هذا الكورس هو الأنسب لكم الآن.")</x:f>
      </x:c>
      <x:c r="N218" s="12" t="str">
        <x:f>IF(D218="","",HYPERLINK("https://wa.me/"&amp;REGEXREPLACE(D218,"[^\d]","")&amp;"?text="&amp;ENCODEURL(M218),"واتساب 2"))</x:f>
      </x:c>
      <x:c r="O218" s="12" t="str">
        <x:f>IF(A218="","","مرحبًا "&amp;C218&amp;CHAR(10)&amp;CHAR(10)&amp;"إذا كانت التحديات لديكم تحتاج حلًا أشمل، فالبرنامج الكامل المناسب لكم هو: "&amp;H218&amp;"."&amp;IF(I218&lt;&gt;"",CHAR(10)&amp;"كما يمكنكم أيضًا حجز: "&amp;I218&amp;".","")&amp;IF(J218&lt;&gt;"",CHAR(10)&amp;CHAR(10)&amp;"رابط التقرير: "&amp;J218,"")&amp;CHAR(10)&amp;CHAR(10)&amp;"يسعدنا مساعدتكم في اختيار المسار الأنسب حسب وضع العيادة الحالي.")</x:f>
      </x:c>
      <x:c r="P218" s="12" t="str">
        <x:f>IF(D218="","",HYPERLINK("https://wa.me/"&amp;REGEXREPLACE(D218,"[^\d]","")&amp;"?text="&amp;ENCODEURL(O218),"واتساب 3"))</x:f>
      </x:c>
    </x:row>
    <x:row r="219" ht="15" hidden="0" customHeight="1">
      <x:c r="A219" s="12" t="str">
        <x:f>IF(Leads!A219="","",Leads!A219)</x:f>
      </x:c>
      <x:c r="B219" s="12" t="str">
        <x:f>IF(Leads!F219="","",Leads!F219)</x:f>
      </x:c>
      <x:c r="C219" s="12" t="str">
        <x:f>IF(Leads!G219="","",Leads!G219)</x:f>
      </x:c>
      <x:c r="D219" s="12" t="str">
        <x:f>IF(Leads!O219="","",Leads!O219)</x:f>
      </x:c>
      <x:c r="E219" s="12" t="str">
        <x:f>IF(Leads!AV219="","",Leads!AV219)</x:f>
      </x:c>
      <x:c r="F219" s="12" t="str">
        <x:f>IF(Leads!AX219="","",Leads!AX219)</x:f>
      </x:c>
      <x:c r="G219" s="12" t="str">
        <x:f>IF(Leads!BC219="","",Leads!BC219)</x:f>
      </x:c>
      <x:c r="H219" s="12" t="str">
        <x:f>IF(Leads!BE219="","",Leads!BE219)</x:f>
      </x:c>
      <x:c r="I219" s="12" t="str">
        <x:f>IF(Leads!BG219="","",Leads!BG219)</x:f>
      </x:c>
      <x:c r="J219" s="12" t="str">
        <x:f>IF(Leads!BH219="","",Leads!BH219)</x:f>
      </x:c>
      <x:c r="K219" s="12" t="str">
        <x:f>IF(A219="","","مرحبًا "&amp;C219&amp;CHAR(10)&amp;CHAR(10)&amp;"شكرًا لإتمام تقييم DBD الخاص بعيادة "&amp;B219&amp;"."&amp;CHAR(10)&amp;"نتيجتكم الحالية: "&amp;E219&amp;"%."&amp;CHAR(10)&amp;"أولوية التحسين الأولى: "&amp;F219&amp;"."&amp;IF(J219&lt;&gt;"",CHAR(10)&amp;CHAR(10)&amp;"رابط التقرير: "&amp;J219,"")&amp;CHAR(10)&amp;CHAR(10)&amp;"إذا أحببت، يمكننا مساعدتك في فهم التقرير وتحديد أفضل خطوة تالية لعيادتكم.")</x:f>
      </x:c>
      <x:c r="L219" s="12" t="str">
        <x:f>IF(D219="","",HYPERLINK("https://wa.me/"&amp;REGEXREPLACE(D219,"[^\d]","")&amp;"?text="&amp;ENCODEURL(K219),"واتساب 1"))</x:f>
      </x:c>
      <x:c r="M219" s="12" t="str">
        <x:f>IF(A219="","","مرحبًا "&amp;C219&amp;CHAR(10)&amp;CHAR(10)&amp;"بناءً على نتيجة تقييم عيادة "&amp;B219&amp;"، فإن الترشيح الأقوى لكم الآن هو: "&amp;G219&amp;"."&amp;CHAR(10)&amp;"هذا الخيار يساعدكم في معالجة أكبر فجوة حالية بشكل عملي ومباشر."&amp;IF(J219&lt;&gt;"",CHAR(10)&amp;CHAR(10)&amp;"رابط التقرير: "&amp;J219,"")&amp;CHAR(10)&amp;CHAR(10)&amp;"إذا رغبت، يمكننا توضيح لماذا هذا الكورس هو الأنسب لكم الآن.")</x:f>
      </x:c>
      <x:c r="N219" s="12" t="str">
        <x:f>IF(D219="","",HYPERLINK("https://wa.me/"&amp;REGEXREPLACE(D219,"[^\d]","")&amp;"?text="&amp;ENCODEURL(M219),"واتساب 2"))</x:f>
      </x:c>
      <x:c r="O219" s="12" t="str">
        <x:f>IF(A219="","","مرحبًا "&amp;C219&amp;CHAR(10)&amp;CHAR(10)&amp;"إذا كانت التحديات لديكم تحتاج حلًا أشمل، فالبرنامج الكامل المناسب لكم هو: "&amp;H219&amp;"."&amp;IF(I219&lt;&gt;"",CHAR(10)&amp;"كما يمكنكم أيضًا حجز: "&amp;I219&amp;".","")&amp;IF(J219&lt;&gt;"",CHAR(10)&amp;CHAR(10)&amp;"رابط التقرير: "&amp;J219,"")&amp;CHAR(10)&amp;CHAR(10)&amp;"يسعدنا مساعدتكم في اختيار المسار الأنسب حسب وضع العيادة الحالي.")</x:f>
      </x:c>
      <x:c r="P219" s="12" t="str">
        <x:f>IF(D219="","",HYPERLINK("https://wa.me/"&amp;REGEXREPLACE(D219,"[^\d]","")&amp;"?text="&amp;ENCODEURL(O219),"واتساب 3"))</x:f>
      </x:c>
    </x:row>
    <x:row r="220" ht="15" hidden="0" customHeight="1">
      <x:c r="A220" s="12" t="str">
        <x:f>IF(Leads!A220="","",Leads!A220)</x:f>
      </x:c>
      <x:c r="B220" s="12" t="str">
        <x:f>IF(Leads!F220="","",Leads!F220)</x:f>
      </x:c>
      <x:c r="C220" s="12" t="str">
        <x:f>IF(Leads!G220="","",Leads!G220)</x:f>
      </x:c>
      <x:c r="D220" s="12" t="str">
        <x:f>IF(Leads!O220="","",Leads!O220)</x:f>
      </x:c>
      <x:c r="E220" s="12" t="str">
        <x:f>IF(Leads!AV220="","",Leads!AV220)</x:f>
      </x:c>
      <x:c r="F220" s="12" t="str">
        <x:f>IF(Leads!AX220="","",Leads!AX220)</x:f>
      </x:c>
      <x:c r="G220" s="12" t="str">
        <x:f>IF(Leads!BC220="","",Leads!BC220)</x:f>
      </x:c>
      <x:c r="H220" s="12" t="str">
        <x:f>IF(Leads!BE220="","",Leads!BE220)</x:f>
      </x:c>
      <x:c r="I220" s="12" t="str">
        <x:f>IF(Leads!BG220="","",Leads!BG220)</x:f>
      </x:c>
      <x:c r="J220" s="12" t="str">
        <x:f>IF(Leads!BH220="","",Leads!BH220)</x:f>
      </x:c>
      <x:c r="K220" s="12" t="str">
        <x:f>IF(A220="","","مرحبًا "&amp;C220&amp;CHAR(10)&amp;CHAR(10)&amp;"شكرًا لإتمام تقييم DBD الخاص بعيادة "&amp;B220&amp;"."&amp;CHAR(10)&amp;"نتيجتكم الحالية: "&amp;E220&amp;"%."&amp;CHAR(10)&amp;"أولوية التحسين الأولى: "&amp;F220&amp;"."&amp;IF(J220&lt;&gt;"",CHAR(10)&amp;CHAR(10)&amp;"رابط التقرير: "&amp;J220,"")&amp;CHAR(10)&amp;CHAR(10)&amp;"إذا أحببت، يمكننا مساعدتك في فهم التقرير وتحديد أفضل خطوة تالية لعيادتكم.")</x:f>
      </x:c>
      <x:c r="L220" s="12" t="str">
        <x:f>IF(D220="","",HYPERLINK("https://wa.me/"&amp;REGEXREPLACE(D220,"[^\d]","")&amp;"?text="&amp;ENCODEURL(K220),"واتساب 1"))</x:f>
      </x:c>
      <x:c r="M220" s="12" t="str">
        <x:f>IF(A220="","","مرحبًا "&amp;C220&amp;CHAR(10)&amp;CHAR(10)&amp;"بناءً على نتيجة تقييم عيادة "&amp;B220&amp;"، فإن الترشيح الأقوى لكم الآن هو: "&amp;G220&amp;"."&amp;CHAR(10)&amp;"هذا الخيار يساعدكم في معالجة أكبر فجوة حالية بشكل عملي ومباشر."&amp;IF(J220&lt;&gt;"",CHAR(10)&amp;CHAR(10)&amp;"رابط التقرير: "&amp;J220,"")&amp;CHAR(10)&amp;CHAR(10)&amp;"إذا رغبت، يمكننا توضيح لماذا هذا الكورس هو الأنسب لكم الآن.")</x:f>
      </x:c>
      <x:c r="N220" s="12" t="str">
        <x:f>IF(D220="","",HYPERLINK("https://wa.me/"&amp;REGEXREPLACE(D220,"[^\d]","")&amp;"?text="&amp;ENCODEURL(M220),"واتساب 2"))</x:f>
      </x:c>
      <x:c r="O220" s="12" t="str">
        <x:f>IF(A220="","","مرحبًا "&amp;C220&amp;CHAR(10)&amp;CHAR(10)&amp;"إذا كانت التحديات لديكم تحتاج حلًا أشمل، فالبرنامج الكامل المناسب لكم هو: "&amp;H220&amp;"."&amp;IF(I220&lt;&gt;"",CHAR(10)&amp;"كما يمكنكم أيضًا حجز: "&amp;I220&amp;".","")&amp;IF(J220&lt;&gt;"",CHAR(10)&amp;CHAR(10)&amp;"رابط التقرير: "&amp;J220,"")&amp;CHAR(10)&amp;CHAR(10)&amp;"يسعدنا مساعدتكم في اختيار المسار الأنسب حسب وضع العيادة الحالي.")</x:f>
      </x:c>
      <x:c r="P220" s="12" t="str">
        <x:f>IF(D220="","",HYPERLINK("https://wa.me/"&amp;REGEXREPLACE(D220,"[^\d]","")&amp;"?text="&amp;ENCODEURL(O220),"واتساب 3"))</x:f>
      </x:c>
    </x:row>
    <x:row r="221" ht="15" hidden="0" customHeight="1">
      <x:c r="A221" s="12" t="str">
        <x:f>IF(Leads!A221="","",Leads!A221)</x:f>
      </x:c>
      <x:c r="B221" s="12" t="str">
        <x:f>IF(Leads!F221="","",Leads!F221)</x:f>
      </x:c>
      <x:c r="C221" s="12" t="str">
        <x:f>IF(Leads!G221="","",Leads!G221)</x:f>
      </x:c>
      <x:c r="D221" s="12" t="str">
        <x:f>IF(Leads!O221="","",Leads!O221)</x:f>
      </x:c>
      <x:c r="E221" s="12" t="str">
        <x:f>IF(Leads!AV221="","",Leads!AV221)</x:f>
      </x:c>
      <x:c r="F221" s="12" t="str">
        <x:f>IF(Leads!AX221="","",Leads!AX221)</x:f>
      </x:c>
      <x:c r="G221" s="12" t="str">
        <x:f>IF(Leads!BC221="","",Leads!BC221)</x:f>
      </x:c>
      <x:c r="H221" s="12" t="str">
        <x:f>IF(Leads!BE221="","",Leads!BE221)</x:f>
      </x:c>
      <x:c r="I221" s="12" t="str">
        <x:f>IF(Leads!BG221="","",Leads!BG221)</x:f>
      </x:c>
      <x:c r="J221" s="12" t="str">
        <x:f>IF(Leads!BH221="","",Leads!BH221)</x:f>
      </x:c>
      <x:c r="K221" s="12" t="str">
        <x:f>IF(A221="","","مرحبًا "&amp;C221&amp;CHAR(10)&amp;CHAR(10)&amp;"شكرًا لإتمام تقييم DBD الخاص بعيادة "&amp;B221&amp;"."&amp;CHAR(10)&amp;"نتيجتكم الحالية: "&amp;E221&amp;"%."&amp;CHAR(10)&amp;"أولوية التحسين الأولى: "&amp;F221&amp;"."&amp;IF(J221&lt;&gt;"",CHAR(10)&amp;CHAR(10)&amp;"رابط التقرير: "&amp;J221,"")&amp;CHAR(10)&amp;CHAR(10)&amp;"إذا أحببت، يمكننا مساعدتك في فهم التقرير وتحديد أفضل خطوة تالية لعيادتكم.")</x:f>
      </x:c>
      <x:c r="L221" s="12" t="str">
        <x:f>IF(D221="","",HYPERLINK("https://wa.me/"&amp;REGEXREPLACE(D221,"[^\d]","")&amp;"?text="&amp;ENCODEURL(K221),"واتساب 1"))</x:f>
      </x:c>
      <x:c r="M221" s="12" t="str">
        <x:f>IF(A221="","","مرحبًا "&amp;C221&amp;CHAR(10)&amp;CHAR(10)&amp;"بناءً على نتيجة تقييم عيادة "&amp;B221&amp;"، فإن الترشيح الأقوى لكم الآن هو: "&amp;G221&amp;"."&amp;CHAR(10)&amp;"هذا الخيار يساعدكم في معالجة أكبر فجوة حالية بشكل عملي ومباشر."&amp;IF(J221&lt;&gt;"",CHAR(10)&amp;CHAR(10)&amp;"رابط التقرير: "&amp;J221,"")&amp;CHAR(10)&amp;CHAR(10)&amp;"إذا رغبت، يمكننا توضيح لماذا هذا الكورس هو الأنسب لكم الآن.")</x:f>
      </x:c>
      <x:c r="N221" s="12" t="str">
        <x:f>IF(D221="","",HYPERLINK("https://wa.me/"&amp;REGEXREPLACE(D221,"[^\d]","")&amp;"?text="&amp;ENCODEURL(M221),"واتساب 2"))</x:f>
      </x:c>
      <x:c r="O221" s="12" t="str">
        <x:f>IF(A221="","","مرحبًا "&amp;C221&amp;CHAR(10)&amp;CHAR(10)&amp;"إذا كانت التحديات لديكم تحتاج حلًا أشمل، فالبرنامج الكامل المناسب لكم هو: "&amp;H221&amp;"."&amp;IF(I221&lt;&gt;"",CHAR(10)&amp;"كما يمكنكم أيضًا حجز: "&amp;I221&amp;".","")&amp;IF(J221&lt;&gt;"",CHAR(10)&amp;CHAR(10)&amp;"رابط التقرير: "&amp;J221,"")&amp;CHAR(10)&amp;CHAR(10)&amp;"يسعدنا مساعدتكم في اختيار المسار الأنسب حسب وضع العيادة الحالي.")</x:f>
      </x:c>
      <x:c r="P221" s="12" t="str">
        <x:f>IF(D221="","",HYPERLINK("https://wa.me/"&amp;REGEXREPLACE(D221,"[^\d]","")&amp;"?text="&amp;ENCODEURL(O221),"واتساب 3"))</x:f>
      </x:c>
    </x:row>
    <x:row r="222" ht="15" hidden="0" customHeight="1">
      <x:c r="A222" s="12" t="str">
        <x:f>IF(Leads!A222="","",Leads!A222)</x:f>
      </x:c>
      <x:c r="B222" s="12" t="str">
        <x:f>IF(Leads!F222="","",Leads!F222)</x:f>
      </x:c>
      <x:c r="C222" s="12" t="str">
        <x:f>IF(Leads!G222="","",Leads!G222)</x:f>
      </x:c>
      <x:c r="D222" s="12" t="str">
        <x:f>IF(Leads!O222="","",Leads!O222)</x:f>
      </x:c>
      <x:c r="E222" s="12" t="str">
        <x:f>IF(Leads!AV222="","",Leads!AV222)</x:f>
      </x:c>
      <x:c r="F222" s="12" t="str">
        <x:f>IF(Leads!AX222="","",Leads!AX222)</x:f>
      </x:c>
      <x:c r="G222" s="12" t="str">
        <x:f>IF(Leads!BC222="","",Leads!BC222)</x:f>
      </x:c>
      <x:c r="H222" s="12" t="str">
        <x:f>IF(Leads!BE222="","",Leads!BE222)</x:f>
      </x:c>
      <x:c r="I222" s="12" t="str">
        <x:f>IF(Leads!BG222="","",Leads!BG222)</x:f>
      </x:c>
      <x:c r="J222" s="12" t="str">
        <x:f>IF(Leads!BH222="","",Leads!BH222)</x:f>
      </x:c>
      <x:c r="K222" s="12" t="str">
        <x:f>IF(A222="","","مرحبًا "&amp;C222&amp;CHAR(10)&amp;CHAR(10)&amp;"شكرًا لإتمام تقييم DBD الخاص بعيادة "&amp;B222&amp;"."&amp;CHAR(10)&amp;"نتيجتكم الحالية: "&amp;E222&amp;"%."&amp;CHAR(10)&amp;"أولوية التحسين الأولى: "&amp;F222&amp;"."&amp;IF(J222&lt;&gt;"",CHAR(10)&amp;CHAR(10)&amp;"رابط التقرير: "&amp;J222,"")&amp;CHAR(10)&amp;CHAR(10)&amp;"إذا أحببت، يمكننا مساعدتك في فهم التقرير وتحديد أفضل خطوة تالية لعيادتكم.")</x:f>
      </x:c>
      <x:c r="L222" s="12" t="str">
        <x:f>IF(D222="","",HYPERLINK("https://wa.me/"&amp;REGEXREPLACE(D222,"[^\d]","")&amp;"?text="&amp;ENCODEURL(K222),"واتساب 1"))</x:f>
      </x:c>
      <x:c r="M222" s="12" t="str">
        <x:f>IF(A222="","","مرحبًا "&amp;C222&amp;CHAR(10)&amp;CHAR(10)&amp;"بناءً على نتيجة تقييم عيادة "&amp;B222&amp;"، فإن الترشيح الأقوى لكم الآن هو: "&amp;G222&amp;"."&amp;CHAR(10)&amp;"هذا الخيار يساعدكم في معالجة أكبر فجوة حالية بشكل عملي ومباشر."&amp;IF(J222&lt;&gt;"",CHAR(10)&amp;CHAR(10)&amp;"رابط التقرير: "&amp;J222,"")&amp;CHAR(10)&amp;CHAR(10)&amp;"إذا رغبت، يمكننا توضيح لماذا هذا الكورس هو الأنسب لكم الآن.")</x:f>
      </x:c>
      <x:c r="N222" s="12" t="str">
        <x:f>IF(D222="","",HYPERLINK("https://wa.me/"&amp;REGEXREPLACE(D222,"[^\d]","")&amp;"?text="&amp;ENCODEURL(M222),"واتساب 2"))</x:f>
      </x:c>
      <x:c r="O222" s="12" t="str">
        <x:f>IF(A222="","","مرحبًا "&amp;C222&amp;CHAR(10)&amp;CHAR(10)&amp;"إذا كانت التحديات لديكم تحتاج حلًا أشمل، فالبرنامج الكامل المناسب لكم هو: "&amp;H222&amp;"."&amp;IF(I222&lt;&gt;"",CHAR(10)&amp;"كما يمكنكم أيضًا حجز: "&amp;I222&amp;".","")&amp;IF(J222&lt;&gt;"",CHAR(10)&amp;CHAR(10)&amp;"رابط التقرير: "&amp;J222,"")&amp;CHAR(10)&amp;CHAR(10)&amp;"يسعدنا مساعدتكم في اختيار المسار الأنسب حسب وضع العيادة الحالي.")</x:f>
      </x:c>
      <x:c r="P222" s="12" t="str">
        <x:f>IF(D222="","",HYPERLINK("https://wa.me/"&amp;REGEXREPLACE(D222,"[^\d]","")&amp;"?text="&amp;ENCODEURL(O222),"واتساب 3"))</x:f>
      </x:c>
    </x:row>
    <x:row r="223" ht="15" hidden="0" customHeight="1">
      <x:c r="A223" s="12" t="str">
        <x:f>IF(Leads!A223="","",Leads!A223)</x:f>
      </x:c>
      <x:c r="B223" s="12" t="str">
        <x:f>IF(Leads!F223="","",Leads!F223)</x:f>
      </x:c>
      <x:c r="C223" s="12" t="str">
        <x:f>IF(Leads!G223="","",Leads!G223)</x:f>
      </x:c>
      <x:c r="D223" s="12" t="str">
        <x:f>IF(Leads!O223="","",Leads!O223)</x:f>
      </x:c>
      <x:c r="E223" s="12" t="str">
        <x:f>IF(Leads!AV223="","",Leads!AV223)</x:f>
      </x:c>
      <x:c r="F223" s="12" t="str">
        <x:f>IF(Leads!AX223="","",Leads!AX223)</x:f>
      </x:c>
      <x:c r="G223" s="12" t="str">
        <x:f>IF(Leads!BC223="","",Leads!BC223)</x:f>
      </x:c>
      <x:c r="H223" s="12" t="str">
        <x:f>IF(Leads!BE223="","",Leads!BE223)</x:f>
      </x:c>
      <x:c r="I223" s="12" t="str">
        <x:f>IF(Leads!BG223="","",Leads!BG223)</x:f>
      </x:c>
      <x:c r="J223" s="12" t="str">
        <x:f>IF(Leads!BH223="","",Leads!BH223)</x:f>
      </x:c>
      <x:c r="K223" s="12" t="str">
        <x:f>IF(A223="","","مرحبًا "&amp;C223&amp;CHAR(10)&amp;CHAR(10)&amp;"شكرًا لإتمام تقييم DBD الخاص بعيادة "&amp;B223&amp;"."&amp;CHAR(10)&amp;"نتيجتكم الحالية: "&amp;E223&amp;"%."&amp;CHAR(10)&amp;"أولوية التحسين الأولى: "&amp;F223&amp;"."&amp;IF(J223&lt;&gt;"",CHAR(10)&amp;CHAR(10)&amp;"رابط التقرير: "&amp;J223,"")&amp;CHAR(10)&amp;CHAR(10)&amp;"إذا أحببت، يمكننا مساعدتك في فهم التقرير وتحديد أفضل خطوة تالية لعيادتكم.")</x:f>
      </x:c>
      <x:c r="L223" s="12" t="str">
        <x:f>IF(D223="","",HYPERLINK("https://wa.me/"&amp;REGEXREPLACE(D223,"[^\d]","")&amp;"?text="&amp;ENCODEURL(K223),"واتساب 1"))</x:f>
      </x:c>
      <x:c r="M223" s="12" t="str">
        <x:f>IF(A223="","","مرحبًا "&amp;C223&amp;CHAR(10)&amp;CHAR(10)&amp;"بناءً على نتيجة تقييم عيادة "&amp;B223&amp;"، فإن الترشيح الأقوى لكم الآن هو: "&amp;G223&amp;"."&amp;CHAR(10)&amp;"هذا الخيار يساعدكم في معالجة أكبر فجوة حالية بشكل عملي ومباشر."&amp;IF(J223&lt;&gt;"",CHAR(10)&amp;CHAR(10)&amp;"رابط التقرير: "&amp;J223,"")&amp;CHAR(10)&amp;CHAR(10)&amp;"إذا رغبت، يمكننا توضيح لماذا هذا الكورس هو الأنسب لكم الآن.")</x:f>
      </x:c>
      <x:c r="N223" s="12" t="str">
        <x:f>IF(D223="","",HYPERLINK("https://wa.me/"&amp;REGEXREPLACE(D223,"[^\d]","")&amp;"?text="&amp;ENCODEURL(M223),"واتساب 2"))</x:f>
      </x:c>
      <x:c r="O223" s="12" t="str">
        <x:f>IF(A223="","","مرحبًا "&amp;C223&amp;CHAR(10)&amp;CHAR(10)&amp;"إذا كانت التحديات لديكم تحتاج حلًا أشمل، فالبرنامج الكامل المناسب لكم هو: "&amp;H223&amp;"."&amp;IF(I223&lt;&gt;"",CHAR(10)&amp;"كما يمكنكم أيضًا حجز: "&amp;I223&amp;".","")&amp;IF(J223&lt;&gt;"",CHAR(10)&amp;CHAR(10)&amp;"رابط التقرير: "&amp;J223,"")&amp;CHAR(10)&amp;CHAR(10)&amp;"يسعدنا مساعدتكم في اختيار المسار الأنسب حسب وضع العيادة الحالي.")</x:f>
      </x:c>
      <x:c r="P223" s="12" t="str">
        <x:f>IF(D223="","",HYPERLINK("https://wa.me/"&amp;REGEXREPLACE(D223,"[^\d]","")&amp;"?text="&amp;ENCODEURL(O223),"واتساب 3"))</x:f>
      </x:c>
    </x:row>
    <x:row r="224" ht="15" hidden="0" customHeight="1">
      <x:c r="A224" s="12" t="str">
        <x:f>IF(Leads!A224="","",Leads!A224)</x:f>
      </x:c>
      <x:c r="B224" s="12" t="str">
        <x:f>IF(Leads!F224="","",Leads!F224)</x:f>
      </x:c>
      <x:c r="C224" s="12" t="str">
        <x:f>IF(Leads!G224="","",Leads!G224)</x:f>
      </x:c>
      <x:c r="D224" s="12" t="str">
        <x:f>IF(Leads!O224="","",Leads!O224)</x:f>
      </x:c>
      <x:c r="E224" s="12" t="str">
        <x:f>IF(Leads!AV224="","",Leads!AV224)</x:f>
      </x:c>
      <x:c r="F224" s="12" t="str">
        <x:f>IF(Leads!AX224="","",Leads!AX224)</x:f>
      </x:c>
      <x:c r="G224" s="12" t="str">
        <x:f>IF(Leads!BC224="","",Leads!BC224)</x:f>
      </x:c>
      <x:c r="H224" s="12" t="str">
        <x:f>IF(Leads!BE224="","",Leads!BE224)</x:f>
      </x:c>
      <x:c r="I224" s="12" t="str">
        <x:f>IF(Leads!BG224="","",Leads!BG224)</x:f>
      </x:c>
      <x:c r="J224" s="12" t="str">
        <x:f>IF(Leads!BH224="","",Leads!BH224)</x:f>
      </x:c>
      <x:c r="K224" s="12" t="str">
        <x:f>IF(A224="","","مرحبًا "&amp;C224&amp;CHAR(10)&amp;CHAR(10)&amp;"شكرًا لإتمام تقييم DBD الخاص بعيادة "&amp;B224&amp;"."&amp;CHAR(10)&amp;"نتيجتكم الحالية: "&amp;E224&amp;"%."&amp;CHAR(10)&amp;"أولوية التحسين الأولى: "&amp;F224&amp;"."&amp;IF(J224&lt;&gt;"",CHAR(10)&amp;CHAR(10)&amp;"رابط التقرير: "&amp;J224,"")&amp;CHAR(10)&amp;CHAR(10)&amp;"إذا أحببت، يمكننا مساعدتك في فهم التقرير وتحديد أفضل خطوة تالية لعيادتكم.")</x:f>
      </x:c>
      <x:c r="L224" s="12" t="str">
        <x:f>IF(D224="","",HYPERLINK("https://wa.me/"&amp;REGEXREPLACE(D224,"[^\d]","")&amp;"?text="&amp;ENCODEURL(K224),"واتساب 1"))</x:f>
      </x:c>
      <x:c r="M224" s="12" t="str">
        <x:f>IF(A224="","","مرحبًا "&amp;C224&amp;CHAR(10)&amp;CHAR(10)&amp;"بناءً على نتيجة تقييم عيادة "&amp;B224&amp;"، فإن الترشيح الأقوى لكم الآن هو: "&amp;G224&amp;"."&amp;CHAR(10)&amp;"هذا الخيار يساعدكم في معالجة أكبر فجوة حالية بشكل عملي ومباشر."&amp;IF(J224&lt;&gt;"",CHAR(10)&amp;CHAR(10)&amp;"رابط التقرير: "&amp;J224,"")&amp;CHAR(10)&amp;CHAR(10)&amp;"إذا رغبت، يمكننا توضيح لماذا هذا الكورس هو الأنسب لكم الآن.")</x:f>
      </x:c>
      <x:c r="N224" s="12" t="str">
        <x:f>IF(D224="","",HYPERLINK("https://wa.me/"&amp;REGEXREPLACE(D224,"[^\d]","")&amp;"?text="&amp;ENCODEURL(M224),"واتساب 2"))</x:f>
      </x:c>
      <x:c r="O224" s="12" t="str">
        <x:f>IF(A224="","","مرحبًا "&amp;C224&amp;CHAR(10)&amp;CHAR(10)&amp;"إذا كانت التحديات لديكم تحتاج حلًا أشمل، فالبرنامج الكامل المناسب لكم هو: "&amp;H224&amp;"."&amp;IF(I224&lt;&gt;"",CHAR(10)&amp;"كما يمكنكم أيضًا حجز: "&amp;I224&amp;".","")&amp;IF(J224&lt;&gt;"",CHAR(10)&amp;CHAR(10)&amp;"رابط التقرير: "&amp;J224,"")&amp;CHAR(10)&amp;CHAR(10)&amp;"يسعدنا مساعدتكم في اختيار المسار الأنسب حسب وضع العيادة الحالي.")</x:f>
      </x:c>
      <x:c r="P224" s="12" t="str">
        <x:f>IF(D224="","",HYPERLINK("https://wa.me/"&amp;REGEXREPLACE(D224,"[^\d]","")&amp;"?text="&amp;ENCODEURL(O224),"واتساب 3"))</x:f>
      </x:c>
    </x:row>
    <x:row r="225" ht="15" hidden="0" customHeight="1">
      <x:c r="A225" s="12" t="str">
        <x:f>IF(Leads!A225="","",Leads!A225)</x:f>
      </x:c>
      <x:c r="B225" s="12" t="str">
        <x:f>IF(Leads!F225="","",Leads!F225)</x:f>
      </x:c>
      <x:c r="C225" s="12" t="str">
        <x:f>IF(Leads!G225="","",Leads!G225)</x:f>
      </x:c>
      <x:c r="D225" s="12" t="str">
        <x:f>IF(Leads!O225="","",Leads!O225)</x:f>
      </x:c>
      <x:c r="E225" s="12" t="str">
        <x:f>IF(Leads!AV225="","",Leads!AV225)</x:f>
      </x:c>
      <x:c r="F225" s="12" t="str">
        <x:f>IF(Leads!AX225="","",Leads!AX225)</x:f>
      </x:c>
      <x:c r="G225" s="12" t="str">
        <x:f>IF(Leads!BC225="","",Leads!BC225)</x:f>
      </x:c>
      <x:c r="H225" s="12" t="str">
        <x:f>IF(Leads!BE225="","",Leads!BE225)</x:f>
      </x:c>
      <x:c r="I225" s="12" t="str">
        <x:f>IF(Leads!BG225="","",Leads!BG225)</x:f>
      </x:c>
      <x:c r="J225" s="12" t="str">
        <x:f>IF(Leads!BH225="","",Leads!BH225)</x:f>
      </x:c>
      <x:c r="K225" s="12" t="str">
        <x:f>IF(A225="","","مرحبًا "&amp;C225&amp;CHAR(10)&amp;CHAR(10)&amp;"شكرًا لإتمام تقييم DBD الخاص بعيادة "&amp;B225&amp;"."&amp;CHAR(10)&amp;"نتيجتكم الحالية: "&amp;E225&amp;"%."&amp;CHAR(10)&amp;"أولوية التحسين الأولى: "&amp;F225&amp;"."&amp;IF(J225&lt;&gt;"",CHAR(10)&amp;CHAR(10)&amp;"رابط التقرير: "&amp;J225,"")&amp;CHAR(10)&amp;CHAR(10)&amp;"إذا أحببت، يمكننا مساعدتك في فهم التقرير وتحديد أفضل خطوة تالية لعيادتكم.")</x:f>
      </x:c>
      <x:c r="L225" s="12" t="str">
        <x:f>IF(D225="","",HYPERLINK("https://wa.me/"&amp;REGEXREPLACE(D225,"[^\d]","")&amp;"?text="&amp;ENCODEURL(K225),"واتساب 1"))</x:f>
      </x:c>
      <x:c r="M225" s="12" t="str">
        <x:f>IF(A225="","","مرحبًا "&amp;C225&amp;CHAR(10)&amp;CHAR(10)&amp;"بناءً على نتيجة تقييم عيادة "&amp;B225&amp;"، فإن الترشيح الأقوى لكم الآن هو: "&amp;G225&amp;"."&amp;CHAR(10)&amp;"هذا الخيار يساعدكم في معالجة أكبر فجوة حالية بشكل عملي ومباشر."&amp;IF(J225&lt;&gt;"",CHAR(10)&amp;CHAR(10)&amp;"رابط التقرير: "&amp;J225,"")&amp;CHAR(10)&amp;CHAR(10)&amp;"إذا رغبت، يمكننا توضيح لماذا هذا الكورس هو الأنسب لكم الآن.")</x:f>
      </x:c>
      <x:c r="N225" s="12" t="str">
        <x:f>IF(D225="","",HYPERLINK("https://wa.me/"&amp;REGEXREPLACE(D225,"[^\d]","")&amp;"?text="&amp;ENCODEURL(M225),"واتساب 2"))</x:f>
      </x:c>
      <x:c r="O225" s="12" t="str">
        <x:f>IF(A225="","","مرحبًا "&amp;C225&amp;CHAR(10)&amp;CHAR(10)&amp;"إذا كانت التحديات لديكم تحتاج حلًا أشمل، فالبرنامج الكامل المناسب لكم هو: "&amp;H225&amp;"."&amp;IF(I225&lt;&gt;"",CHAR(10)&amp;"كما يمكنكم أيضًا حجز: "&amp;I225&amp;".","")&amp;IF(J225&lt;&gt;"",CHAR(10)&amp;CHAR(10)&amp;"رابط التقرير: "&amp;J225,"")&amp;CHAR(10)&amp;CHAR(10)&amp;"يسعدنا مساعدتكم في اختيار المسار الأنسب حسب وضع العيادة الحالي.")</x:f>
      </x:c>
      <x:c r="P225" s="12" t="str">
        <x:f>IF(D225="","",HYPERLINK("https://wa.me/"&amp;REGEXREPLACE(D225,"[^\d]","")&amp;"?text="&amp;ENCODEURL(O225),"واتساب 3"))</x:f>
      </x:c>
    </x:row>
    <x:row r="226" ht="15" hidden="0" customHeight="1">
      <x:c r="A226" s="12" t="str">
        <x:f>IF(Leads!A226="","",Leads!A226)</x:f>
      </x:c>
      <x:c r="B226" s="12" t="str">
        <x:f>IF(Leads!F226="","",Leads!F226)</x:f>
      </x:c>
      <x:c r="C226" s="12" t="str">
        <x:f>IF(Leads!G226="","",Leads!G226)</x:f>
      </x:c>
      <x:c r="D226" s="12" t="str">
        <x:f>IF(Leads!O226="","",Leads!O226)</x:f>
      </x:c>
      <x:c r="E226" s="12" t="str">
        <x:f>IF(Leads!AV226="","",Leads!AV226)</x:f>
      </x:c>
      <x:c r="F226" s="12" t="str">
        <x:f>IF(Leads!AX226="","",Leads!AX226)</x:f>
      </x:c>
      <x:c r="G226" s="12" t="str">
        <x:f>IF(Leads!BC226="","",Leads!BC226)</x:f>
      </x:c>
      <x:c r="H226" s="12" t="str">
        <x:f>IF(Leads!BE226="","",Leads!BE226)</x:f>
      </x:c>
      <x:c r="I226" s="12" t="str">
        <x:f>IF(Leads!BG226="","",Leads!BG226)</x:f>
      </x:c>
      <x:c r="J226" s="12" t="str">
        <x:f>IF(Leads!BH226="","",Leads!BH226)</x:f>
      </x:c>
      <x:c r="K226" s="12" t="str">
        <x:f>IF(A226="","","مرحبًا "&amp;C226&amp;CHAR(10)&amp;CHAR(10)&amp;"شكرًا لإتمام تقييم DBD الخاص بعيادة "&amp;B226&amp;"."&amp;CHAR(10)&amp;"نتيجتكم الحالية: "&amp;E226&amp;"%."&amp;CHAR(10)&amp;"أولوية التحسين الأولى: "&amp;F226&amp;"."&amp;IF(J226&lt;&gt;"",CHAR(10)&amp;CHAR(10)&amp;"رابط التقرير: "&amp;J226,"")&amp;CHAR(10)&amp;CHAR(10)&amp;"إذا أحببت، يمكننا مساعدتك في فهم التقرير وتحديد أفضل خطوة تالية لعيادتكم.")</x:f>
      </x:c>
      <x:c r="L226" s="12" t="str">
        <x:f>IF(D226="","",HYPERLINK("https://wa.me/"&amp;REGEXREPLACE(D226,"[^\d]","")&amp;"?text="&amp;ENCODEURL(K226),"واتساب 1"))</x:f>
      </x:c>
      <x:c r="M226" s="12" t="str">
        <x:f>IF(A226="","","مرحبًا "&amp;C226&amp;CHAR(10)&amp;CHAR(10)&amp;"بناءً على نتيجة تقييم عيادة "&amp;B226&amp;"، فإن الترشيح الأقوى لكم الآن هو: "&amp;G226&amp;"."&amp;CHAR(10)&amp;"هذا الخيار يساعدكم في معالجة أكبر فجوة حالية بشكل عملي ومباشر."&amp;IF(J226&lt;&gt;"",CHAR(10)&amp;CHAR(10)&amp;"رابط التقرير: "&amp;J226,"")&amp;CHAR(10)&amp;CHAR(10)&amp;"إذا رغبت، يمكننا توضيح لماذا هذا الكورس هو الأنسب لكم الآن.")</x:f>
      </x:c>
      <x:c r="N226" s="12" t="str">
        <x:f>IF(D226="","",HYPERLINK("https://wa.me/"&amp;REGEXREPLACE(D226,"[^\d]","")&amp;"?text="&amp;ENCODEURL(M226),"واتساب 2"))</x:f>
      </x:c>
      <x:c r="O226" s="12" t="str">
        <x:f>IF(A226="","","مرحبًا "&amp;C226&amp;CHAR(10)&amp;CHAR(10)&amp;"إذا كانت التحديات لديكم تحتاج حلًا أشمل، فالبرنامج الكامل المناسب لكم هو: "&amp;H226&amp;"."&amp;IF(I226&lt;&gt;"",CHAR(10)&amp;"كما يمكنكم أيضًا حجز: "&amp;I226&amp;".","")&amp;IF(J226&lt;&gt;"",CHAR(10)&amp;CHAR(10)&amp;"رابط التقرير: "&amp;J226,"")&amp;CHAR(10)&amp;CHAR(10)&amp;"يسعدنا مساعدتكم في اختيار المسار الأنسب حسب وضع العيادة الحالي.")</x:f>
      </x:c>
      <x:c r="P226" s="12" t="str">
        <x:f>IF(D226="","",HYPERLINK("https://wa.me/"&amp;REGEXREPLACE(D226,"[^\d]","")&amp;"?text="&amp;ENCODEURL(O226),"واتساب 3"))</x:f>
      </x:c>
    </x:row>
    <x:row r="227" ht="15" hidden="0" customHeight="1">
      <x:c r="A227" s="12" t="str">
        <x:f>IF(Leads!A227="","",Leads!A227)</x:f>
      </x:c>
      <x:c r="B227" s="12" t="str">
        <x:f>IF(Leads!F227="","",Leads!F227)</x:f>
      </x:c>
      <x:c r="C227" s="12" t="str">
        <x:f>IF(Leads!G227="","",Leads!G227)</x:f>
      </x:c>
      <x:c r="D227" s="12" t="str">
        <x:f>IF(Leads!O227="","",Leads!O227)</x:f>
      </x:c>
      <x:c r="E227" s="12" t="str">
        <x:f>IF(Leads!AV227="","",Leads!AV227)</x:f>
      </x:c>
      <x:c r="F227" s="12" t="str">
        <x:f>IF(Leads!AX227="","",Leads!AX227)</x:f>
      </x:c>
      <x:c r="G227" s="12" t="str">
        <x:f>IF(Leads!BC227="","",Leads!BC227)</x:f>
      </x:c>
      <x:c r="H227" s="12" t="str">
        <x:f>IF(Leads!BE227="","",Leads!BE227)</x:f>
      </x:c>
      <x:c r="I227" s="12" t="str">
        <x:f>IF(Leads!BG227="","",Leads!BG227)</x:f>
      </x:c>
      <x:c r="J227" s="12" t="str">
        <x:f>IF(Leads!BH227="","",Leads!BH227)</x:f>
      </x:c>
      <x:c r="K227" s="12" t="str">
        <x:f>IF(A227="","","مرحبًا "&amp;C227&amp;CHAR(10)&amp;CHAR(10)&amp;"شكرًا لإتمام تقييم DBD الخاص بعيادة "&amp;B227&amp;"."&amp;CHAR(10)&amp;"نتيجتكم الحالية: "&amp;E227&amp;"%."&amp;CHAR(10)&amp;"أولوية التحسين الأولى: "&amp;F227&amp;"."&amp;IF(J227&lt;&gt;"",CHAR(10)&amp;CHAR(10)&amp;"رابط التقرير: "&amp;J227,"")&amp;CHAR(10)&amp;CHAR(10)&amp;"إذا أحببت، يمكننا مساعدتك في فهم التقرير وتحديد أفضل خطوة تالية لعيادتكم.")</x:f>
      </x:c>
      <x:c r="L227" s="12" t="str">
        <x:f>IF(D227="","",HYPERLINK("https://wa.me/"&amp;REGEXREPLACE(D227,"[^\d]","")&amp;"?text="&amp;ENCODEURL(K227),"واتساب 1"))</x:f>
      </x:c>
      <x:c r="M227" s="12" t="str">
        <x:f>IF(A227="","","مرحبًا "&amp;C227&amp;CHAR(10)&amp;CHAR(10)&amp;"بناءً على نتيجة تقييم عيادة "&amp;B227&amp;"، فإن الترشيح الأقوى لكم الآن هو: "&amp;G227&amp;"."&amp;CHAR(10)&amp;"هذا الخيار يساعدكم في معالجة أكبر فجوة حالية بشكل عملي ومباشر."&amp;IF(J227&lt;&gt;"",CHAR(10)&amp;CHAR(10)&amp;"رابط التقرير: "&amp;J227,"")&amp;CHAR(10)&amp;CHAR(10)&amp;"إذا رغبت، يمكننا توضيح لماذا هذا الكورس هو الأنسب لكم الآن.")</x:f>
      </x:c>
      <x:c r="N227" s="12" t="str">
        <x:f>IF(D227="","",HYPERLINK("https://wa.me/"&amp;REGEXREPLACE(D227,"[^\d]","")&amp;"?text="&amp;ENCODEURL(M227),"واتساب 2"))</x:f>
      </x:c>
      <x:c r="O227" s="12" t="str">
        <x:f>IF(A227="","","مرحبًا "&amp;C227&amp;CHAR(10)&amp;CHAR(10)&amp;"إذا كانت التحديات لديكم تحتاج حلًا أشمل، فالبرنامج الكامل المناسب لكم هو: "&amp;H227&amp;"."&amp;IF(I227&lt;&gt;"",CHAR(10)&amp;"كما يمكنكم أيضًا حجز: "&amp;I227&amp;".","")&amp;IF(J227&lt;&gt;"",CHAR(10)&amp;CHAR(10)&amp;"رابط التقرير: "&amp;J227,"")&amp;CHAR(10)&amp;CHAR(10)&amp;"يسعدنا مساعدتكم في اختيار المسار الأنسب حسب وضع العيادة الحالي.")</x:f>
      </x:c>
      <x:c r="P227" s="12" t="str">
        <x:f>IF(D227="","",HYPERLINK("https://wa.me/"&amp;REGEXREPLACE(D227,"[^\d]","")&amp;"?text="&amp;ENCODEURL(O227),"واتساب 3"))</x:f>
      </x:c>
    </x:row>
    <x:row r="228" ht="15" hidden="0" customHeight="1">
      <x:c r="A228" s="12" t="str">
        <x:f>IF(Leads!A228="","",Leads!A228)</x:f>
      </x:c>
      <x:c r="B228" s="12" t="str">
        <x:f>IF(Leads!F228="","",Leads!F228)</x:f>
      </x:c>
      <x:c r="C228" s="12" t="str">
        <x:f>IF(Leads!G228="","",Leads!G228)</x:f>
      </x:c>
      <x:c r="D228" s="12" t="str">
        <x:f>IF(Leads!O228="","",Leads!O228)</x:f>
      </x:c>
      <x:c r="E228" s="12" t="str">
        <x:f>IF(Leads!AV228="","",Leads!AV228)</x:f>
      </x:c>
      <x:c r="F228" s="12" t="str">
        <x:f>IF(Leads!AX228="","",Leads!AX228)</x:f>
      </x:c>
      <x:c r="G228" s="12" t="str">
        <x:f>IF(Leads!BC228="","",Leads!BC228)</x:f>
      </x:c>
      <x:c r="H228" s="12" t="str">
        <x:f>IF(Leads!BE228="","",Leads!BE228)</x:f>
      </x:c>
      <x:c r="I228" s="12" t="str">
        <x:f>IF(Leads!BG228="","",Leads!BG228)</x:f>
      </x:c>
      <x:c r="J228" s="12" t="str">
        <x:f>IF(Leads!BH228="","",Leads!BH228)</x:f>
      </x:c>
      <x:c r="K228" s="12" t="str">
        <x:f>IF(A228="","","مرحبًا "&amp;C228&amp;CHAR(10)&amp;CHAR(10)&amp;"شكرًا لإتمام تقييم DBD الخاص بعيادة "&amp;B228&amp;"."&amp;CHAR(10)&amp;"نتيجتكم الحالية: "&amp;E228&amp;"%."&amp;CHAR(10)&amp;"أولوية التحسين الأولى: "&amp;F228&amp;"."&amp;IF(J228&lt;&gt;"",CHAR(10)&amp;CHAR(10)&amp;"رابط التقرير: "&amp;J228,"")&amp;CHAR(10)&amp;CHAR(10)&amp;"إذا أحببت، يمكننا مساعدتك في فهم التقرير وتحديد أفضل خطوة تالية لعيادتكم.")</x:f>
      </x:c>
      <x:c r="L228" s="12" t="str">
        <x:f>IF(D228="","",HYPERLINK("https://wa.me/"&amp;REGEXREPLACE(D228,"[^\d]","")&amp;"?text="&amp;ENCODEURL(K228),"واتساب 1"))</x:f>
      </x:c>
      <x:c r="M228" s="12" t="str">
        <x:f>IF(A228="","","مرحبًا "&amp;C228&amp;CHAR(10)&amp;CHAR(10)&amp;"بناءً على نتيجة تقييم عيادة "&amp;B228&amp;"، فإن الترشيح الأقوى لكم الآن هو: "&amp;G228&amp;"."&amp;CHAR(10)&amp;"هذا الخيار يساعدكم في معالجة أكبر فجوة حالية بشكل عملي ومباشر."&amp;IF(J228&lt;&gt;"",CHAR(10)&amp;CHAR(10)&amp;"رابط التقرير: "&amp;J228,"")&amp;CHAR(10)&amp;CHAR(10)&amp;"إذا رغبت، يمكننا توضيح لماذا هذا الكورس هو الأنسب لكم الآن.")</x:f>
      </x:c>
      <x:c r="N228" s="12" t="str">
        <x:f>IF(D228="","",HYPERLINK("https://wa.me/"&amp;REGEXREPLACE(D228,"[^\d]","")&amp;"?text="&amp;ENCODEURL(M228),"واتساب 2"))</x:f>
      </x:c>
      <x:c r="O228" s="12" t="str">
        <x:f>IF(A228="","","مرحبًا "&amp;C228&amp;CHAR(10)&amp;CHAR(10)&amp;"إذا كانت التحديات لديكم تحتاج حلًا أشمل، فالبرنامج الكامل المناسب لكم هو: "&amp;H228&amp;"."&amp;IF(I228&lt;&gt;"",CHAR(10)&amp;"كما يمكنكم أيضًا حجز: "&amp;I228&amp;".","")&amp;IF(J228&lt;&gt;"",CHAR(10)&amp;CHAR(10)&amp;"رابط التقرير: "&amp;J228,"")&amp;CHAR(10)&amp;CHAR(10)&amp;"يسعدنا مساعدتكم في اختيار المسار الأنسب حسب وضع العيادة الحالي.")</x:f>
      </x:c>
      <x:c r="P228" s="12" t="str">
        <x:f>IF(D228="","",HYPERLINK("https://wa.me/"&amp;REGEXREPLACE(D228,"[^\d]","")&amp;"?text="&amp;ENCODEURL(O228),"واتساب 3"))</x:f>
      </x:c>
    </x:row>
    <x:row r="229" ht="15" hidden="0" customHeight="1">
      <x:c r="A229" s="12" t="str">
        <x:f>IF(Leads!A229="","",Leads!A229)</x:f>
      </x:c>
      <x:c r="B229" s="12" t="str">
        <x:f>IF(Leads!F229="","",Leads!F229)</x:f>
      </x:c>
      <x:c r="C229" s="12" t="str">
        <x:f>IF(Leads!G229="","",Leads!G229)</x:f>
      </x:c>
      <x:c r="D229" s="12" t="str">
        <x:f>IF(Leads!O229="","",Leads!O229)</x:f>
      </x:c>
      <x:c r="E229" s="12" t="str">
        <x:f>IF(Leads!AV229="","",Leads!AV229)</x:f>
      </x:c>
      <x:c r="F229" s="12" t="str">
        <x:f>IF(Leads!AX229="","",Leads!AX229)</x:f>
      </x:c>
      <x:c r="G229" s="12" t="str">
        <x:f>IF(Leads!BC229="","",Leads!BC229)</x:f>
      </x:c>
      <x:c r="H229" s="12" t="str">
        <x:f>IF(Leads!BE229="","",Leads!BE229)</x:f>
      </x:c>
      <x:c r="I229" s="12" t="str">
        <x:f>IF(Leads!BG229="","",Leads!BG229)</x:f>
      </x:c>
      <x:c r="J229" s="12" t="str">
        <x:f>IF(Leads!BH229="","",Leads!BH229)</x:f>
      </x:c>
      <x:c r="K229" s="12" t="str">
        <x:f>IF(A229="","","مرحبًا "&amp;C229&amp;CHAR(10)&amp;CHAR(10)&amp;"شكرًا لإتمام تقييم DBD الخاص بعيادة "&amp;B229&amp;"."&amp;CHAR(10)&amp;"نتيجتكم الحالية: "&amp;E229&amp;"%."&amp;CHAR(10)&amp;"أولوية التحسين الأولى: "&amp;F229&amp;"."&amp;IF(J229&lt;&gt;"",CHAR(10)&amp;CHAR(10)&amp;"رابط التقرير: "&amp;J229,"")&amp;CHAR(10)&amp;CHAR(10)&amp;"إذا أحببت، يمكننا مساعدتك في فهم التقرير وتحديد أفضل خطوة تالية لعيادتكم.")</x:f>
      </x:c>
      <x:c r="L229" s="12" t="str">
        <x:f>IF(D229="","",HYPERLINK("https://wa.me/"&amp;REGEXREPLACE(D229,"[^\d]","")&amp;"?text="&amp;ENCODEURL(K229),"واتساب 1"))</x:f>
      </x:c>
      <x:c r="M229" s="12" t="str">
        <x:f>IF(A229="","","مرحبًا "&amp;C229&amp;CHAR(10)&amp;CHAR(10)&amp;"بناءً على نتيجة تقييم عيادة "&amp;B229&amp;"، فإن الترشيح الأقوى لكم الآن هو: "&amp;G229&amp;"."&amp;CHAR(10)&amp;"هذا الخيار يساعدكم في معالجة أكبر فجوة حالية بشكل عملي ومباشر."&amp;IF(J229&lt;&gt;"",CHAR(10)&amp;CHAR(10)&amp;"رابط التقرير: "&amp;J229,"")&amp;CHAR(10)&amp;CHAR(10)&amp;"إذا رغبت، يمكننا توضيح لماذا هذا الكورس هو الأنسب لكم الآن.")</x:f>
      </x:c>
      <x:c r="N229" s="12" t="str">
        <x:f>IF(D229="","",HYPERLINK("https://wa.me/"&amp;REGEXREPLACE(D229,"[^\d]","")&amp;"?text="&amp;ENCODEURL(M229),"واتساب 2"))</x:f>
      </x:c>
      <x:c r="O229" s="12" t="str">
        <x:f>IF(A229="","","مرحبًا "&amp;C229&amp;CHAR(10)&amp;CHAR(10)&amp;"إذا كانت التحديات لديكم تحتاج حلًا أشمل، فالبرنامج الكامل المناسب لكم هو: "&amp;H229&amp;"."&amp;IF(I229&lt;&gt;"",CHAR(10)&amp;"كما يمكنكم أيضًا حجز: "&amp;I229&amp;".","")&amp;IF(J229&lt;&gt;"",CHAR(10)&amp;CHAR(10)&amp;"رابط التقرير: "&amp;J229,"")&amp;CHAR(10)&amp;CHAR(10)&amp;"يسعدنا مساعدتكم في اختيار المسار الأنسب حسب وضع العيادة الحالي.")</x:f>
      </x:c>
      <x:c r="P229" s="12" t="str">
        <x:f>IF(D229="","",HYPERLINK("https://wa.me/"&amp;REGEXREPLACE(D229,"[^\d]","")&amp;"?text="&amp;ENCODEURL(O229),"واتساب 3"))</x:f>
      </x:c>
    </x:row>
    <x:row r="230" ht="15" hidden="0" customHeight="1">
      <x:c r="A230" s="12" t="str">
        <x:f>IF(Leads!A230="","",Leads!A230)</x:f>
      </x:c>
      <x:c r="B230" s="12" t="str">
        <x:f>IF(Leads!F230="","",Leads!F230)</x:f>
      </x:c>
      <x:c r="C230" s="12" t="str">
        <x:f>IF(Leads!G230="","",Leads!G230)</x:f>
      </x:c>
      <x:c r="D230" s="12" t="str">
        <x:f>IF(Leads!O230="","",Leads!O230)</x:f>
      </x:c>
      <x:c r="E230" s="12" t="str">
        <x:f>IF(Leads!AV230="","",Leads!AV230)</x:f>
      </x:c>
      <x:c r="F230" s="12" t="str">
        <x:f>IF(Leads!AX230="","",Leads!AX230)</x:f>
      </x:c>
      <x:c r="G230" s="12" t="str">
        <x:f>IF(Leads!BC230="","",Leads!BC230)</x:f>
      </x:c>
      <x:c r="H230" s="12" t="str">
        <x:f>IF(Leads!BE230="","",Leads!BE230)</x:f>
      </x:c>
      <x:c r="I230" s="12" t="str">
        <x:f>IF(Leads!BG230="","",Leads!BG230)</x:f>
      </x:c>
      <x:c r="J230" s="12" t="str">
        <x:f>IF(Leads!BH230="","",Leads!BH230)</x:f>
      </x:c>
      <x:c r="K230" s="12" t="str">
        <x:f>IF(A230="","","مرحبًا "&amp;C230&amp;CHAR(10)&amp;CHAR(10)&amp;"شكرًا لإتمام تقييم DBD الخاص بعيادة "&amp;B230&amp;"."&amp;CHAR(10)&amp;"نتيجتكم الحالية: "&amp;E230&amp;"%."&amp;CHAR(10)&amp;"أولوية التحسين الأولى: "&amp;F230&amp;"."&amp;IF(J230&lt;&gt;"",CHAR(10)&amp;CHAR(10)&amp;"رابط التقرير: "&amp;J230,"")&amp;CHAR(10)&amp;CHAR(10)&amp;"إذا أحببت، يمكننا مساعدتك في فهم التقرير وتحديد أفضل خطوة تالية لعيادتكم.")</x:f>
      </x:c>
      <x:c r="L230" s="12" t="str">
        <x:f>IF(D230="","",HYPERLINK("https://wa.me/"&amp;REGEXREPLACE(D230,"[^\d]","")&amp;"?text="&amp;ENCODEURL(K230),"واتساب 1"))</x:f>
      </x:c>
      <x:c r="M230" s="12" t="str">
        <x:f>IF(A230="","","مرحبًا "&amp;C230&amp;CHAR(10)&amp;CHAR(10)&amp;"بناءً على نتيجة تقييم عيادة "&amp;B230&amp;"، فإن الترشيح الأقوى لكم الآن هو: "&amp;G230&amp;"."&amp;CHAR(10)&amp;"هذا الخيار يساعدكم في معالجة أكبر فجوة حالية بشكل عملي ومباشر."&amp;IF(J230&lt;&gt;"",CHAR(10)&amp;CHAR(10)&amp;"رابط التقرير: "&amp;J230,"")&amp;CHAR(10)&amp;CHAR(10)&amp;"إذا رغبت، يمكننا توضيح لماذا هذا الكورس هو الأنسب لكم الآن.")</x:f>
      </x:c>
      <x:c r="N230" s="12" t="str">
        <x:f>IF(D230="","",HYPERLINK("https://wa.me/"&amp;REGEXREPLACE(D230,"[^\d]","")&amp;"?text="&amp;ENCODEURL(M230),"واتساب 2"))</x:f>
      </x:c>
      <x:c r="O230" s="12" t="str">
        <x:f>IF(A230="","","مرحبًا "&amp;C230&amp;CHAR(10)&amp;CHAR(10)&amp;"إذا كانت التحديات لديكم تحتاج حلًا أشمل، فالبرنامج الكامل المناسب لكم هو: "&amp;H230&amp;"."&amp;IF(I230&lt;&gt;"",CHAR(10)&amp;"كما يمكنكم أيضًا حجز: "&amp;I230&amp;".","")&amp;IF(J230&lt;&gt;"",CHAR(10)&amp;CHAR(10)&amp;"رابط التقرير: "&amp;J230,"")&amp;CHAR(10)&amp;CHAR(10)&amp;"يسعدنا مساعدتكم في اختيار المسار الأنسب حسب وضع العيادة الحالي.")</x:f>
      </x:c>
      <x:c r="P230" s="12" t="str">
        <x:f>IF(D230="","",HYPERLINK("https://wa.me/"&amp;REGEXREPLACE(D230,"[^\d]","")&amp;"?text="&amp;ENCODEURL(O230),"واتساب 3"))</x:f>
      </x:c>
    </x:row>
    <x:row r="231" ht="15" hidden="0" customHeight="1">
      <x:c r="A231" s="12" t="str">
        <x:f>IF(Leads!A231="","",Leads!A231)</x:f>
      </x:c>
      <x:c r="B231" s="12" t="str">
        <x:f>IF(Leads!F231="","",Leads!F231)</x:f>
      </x:c>
      <x:c r="C231" s="12" t="str">
        <x:f>IF(Leads!G231="","",Leads!G231)</x:f>
      </x:c>
      <x:c r="D231" s="12" t="str">
        <x:f>IF(Leads!O231="","",Leads!O231)</x:f>
      </x:c>
      <x:c r="E231" s="12" t="str">
        <x:f>IF(Leads!AV231="","",Leads!AV231)</x:f>
      </x:c>
      <x:c r="F231" s="12" t="str">
        <x:f>IF(Leads!AX231="","",Leads!AX231)</x:f>
      </x:c>
      <x:c r="G231" s="12" t="str">
        <x:f>IF(Leads!BC231="","",Leads!BC231)</x:f>
      </x:c>
      <x:c r="H231" s="12" t="str">
        <x:f>IF(Leads!BE231="","",Leads!BE231)</x:f>
      </x:c>
      <x:c r="I231" s="12" t="str">
        <x:f>IF(Leads!BG231="","",Leads!BG231)</x:f>
      </x:c>
      <x:c r="J231" s="12" t="str">
        <x:f>IF(Leads!BH231="","",Leads!BH231)</x:f>
      </x:c>
      <x:c r="K231" s="12" t="str">
        <x:f>IF(A231="","","مرحبًا "&amp;C231&amp;CHAR(10)&amp;CHAR(10)&amp;"شكرًا لإتمام تقييم DBD الخاص بعيادة "&amp;B231&amp;"."&amp;CHAR(10)&amp;"نتيجتكم الحالية: "&amp;E231&amp;"%."&amp;CHAR(10)&amp;"أولوية التحسين الأولى: "&amp;F231&amp;"."&amp;IF(J231&lt;&gt;"",CHAR(10)&amp;CHAR(10)&amp;"رابط التقرير: "&amp;J231,"")&amp;CHAR(10)&amp;CHAR(10)&amp;"إذا أحببت، يمكننا مساعدتك في فهم التقرير وتحديد أفضل خطوة تالية لعيادتكم.")</x:f>
      </x:c>
      <x:c r="L231" s="12" t="str">
        <x:f>IF(D231="","",HYPERLINK("https://wa.me/"&amp;REGEXREPLACE(D231,"[^\d]","")&amp;"?text="&amp;ENCODEURL(K231),"واتساب 1"))</x:f>
      </x:c>
      <x:c r="M231" s="12" t="str">
        <x:f>IF(A231="","","مرحبًا "&amp;C231&amp;CHAR(10)&amp;CHAR(10)&amp;"بناءً على نتيجة تقييم عيادة "&amp;B231&amp;"، فإن الترشيح الأقوى لكم الآن هو: "&amp;G231&amp;"."&amp;CHAR(10)&amp;"هذا الخيار يساعدكم في معالجة أكبر فجوة حالية بشكل عملي ومباشر."&amp;IF(J231&lt;&gt;"",CHAR(10)&amp;CHAR(10)&amp;"رابط التقرير: "&amp;J231,"")&amp;CHAR(10)&amp;CHAR(10)&amp;"إذا رغبت، يمكننا توضيح لماذا هذا الكورس هو الأنسب لكم الآن.")</x:f>
      </x:c>
      <x:c r="N231" s="12" t="str">
        <x:f>IF(D231="","",HYPERLINK("https://wa.me/"&amp;REGEXREPLACE(D231,"[^\d]","")&amp;"?text="&amp;ENCODEURL(M231),"واتساب 2"))</x:f>
      </x:c>
      <x:c r="O231" s="12" t="str">
        <x:f>IF(A231="","","مرحبًا "&amp;C231&amp;CHAR(10)&amp;CHAR(10)&amp;"إذا كانت التحديات لديكم تحتاج حلًا أشمل، فالبرنامج الكامل المناسب لكم هو: "&amp;H231&amp;"."&amp;IF(I231&lt;&gt;"",CHAR(10)&amp;"كما يمكنكم أيضًا حجز: "&amp;I231&amp;".","")&amp;IF(J231&lt;&gt;"",CHAR(10)&amp;CHAR(10)&amp;"رابط التقرير: "&amp;J231,"")&amp;CHAR(10)&amp;CHAR(10)&amp;"يسعدنا مساعدتكم في اختيار المسار الأنسب حسب وضع العيادة الحالي.")</x:f>
      </x:c>
      <x:c r="P231" s="12" t="str">
        <x:f>IF(D231="","",HYPERLINK("https://wa.me/"&amp;REGEXREPLACE(D231,"[^\d]","")&amp;"?text="&amp;ENCODEURL(O231),"واتساب 3"))</x:f>
      </x:c>
    </x:row>
    <x:row r="232" ht="15" hidden="0" customHeight="1">
      <x:c r="A232" s="12" t="str">
        <x:f>IF(Leads!A232="","",Leads!A232)</x:f>
      </x:c>
      <x:c r="B232" s="12" t="str">
        <x:f>IF(Leads!F232="","",Leads!F232)</x:f>
      </x:c>
      <x:c r="C232" s="12" t="str">
        <x:f>IF(Leads!G232="","",Leads!G232)</x:f>
      </x:c>
      <x:c r="D232" s="12" t="str">
        <x:f>IF(Leads!O232="","",Leads!O232)</x:f>
      </x:c>
      <x:c r="E232" s="12" t="str">
        <x:f>IF(Leads!AV232="","",Leads!AV232)</x:f>
      </x:c>
      <x:c r="F232" s="12" t="str">
        <x:f>IF(Leads!AX232="","",Leads!AX232)</x:f>
      </x:c>
      <x:c r="G232" s="12" t="str">
        <x:f>IF(Leads!BC232="","",Leads!BC232)</x:f>
      </x:c>
      <x:c r="H232" s="12" t="str">
        <x:f>IF(Leads!BE232="","",Leads!BE232)</x:f>
      </x:c>
      <x:c r="I232" s="12" t="str">
        <x:f>IF(Leads!BG232="","",Leads!BG232)</x:f>
      </x:c>
      <x:c r="J232" s="12" t="str">
        <x:f>IF(Leads!BH232="","",Leads!BH232)</x:f>
      </x:c>
      <x:c r="K232" s="12" t="str">
        <x:f>IF(A232="","","مرحبًا "&amp;C232&amp;CHAR(10)&amp;CHAR(10)&amp;"شكرًا لإتمام تقييم DBD الخاص بعيادة "&amp;B232&amp;"."&amp;CHAR(10)&amp;"نتيجتكم الحالية: "&amp;E232&amp;"%."&amp;CHAR(10)&amp;"أولوية التحسين الأولى: "&amp;F232&amp;"."&amp;IF(J232&lt;&gt;"",CHAR(10)&amp;CHAR(10)&amp;"رابط التقرير: "&amp;J232,"")&amp;CHAR(10)&amp;CHAR(10)&amp;"إذا أحببت، يمكننا مساعدتك في فهم التقرير وتحديد أفضل خطوة تالية لعيادتكم.")</x:f>
      </x:c>
      <x:c r="L232" s="12" t="str">
        <x:f>IF(D232="","",HYPERLINK("https://wa.me/"&amp;REGEXREPLACE(D232,"[^\d]","")&amp;"?text="&amp;ENCODEURL(K232),"واتساب 1"))</x:f>
      </x:c>
      <x:c r="M232" s="12" t="str">
        <x:f>IF(A232="","","مرحبًا "&amp;C232&amp;CHAR(10)&amp;CHAR(10)&amp;"بناءً على نتيجة تقييم عيادة "&amp;B232&amp;"، فإن الترشيح الأقوى لكم الآن هو: "&amp;G232&amp;"."&amp;CHAR(10)&amp;"هذا الخيار يساعدكم في معالجة أكبر فجوة حالية بشكل عملي ومباشر."&amp;IF(J232&lt;&gt;"",CHAR(10)&amp;CHAR(10)&amp;"رابط التقرير: "&amp;J232,"")&amp;CHAR(10)&amp;CHAR(10)&amp;"إذا رغبت، يمكننا توضيح لماذا هذا الكورس هو الأنسب لكم الآن.")</x:f>
      </x:c>
      <x:c r="N232" s="12" t="str">
        <x:f>IF(D232="","",HYPERLINK("https://wa.me/"&amp;REGEXREPLACE(D232,"[^\d]","")&amp;"?text="&amp;ENCODEURL(M232),"واتساب 2"))</x:f>
      </x:c>
      <x:c r="O232" s="12" t="str">
        <x:f>IF(A232="","","مرحبًا "&amp;C232&amp;CHAR(10)&amp;CHAR(10)&amp;"إذا كانت التحديات لديكم تحتاج حلًا أشمل، فالبرنامج الكامل المناسب لكم هو: "&amp;H232&amp;"."&amp;IF(I232&lt;&gt;"",CHAR(10)&amp;"كما يمكنكم أيضًا حجز: "&amp;I232&amp;".","")&amp;IF(J232&lt;&gt;"",CHAR(10)&amp;CHAR(10)&amp;"رابط التقرير: "&amp;J232,"")&amp;CHAR(10)&amp;CHAR(10)&amp;"يسعدنا مساعدتكم في اختيار المسار الأنسب حسب وضع العيادة الحالي.")</x:f>
      </x:c>
      <x:c r="P232" s="12" t="str">
        <x:f>IF(D232="","",HYPERLINK("https://wa.me/"&amp;REGEXREPLACE(D232,"[^\d]","")&amp;"?text="&amp;ENCODEURL(O232),"واتساب 3"))</x:f>
      </x:c>
    </x:row>
    <x:row r="233" ht="15" hidden="0" customHeight="1">
      <x:c r="A233" s="12" t="str">
        <x:f>IF(Leads!A233="","",Leads!A233)</x:f>
      </x:c>
      <x:c r="B233" s="12" t="str">
        <x:f>IF(Leads!F233="","",Leads!F233)</x:f>
      </x:c>
      <x:c r="C233" s="12" t="str">
        <x:f>IF(Leads!G233="","",Leads!G233)</x:f>
      </x:c>
      <x:c r="D233" s="12" t="str">
        <x:f>IF(Leads!O233="","",Leads!O233)</x:f>
      </x:c>
      <x:c r="E233" s="12" t="str">
        <x:f>IF(Leads!AV233="","",Leads!AV233)</x:f>
      </x:c>
      <x:c r="F233" s="12" t="str">
        <x:f>IF(Leads!AX233="","",Leads!AX233)</x:f>
      </x:c>
      <x:c r="G233" s="12" t="str">
        <x:f>IF(Leads!BC233="","",Leads!BC233)</x:f>
      </x:c>
      <x:c r="H233" s="12" t="str">
        <x:f>IF(Leads!BE233="","",Leads!BE233)</x:f>
      </x:c>
      <x:c r="I233" s="12" t="str">
        <x:f>IF(Leads!BG233="","",Leads!BG233)</x:f>
      </x:c>
      <x:c r="J233" s="12" t="str">
        <x:f>IF(Leads!BH233="","",Leads!BH233)</x:f>
      </x:c>
      <x:c r="K233" s="12" t="str">
        <x:f>IF(A233="","","مرحبًا "&amp;C233&amp;CHAR(10)&amp;CHAR(10)&amp;"شكرًا لإتمام تقييم DBD الخاص بعيادة "&amp;B233&amp;"."&amp;CHAR(10)&amp;"نتيجتكم الحالية: "&amp;E233&amp;"%."&amp;CHAR(10)&amp;"أولوية التحسين الأولى: "&amp;F233&amp;"."&amp;IF(J233&lt;&gt;"",CHAR(10)&amp;CHAR(10)&amp;"رابط التقرير: "&amp;J233,"")&amp;CHAR(10)&amp;CHAR(10)&amp;"إذا أحببت، يمكننا مساعدتك في فهم التقرير وتحديد أفضل خطوة تالية لعيادتكم.")</x:f>
      </x:c>
      <x:c r="L233" s="12" t="str">
        <x:f>IF(D233="","",HYPERLINK("https://wa.me/"&amp;REGEXREPLACE(D233,"[^\d]","")&amp;"?text="&amp;ENCODEURL(K233),"واتساب 1"))</x:f>
      </x:c>
      <x:c r="M233" s="12" t="str">
        <x:f>IF(A233="","","مرحبًا "&amp;C233&amp;CHAR(10)&amp;CHAR(10)&amp;"بناءً على نتيجة تقييم عيادة "&amp;B233&amp;"، فإن الترشيح الأقوى لكم الآن هو: "&amp;G233&amp;"."&amp;CHAR(10)&amp;"هذا الخيار يساعدكم في معالجة أكبر فجوة حالية بشكل عملي ومباشر."&amp;IF(J233&lt;&gt;"",CHAR(10)&amp;CHAR(10)&amp;"رابط التقرير: "&amp;J233,"")&amp;CHAR(10)&amp;CHAR(10)&amp;"إذا رغبت، يمكننا توضيح لماذا هذا الكورس هو الأنسب لكم الآن.")</x:f>
      </x:c>
      <x:c r="N233" s="12" t="str">
        <x:f>IF(D233="","",HYPERLINK("https://wa.me/"&amp;REGEXREPLACE(D233,"[^\d]","")&amp;"?text="&amp;ENCODEURL(M233),"واتساب 2"))</x:f>
      </x:c>
      <x:c r="O233" s="12" t="str">
        <x:f>IF(A233="","","مرحبًا "&amp;C233&amp;CHAR(10)&amp;CHAR(10)&amp;"إذا كانت التحديات لديكم تحتاج حلًا أشمل، فالبرنامج الكامل المناسب لكم هو: "&amp;H233&amp;"."&amp;IF(I233&lt;&gt;"",CHAR(10)&amp;"كما يمكنكم أيضًا حجز: "&amp;I233&amp;".","")&amp;IF(J233&lt;&gt;"",CHAR(10)&amp;CHAR(10)&amp;"رابط التقرير: "&amp;J233,"")&amp;CHAR(10)&amp;CHAR(10)&amp;"يسعدنا مساعدتكم في اختيار المسار الأنسب حسب وضع العيادة الحالي.")</x:f>
      </x:c>
      <x:c r="P233" s="12" t="str">
        <x:f>IF(D233="","",HYPERLINK("https://wa.me/"&amp;REGEXREPLACE(D233,"[^\d]","")&amp;"?text="&amp;ENCODEURL(O233),"واتساب 3"))</x:f>
      </x:c>
    </x:row>
    <x:row r="234" ht="15" hidden="0" customHeight="1">
      <x:c r="A234" s="12" t="str">
        <x:f>IF(Leads!A234="","",Leads!A234)</x:f>
      </x:c>
      <x:c r="B234" s="12" t="str">
        <x:f>IF(Leads!F234="","",Leads!F234)</x:f>
      </x:c>
      <x:c r="C234" s="12" t="str">
        <x:f>IF(Leads!G234="","",Leads!G234)</x:f>
      </x:c>
      <x:c r="D234" s="12" t="str">
        <x:f>IF(Leads!O234="","",Leads!O234)</x:f>
      </x:c>
      <x:c r="E234" s="12" t="str">
        <x:f>IF(Leads!AV234="","",Leads!AV234)</x:f>
      </x:c>
      <x:c r="F234" s="12" t="str">
        <x:f>IF(Leads!AX234="","",Leads!AX234)</x:f>
      </x:c>
      <x:c r="G234" s="12" t="str">
        <x:f>IF(Leads!BC234="","",Leads!BC234)</x:f>
      </x:c>
      <x:c r="H234" s="12" t="str">
        <x:f>IF(Leads!BE234="","",Leads!BE234)</x:f>
      </x:c>
      <x:c r="I234" s="12" t="str">
        <x:f>IF(Leads!BG234="","",Leads!BG234)</x:f>
      </x:c>
      <x:c r="J234" s="12" t="str">
        <x:f>IF(Leads!BH234="","",Leads!BH234)</x:f>
      </x:c>
      <x:c r="K234" s="12" t="str">
        <x:f>IF(A234="","","مرحبًا "&amp;C234&amp;CHAR(10)&amp;CHAR(10)&amp;"شكرًا لإتمام تقييم DBD الخاص بعيادة "&amp;B234&amp;"."&amp;CHAR(10)&amp;"نتيجتكم الحالية: "&amp;E234&amp;"%."&amp;CHAR(10)&amp;"أولوية التحسين الأولى: "&amp;F234&amp;"."&amp;IF(J234&lt;&gt;"",CHAR(10)&amp;CHAR(10)&amp;"رابط التقرير: "&amp;J234,"")&amp;CHAR(10)&amp;CHAR(10)&amp;"إذا أحببت، يمكننا مساعدتك في فهم التقرير وتحديد أفضل خطوة تالية لعيادتكم.")</x:f>
      </x:c>
      <x:c r="L234" s="12" t="str">
        <x:f>IF(D234="","",HYPERLINK("https://wa.me/"&amp;REGEXREPLACE(D234,"[^\d]","")&amp;"?text="&amp;ENCODEURL(K234),"واتساب 1"))</x:f>
      </x:c>
      <x:c r="M234" s="12" t="str">
        <x:f>IF(A234="","","مرحبًا "&amp;C234&amp;CHAR(10)&amp;CHAR(10)&amp;"بناءً على نتيجة تقييم عيادة "&amp;B234&amp;"، فإن الترشيح الأقوى لكم الآن هو: "&amp;G234&amp;"."&amp;CHAR(10)&amp;"هذا الخيار يساعدكم في معالجة أكبر فجوة حالية بشكل عملي ومباشر."&amp;IF(J234&lt;&gt;"",CHAR(10)&amp;CHAR(10)&amp;"رابط التقرير: "&amp;J234,"")&amp;CHAR(10)&amp;CHAR(10)&amp;"إذا رغبت، يمكننا توضيح لماذا هذا الكورس هو الأنسب لكم الآن.")</x:f>
      </x:c>
      <x:c r="N234" s="12" t="str">
        <x:f>IF(D234="","",HYPERLINK("https://wa.me/"&amp;REGEXREPLACE(D234,"[^\d]","")&amp;"?text="&amp;ENCODEURL(M234),"واتساب 2"))</x:f>
      </x:c>
      <x:c r="O234" s="12" t="str">
        <x:f>IF(A234="","","مرحبًا "&amp;C234&amp;CHAR(10)&amp;CHAR(10)&amp;"إذا كانت التحديات لديكم تحتاج حلًا أشمل، فالبرنامج الكامل المناسب لكم هو: "&amp;H234&amp;"."&amp;IF(I234&lt;&gt;"",CHAR(10)&amp;"كما يمكنكم أيضًا حجز: "&amp;I234&amp;".","")&amp;IF(J234&lt;&gt;"",CHAR(10)&amp;CHAR(10)&amp;"رابط التقرير: "&amp;J234,"")&amp;CHAR(10)&amp;CHAR(10)&amp;"يسعدنا مساعدتكم في اختيار المسار الأنسب حسب وضع العيادة الحالي.")</x:f>
      </x:c>
      <x:c r="P234" s="12" t="str">
        <x:f>IF(D234="","",HYPERLINK("https://wa.me/"&amp;REGEXREPLACE(D234,"[^\d]","")&amp;"?text="&amp;ENCODEURL(O234),"واتساب 3"))</x:f>
      </x:c>
    </x:row>
    <x:row r="235" ht="15" hidden="0" customHeight="1">
      <x:c r="A235" s="12" t="str">
        <x:f>IF(Leads!A235="","",Leads!A235)</x:f>
      </x:c>
      <x:c r="B235" s="12" t="str">
        <x:f>IF(Leads!F235="","",Leads!F235)</x:f>
      </x:c>
      <x:c r="C235" s="12" t="str">
        <x:f>IF(Leads!G235="","",Leads!G235)</x:f>
      </x:c>
      <x:c r="D235" s="12" t="str">
        <x:f>IF(Leads!O235="","",Leads!O235)</x:f>
      </x:c>
      <x:c r="E235" s="12" t="str">
        <x:f>IF(Leads!AV235="","",Leads!AV235)</x:f>
      </x:c>
      <x:c r="F235" s="12" t="str">
        <x:f>IF(Leads!AX235="","",Leads!AX235)</x:f>
      </x:c>
      <x:c r="G235" s="12" t="str">
        <x:f>IF(Leads!BC235="","",Leads!BC235)</x:f>
      </x:c>
      <x:c r="H235" s="12" t="str">
        <x:f>IF(Leads!BE235="","",Leads!BE235)</x:f>
      </x:c>
      <x:c r="I235" s="12" t="str">
        <x:f>IF(Leads!BG235="","",Leads!BG235)</x:f>
      </x:c>
      <x:c r="J235" s="12" t="str">
        <x:f>IF(Leads!BH235="","",Leads!BH235)</x:f>
      </x:c>
      <x:c r="K235" s="12" t="str">
        <x:f>IF(A235="","","مرحبًا "&amp;C235&amp;CHAR(10)&amp;CHAR(10)&amp;"شكرًا لإتمام تقييم DBD الخاص بعيادة "&amp;B235&amp;"."&amp;CHAR(10)&amp;"نتيجتكم الحالية: "&amp;E235&amp;"%."&amp;CHAR(10)&amp;"أولوية التحسين الأولى: "&amp;F235&amp;"."&amp;IF(J235&lt;&gt;"",CHAR(10)&amp;CHAR(10)&amp;"رابط التقرير: "&amp;J235,"")&amp;CHAR(10)&amp;CHAR(10)&amp;"إذا أحببت، يمكننا مساعدتك في فهم التقرير وتحديد أفضل خطوة تالية لعيادتكم.")</x:f>
      </x:c>
      <x:c r="L235" s="12" t="str">
        <x:f>IF(D235="","",HYPERLINK("https://wa.me/"&amp;REGEXREPLACE(D235,"[^\d]","")&amp;"?text="&amp;ENCODEURL(K235),"واتساب 1"))</x:f>
      </x:c>
      <x:c r="M235" s="12" t="str">
        <x:f>IF(A235="","","مرحبًا "&amp;C235&amp;CHAR(10)&amp;CHAR(10)&amp;"بناءً على نتيجة تقييم عيادة "&amp;B235&amp;"، فإن الترشيح الأقوى لكم الآن هو: "&amp;G235&amp;"."&amp;CHAR(10)&amp;"هذا الخيار يساعدكم في معالجة أكبر فجوة حالية بشكل عملي ومباشر."&amp;IF(J235&lt;&gt;"",CHAR(10)&amp;CHAR(10)&amp;"رابط التقرير: "&amp;J235,"")&amp;CHAR(10)&amp;CHAR(10)&amp;"إذا رغبت، يمكننا توضيح لماذا هذا الكورس هو الأنسب لكم الآن.")</x:f>
      </x:c>
      <x:c r="N235" s="12" t="str">
        <x:f>IF(D235="","",HYPERLINK("https://wa.me/"&amp;REGEXREPLACE(D235,"[^\d]","")&amp;"?text="&amp;ENCODEURL(M235),"واتساب 2"))</x:f>
      </x:c>
      <x:c r="O235" s="12" t="str">
        <x:f>IF(A235="","","مرحبًا "&amp;C235&amp;CHAR(10)&amp;CHAR(10)&amp;"إذا كانت التحديات لديكم تحتاج حلًا أشمل، فالبرنامج الكامل المناسب لكم هو: "&amp;H235&amp;"."&amp;IF(I235&lt;&gt;"",CHAR(10)&amp;"كما يمكنكم أيضًا حجز: "&amp;I235&amp;".","")&amp;IF(J235&lt;&gt;"",CHAR(10)&amp;CHAR(10)&amp;"رابط التقرير: "&amp;J235,"")&amp;CHAR(10)&amp;CHAR(10)&amp;"يسعدنا مساعدتكم في اختيار المسار الأنسب حسب وضع العيادة الحالي.")</x:f>
      </x:c>
      <x:c r="P235" s="12" t="str">
        <x:f>IF(D235="","",HYPERLINK("https://wa.me/"&amp;REGEXREPLACE(D235,"[^\d]","")&amp;"?text="&amp;ENCODEURL(O235),"واتساب 3"))</x:f>
      </x:c>
    </x:row>
    <x:row r="236" ht="15" hidden="0" customHeight="1">
      <x:c r="A236" s="12" t="str">
        <x:f>IF(Leads!A236="","",Leads!A236)</x:f>
      </x:c>
      <x:c r="B236" s="12" t="str">
        <x:f>IF(Leads!F236="","",Leads!F236)</x:f>
      </x:c>
      <x:c r="C236" s="12" t="str">
        <x:f>IF(Leads!G236="","",Leads!G236)</x:f>
      </x:c>
      <x:c r="D236" s="12" t="str">
        <x:f>IF(Leads!O236="","",Leads!O236)</x:f>
      </x:c>
      <x:c r="E236" s="12" t="str">
        <x:f>IF(Leads!AV236="","",Leads!AV236)</x:f>
      </x:c>
      <x:c r="F236" s="12" t="str">
        <x:f>IF(Leads!AX236="","",Leads!AX236)</x:f>
      </x:c>
      <x:c r="G236" s="12" t="str">
        <x:f>IF(Leads!BC236="","",Leads!BC236)</x:f>
      </x:c>
      <x:c r="H236" s="12" t="str">
        <x:f>IF(Leads!BE236="","",Leads!BE236)</x:f>
      </x:c>
      <x:c r="I236" s="12" t="str">
        <x:f>IF(Leads!BG236="","",Leads!BG236)</x:f>
      </x:c>
      <x:c r="J236" s="12" t="str">
        <x:f>IF(Leads!BH236="","",Leads!BH236)</x:f>
      </x:c>
      <x:c r="K236" s="12" t="str">
        <x:f>IF(A236="","","مرحبًا "&amp;C236&amp;CHAR(10)&amp;CHAR(10)&amp;"شكرًا لإتمام تقييم DBD الخاص بعيادة "&amp;B236&amp;"."&amp;CHAR(10)&amp;"نتيجتكم الحالية: "&amp;E236&amp;"%."&amp;CHAR(10)&amp;"أولوية التحسين الأولى: "&amp;F236&amp;"."&amp;IF(J236&lt;&gt;"",CHAR(10)&amp;CHAR(10)&amp;"رابط التقرير: "&amp;J236,"")&amp;CHAR(10)&amp;CHAR(10)&amp;"إذا أحببت، يمكننا مساعدتك في فهم التقرير وتحديد أفضل خطوة تالية لعيادتكم.")</x:f>
      </x:c>
      <x:c r="L236" s="12" t="str">
        <x:f>IF(D236="","",HYPERLINK("https://wa.me/"&amp;REGEXREPLACE(D236,"[^\d]","")&amp;"?text="&amp;ENCODEURL(K236),"واتساب 1"))</x:f>
      </x:c>
      <x:c r="M236" s="12" t="str">
        <x:f>IF(A236="","","مرحبًا "&amp;C236&amp;CHAR(10)&amp;CHAR(10)&amp;"بناءً على نتيجة تقييم عيادة "&amp;B236&amp;"، فإن الترشيح الأقوى لكم الآن هو: "&amp;G236&amp;"."&amp;CHAR(10)&amp;"هذا الخيار يساعدكم في معالجة أكبر فجوة حالية بشكل عملي ومباشر."&amp;IF(J236&lt;&gt;"",CHAR(10)&amp;CHAR(10)&amp;"رابط التقرير: "&amp;J236,"")&amp;CHAR(10)&amp;CHAR(10)&amp;"إذا رغبت، يمكننا توضيح لماذا هذا الكورس هو الأنسب لكم الآن.")</x:f>
      </x:c>
      <x:c r="N236" s="12" t="str">
        <x:f>IF(D236="","",HYPERLINK("https://wa.me/"&amp;REGEXREPLACE(D236,"[^\d]","")&amp;"?text="&amp;ENCODEURL(M236),"واتساب 2"))</x:f>
      </x:c>
      <x:c r="O236" s="12" t="str">
        <x:f>IF(A236="","","مرحبًا "&amp;C236&amp;CHAR(10)&amp;CHAR(10)&amp;"إذا كانت التحديات لديكم تحتاج حلًا أشمل، فالبرنامج الكامل المناسب لكم هو: "&amp;H236&amp;"."&amp;IF(I236&lt;&gt;"",CHAR(10)&amp;"كما يمكنكم أيضًا حجز: "&amp;I236&amp;".","")&amp;IF(J236&lt;&gt;"",CHAR(10)&amp;CHAR(10)&amp;"رابط التقرير: "&amp;J236,"")&amp;CHAR(10)&amp;CHAR(10)&amp;"يسعدنا مساعدتكم في اختيار المسار الأنسب حسب وضع العيادة الحالي.")</x:f>
      </x:c>
      <x:c r="P236" s="12" t="str">
        <x:f>IF(D236="","",HYPERLINK("https://wa.me/"&amp;REGEXREPLACE(D236,"[^\d]","")&amp;"?text="&amp;ENCODEURL(O236),"واتساب 3"))</x:f>
      </x:c>
    </x:row>
    <x:row r="237" ht="15" hidden="0" customHeight="1">
      <x:c r="A237" s="12" t="str">
        <x:f>IF(Leads!A237="","",Leads!A237)</x:f>
      </x:c>
      <x:c r="B237" s="12" t="str">
        <x:f>IF(Leads!F237="","",Leads!F237)</x:f>
      </x:c>
      <x:c r="C237" s="12" t="str">
        <x:f>IF(Leads!G237="","",Leads!G237)</x:f>
      </x:c>
      <x:c r="D237" s="12" t="str">
        <x:f>IF(Leads!O237="","",Leads!O237)</x:f>
      </x:c>
      <x:c r="E237" s="12" t="str">
        <x:f>IF(Leads!AV237="","",Leads!AV237)</x:f>
      </x:c>
      <x:c r="F237" s="12" t="str">
        <x:f>IF(Leads!AX237="","",Leads!AX237)</x:f>
      </x:c>
      <x:c r="G237" s="12" t="str">
        <x:f>IF(Leads!BC237="","",Leads!BC237)</x:f>
      </x:c>
      <x:c r="H237" s="12" t="str">
        <x:f>IF(Leads!BE237="","",Leads!BE237)</x:f>
      </x:c>
      <x:c r="I237" s="12" t="str">
        <x:f>IF(Leads!BG237="","",Leads!BG237)</x:f>
      </x:c>
      <x:c r="J237" s="12" t="str">
        <x:f>IF(Leads!BH237="","",Leads!BH237)</x:f>
      </x:c>
      <x:c r="K237" s="12" t="str">
        <x:f>IF(A237="","","مرحبًا "&amp;C237&amp;CHAR(10)&amp;CHAR(10)&amp;"شكرًا لإتمام تقييم DBD الخاص بعيادة "&amp;B237&amp;"."&amp;CHAR(10)&amp;"نتيجتكم الحالية: "&amp;E237&amp;"%."&amp;CHAR(10)&amp;"أولوية التحسين الأولى: "&amp;F237&amp;"."&amp;IF(J237&lt;&gt;"",CHAR(10)&amp;CHAR(10)&amp;"رابط التقرير: "&amp;J237,"")&amp;CHAR(10)&amp;CHAR(10)&amp;"إذا أحببت، يمكننا مساعدتك في فهم التقرير وتحديد أفضل خطوة تالية لعيادتكم.")</x:f>
      </x:c>
      <x:c r="L237" s="12" t="str">
        <x:f>IF(D237="","",HYPERLINK("https://wa.me/"&amp;REGEXREPLACE(D237,"[^\d]","")&amp;"?text="&amp;ENCODEURL(K237),"واتساب 1"))</x:f>
      </x:c>
      <x:c r="M237" s="12" t="str">
        <x:f>IF(A237="","","مرحبًا "&amp;C237&amp;CHAR(10)&amp;CHAR(10)&amp;"بناءً على نتيجة تقييم عيادة "&amp;B237&amp;"، فإن الترشيح الأقوى لكم الآن هو: "&amp;G237&amp;"."&amp;CHAR(10)&amp;"هذا الخيار يساعدكم في معالجة أكبر فجوة حالية بشكل عملي ومباشر."&amp;IF(J237&lt;&gt;"",CHAR(10)&amp;CHAR(10)&amp;"رابط التقرير: "&amp;J237,"")&amp;CHAR(10)&amp;CHAR(10)&amp;"إذا رغبت، يمكننا توضيح لماذا هذا الكورس هو الأنسب لكم الآن.")</x:f>
      </x:c>
      <x:c r="N237" s="12" t="str">
        <x:f>IF(D237="","",HYPERLINK("https://wa.me/"&amp;REGEXREPLACE(D237,"[^\d]","")&amp;"?text="&amp;ENCODEURL(M237),"واتساب 2"))</x:f>
      </x:c>
      <x:c r="O237" s="12" t="str">
        <x:f>IF(A237="","","مرحبًا "&amp;C237&amp;CHAR(10)&amp;CHAR(10)&amp;"إذا كانت التحديات لديكم تحتاج حلًا أشمل، فالبرنامج الكامل المناسب لكم هو: "&amp;H237&amp;"."&amp;IF(I237&lt;&gt;"",CHAR(10)&amp;"كما يمكنكم أيضًا حجز: "&amp;I237&amp;".","")&amp;IF(J237&lt;&gt;"",CHAR(10)&amp;CHAR(10)&amp;"رابط التقرير: "&amp;J237,"")&amp;CHAR(10)&amp;CHAR(10)&amp;"يسعدنا مساعدتكم في اختيار المسار الأنسب حسب وضع العيادة الحالي.")</x:f>
      </x:c>
      <x:c r="P237" s="12" t="str">
        <x:f>IF(D237="","",HYPERLINK("https://wa.me/"&amp;REGEXREPLACE(D237,"[^\d]","")&amp;"?text="&amp;ENCODEURL(O237),"واتساب 3"))</x:f>
      </x:c>
    </x:row>
    <x:row r="238" ht="15" hidden="0" customHeight="1">
      <x:c r="A238" s="12" t="str">
        <x:f>IF(Leads!A238="","",Leads!A238)</x:f>
      </x:c>
      <x:c r="B238" s="12" t="str">
        <x:f>IF(Leads!F238="","",Leads!F238)</x:f>
      </x:c>
      <x:c r="C238" s="12" t="str">
        <x:f>IF(Leads!G238="","",Leads!G238)</x:f>
      </x:c>
      <x:c r="D238" s="12" t="str">
        <x:f>IF(Leads!O238="","",Leads!O238)</x:f>
      </x:c>
      <x:c r="E238" s="12" t="str">
        <x:f>IF(Leads!AV238="","",Leads!AV238)</x:f>
      </x:c>
      <x:c r="F238" s="12" t="str">
        <x:f>IF(Leads!AX238="","",Leads!AX238)</x:f>
      </x:c>
      <x:c r="G238" s="12" t="str">
        <x:f>IF(Leads!BC238="","",Leads!BC238)</x:f>
      </x:c>
      <x:c r="H238" s="12" t="str">
        <x:f>IF(Leads!BE238="","",Leads!BE238)</x:f>
      </x:c>
      <x:c r="I238" s="12" t="str">
        <x:f>IF(Leads!BG238="","",Leads!BG238)</x:f>
      </x:c>
      <x:c r="J238" s="12" t="str">
        <x:f>IF(Leads!BH238="","",Leads!BH238)</x:f>
      </x:c>
      <x:c r="K238" s="12" t="str">
        <x:f>IF(A238="","","مرحبًا "&amp;C238&amp;CHAR(10)&amp;CHAR(10)&amp;"شكرًا لإتمام تقييم DBD الخاص بعيادة "&amp;B238&amp;"."&amp;CHAR(10)&amp;"نتيجتكم الحالية: "&amp;E238&amp;"%."&amp;CHAR(10)&amp;"أولوية التحسين الأولى: "&amp;F238&amp;"."&amp;IF(J238&lt;&gt;"",CHAR(10)&amp;CHAR(10)&amp;"رابط التقرير: "&amp;J238,"")&amp;CHAR(10)&amp;CHAR(10)&amp;"إذا أحببت، يمكننا مساعدتك في فهم التقرير وتحديد أفضل خطوة تالية لعيادتكم.")</x:f>
      </x:c>
      <x:c r="L238" s="12" t="str">
        <x:f>IF(D238="","",HYPERLINK("https://wa.me/"&amp;REGEXREPLACE(D238,"[^\d]","")&amp;"?text="&amp;ENCODEURL(K238),"واتساب 1"))</x:f>
      </x:c>
      <x:c r="M238" s="12" t="str">
        <x:f>IF(A238="","","مرحبًا "&amp;C238&amp;CHAR(10)&amp;CHAR(10)&amp;"بناءً على نتيجة تقييم عيادة "&amp;B238&amp;"، فإن الترشيح الأقوى لكم الآن هو: "&amp;G238&amp;"."&amp;CHAR(10)&amp;"هذا الخيار يساعدكم في معالجة أكبر فجوة حالية بشكل عملي ومباشر."&amp;IF(J238&lt;&gt;"",CHAR(10)&amp;CHAR(10)&amp;"رابط التقرير: "&amp;J238,"")&amp;CHAR(10)&amp;CHAR(10)&amp;"إذا رغبت، يمكننا توضيح لماذا هذا الكورس هو الأنسب لكم الآن.")</x:f>
      </x:c>
      <x:c r="N238" s="12" t="str">
        <x:f>IF(D238="","",HYPERLINK("https://wa.me/"&amp;REGEXREPLACE(D238,"[^\d]","")&amp;"?text="&amp;ENCODEURL(M238),"واتساب 2"))</x:f>
      </x:c>
      <x:c r="O238" s="12" t="str">
        <x:f>IF(A238="","","مرحبًا "&amp;C238&amp;CHAR(10)&amp;CHAR(10)&amp;"إذا كانت التحديات لديكم تحتاج حلًا أشمل، فالبرنامج الكامل المناسب لكم هو: "&amp;H238&amp;"."&amp;IF(I238&lt;&gt;"",CHAR(10)&amp;"كما يمكنكم أيضًا حجز: "&amp;I238&amp;".","")&amp;IF(J238&lt;&gt;"",CHAR(10)&amp;CHAR(10)&amp;"رابط التقرير: "&amp;J238,"")&amp;CHAR(10)&amp;CHAR(10)&amp;"يسعدنا مساعدتكم في اختيار المسار الأنسب حسب وضع العيادة الحالي.")</x:f>
      </x:c>
      <x:c r="P238" s="12" t="str">
        <x:f>IF(D238="","",HYPERLINK("https://wa.me/"&amp;REGEXREPLACE(D238,"[^\d]","")&amp;"?text="&amp;ENCODEURL(O238),"واتساب 3"))</x:f>
      </x:c>
    </x:row>
    <x:row r="239" ht="15" hidden="0" customHeight="1">
      <x:c r="A239" s="12" t="str">
        <x:f>IF(Leads!A239="","",Leads!A239)</x:f>
      </x:c>
      <x:c r="B239" s="12" t="str">
        <x:f>IF(Leads!F239="","",Leads!F239)</x:f>
      </x:c>
      <x:c r="C239" s="12" t="str">
        <x:f>IF(Leads!G239="","",Leads!G239)</x:f>
      </x:c>
      <x:c r="D239" s="12" t="str">
        <x:f>IF(Leads!O239="","",Leads!O239)</x:f>
      </x:c>
      <x:c r="E239" s="12" t="str">
        <x:f>IF(Leads!AV239="","",Leads!AV239)</x:f>
      </x:c>
      <x:c r="F239" s="12" t="str">
        <x:f>IF(Leads!AX239="","",Leads!AX239)</x:f>
      </x:c>
      <x:c r="G239" s="12" t="str">
        <x:f>IF(Leads!BC239="","",Leads!BC239)</x:f>
      </x:c>
      <x:c r="H239" s="12" t="str">
        <x:f>IF(Leads!BE239="","",Leads!BE239)</x:f>
      </x:c>
      <x:c r="I239" s="12" t="str">
        <x:f>IF(Leads!BG239="","",Leads!BG239)</x:f>
      </x:c>
      <x:c r="J239" s="12" t="str">
        <x:f>IF(Leads!BH239="","",Leads!BH239)</x:f>
      </x:c>
      <x:c r="K239" s="12" t="str">
        <x:f>IF(A239="","","مرحبًا "&amp;C239&amp;CHAR(10)&amp;CHAR(10)&amp;"شكرًا لإتمام تقييم DBD الخاص بعيادة "&amp;B239&amp;"."&amp;CHAR(10)&amp;"نتيجتكم الحالية: "&amp;E239&amp;"%."&amp;CHAR(10)&amp;"أولوية التحسين الأولى: "&amp;F239&amp;"."&amp;IF(J239&lt;&gt;"",CHAR(10)&amp;CHAR(10)&amp;"رابط التقرير: "&amp;J239,"")&amp;CHAR(10)&amp;CHAR(10)&amp;"إذا أحببت، يمكننا مساعدتك في فهم التقرير وتحديد أفضل خطوة تالية لعيادتكم.")</x:f>
      </x:c>
      <x:c r="L239" s="12" t="str">
        <x:f>IF(D239="","",HYPERLINK("https://wa.me/"&amp;REGEXREPLACE(D239,"[^\d]","")&amp;"?text="&amp;ENCODEURL(K239),"واتساب 1"))</x:f>
      </x:c>
      <x:c r="M239" s="12" t="str">
        <x:f>IF(A239="","","مرحبًا "&amp;C239&amp;CHAR(10)&amp;CHAR(10)&amp;"بناءً على نتيجة تقييم عيادة "&amp;B239&amp;"، فإن الترشيح الأقوى لكم الآن هو: "&amp;G239&amp;"."&amp;CHAR(10)&amp;"هذا الخيار يساعدكم في معالجة أكبر فجوة حالية بشكل عملي ومباشر."&amp;IF(J239&lt;&gt;"",CHAR(10)&amp;CHAR(10)&amp;"رابط التقرير: "&amp;J239,"")&amp;CHAR(10)&amp;CHAR(10)&amp;"إذا رغبت، يمكننا توضيح لماذا هذا الكورس هو الأنسب لكم الآن.")</x:f>
      </x:c>
      <x:c r="N239" s="12" t="str">
        <x:f>IF(D239="","",HYPERLINK("https://wa.me/"&amp;REGEXREPLACE(D239,"[^\d]","")&amp;"?text="&amp;ENCODEURL(M239),"واتساب 2"))</x:f>
      </x:c>
      <x:c r="O239" s="12" t="str">
        <x:f>IF(A239="","","مرحبًا "&amp;C239&amp;CHAR(10)&amp;CHAR(10)&amp;"إذا كانت التحديات لديكم تحتاج حلًا أشمل، فالبرنامج الكامل المناسب لكم هو: "&amp;H239&amp;"."&amp;IF(I239&lt;&gt;"",CHAR(10)&amp;"كما يمكنكم أيضًا حجز: "&amp;I239&amp;".","")&amp;IF(J239&lt;&gt;"",CHAR(10)&amp;CHAR(10)&amp;"رابط التقرير: "&amp;J239,"")&amp;CHAR(10)&amp;CHAR(10)&amp;"يسعدنا مساعدتكم في اختيار المسار الأنسب حسب وضع العيادة الحالي.")</x:f>
      </x:c>
      <x:c r="P239" s="12" t="str">
        <x:f>IF(D239="","",HYPERLINK("https://wa.me/"&amp;REGEXREPLACE(D239,"[^\d]","")&amp;"?text="&amp;ENCODEURL(O239),"واتساب 3"))</x:f>
      </x:c>
    </x:row>
    <x:row r="240" ht="15" hidden="0" customHeight="1">
      <x:c r="A240" s="12" t="str">
        <x:f>IF(Leads!A240="","",Leads!A240)</x:f>
      </x:c>
      <x:c r="B240" s="12" t="str">
        <x:f>IF(Leads!F240="","",Leads!F240)</x:f>
      </x:c>
      <x:c r="C240" s="12" t="str">
        <x:f>IF(Leads!G240="","",Leads!G240)</x:f>
      </x:c>
      <x:c r="D240" s="12" t="str">
        <x:f>IF(Leads!O240="","",Leads!O240)</x:f>
      </x:c>
      <x:c r="E240" s="12" t="str">
        <x:f>IF(Leads!AV240="","",Leads!AV240)</x:f>
      </x:c>
      <x:c r="F240" s="12" t="str">
        <x:f>IF(Leads!AX240="","",Leads!AX240)</x:f>
      </x:c>
      <x:c r="G240" s="12" t="str">
        <x:f>IF(Leads!BC240="","",Leads!BC240)</x:f>
      </x:c>
      <x:c r="H240" s="12" t="str">
        <x:f>IF(Leads!BE240="","",Leads!BE240)</x:f>
      </x:c>
      <x:c r="I240" s="12" t="str">
        <x:f>IF(Leads!BG240="","",Leads!BG240)</x:f>
      </x:c>
      <x:c r="J240" s="12" t="str">
        <x:f>IF(Leads!BH240="","",Leads!BH240)</x:f>
      </x:c>
      <x:c r="K240" s="12" t="str">
        <x:f>IF(A240="","","مرحبًا "&amp;C240&amp;CHAR(10)&amp;CHAR(10)&amp;"شكرًا لإتمام تقييم DBD الخاص بعيادة "&amp;B240&amp;"."&amp;CHAR(10)&amp;"نتيجتكم الحالية: "&amp;E240&amp;"%."&amp;CHAR(10)&amp;"أولوية التحسين الأولى: "&amp;F240&amp;"."&amp;IF(J240&lt;&gt;"",CHAR(10)&amp;CHAR(10)&amp;"رابط التقرير: "&amp;J240,"")&amp;CHAR(10)&amp;CHAR(10)&amp;"إذا أحببت، يمكننا مساعدتك في فهم التقرير وتحديد أفضل خطوة تالية لعيادتكم.")</x:f>
      </x:c>
      <x:c r="L240" s="12" t="str">
        <x:f>IF(D240="","",HYPERLINK("https://wa.me/"&amp;REGEXREPLACE(D240,"[^\d]","")&amp;"?text="&amp;ENCODEURL(K240),"واتساب 1"))</x:f>
      </x:c>
      <x:c r="M240" s="12" t="str">
        <x:f>IF(A240="","","مرحبًا "&amp;C240&amp;CHAR(10)&amp;CHAR(10)&amp;"بناءً على نتيجة تقييم عيادة "&amp;B240&amp;"، فإن الترشيح الأقوى لكم الآن هو: "&amp;G240&amp;"."&amp;CHAR(10)&amp;"هذا الخيار يساعدكم في معالجة أكبر فجوة حالية بشكل عملي ومباشر."&amp;IF(J240&lt;&gt;"",CHAR(10)&amp;CHAR(10)&amp;"رابط التقرير: "&amp;J240,"")&amp;CHAR(10)&amp;CHAR(10)&amp;"إذا رغبت، يمكننا توضيح لماذا هذا الكورس هو الأنسب لكم الآن.")</x:f>
      </x:c>
      <x:c r="N240" s="12" t="str">
        <x:f>IF(D240="","",HYPERLINK("https://wa.me/"&amp;REGEXREPLACE(D240,"[^\d]","")&amp;"?text="&amp;ENCODEURL(M240),"واتساب 2"))</x:f>
      </x:c>
      <x:c r="O240" s="12" t="str">
        <x:f>IF(A240="","","مرحبًا "&amp;C240&amp;CHAR(10)&amp;CHAR(10)&amp;"إذا كانت التحديات لديكم تحتاج حلًا أشمل، فالبرنامج الكامل المناسب لكم هو: "&amp;H240&amp;"."&amp;IF(I240&lt;&gt;"",CHAR(10)&amp;"كما يمكنكم أيضًا حجز: "&amp;I240&amp;".","")&amp;IF(J240&lt;&gt;"",CHAR(10)&amp;CHAR(10)&amp;"رابط التقرير: "&amp;J240,"")&amp;CHAR(10)&amp;CHAR(10)&amp;"يسعدنا مساعدتكم في اختيار المسار الأنسب حسب وضع العيادة الحالي.")</x:f>
      </x:c>
      <x:c r="P240" s="12" t="str">
        <x:f>IF(D240="","",HYPERLINK("https://wa.me/"&amp;REGEXREPLACE(D240,"[^\d]","")&amp;"?text="&amp;ENCODEURL(O240),"واتساب 3"))</x:f>
      </x:c>
    </x:row>
    <x:row r="241" ht="15" hidden="0" customHeight="1">
      <x:c r="A241" s="12" t="str">
        <x:f>IF(Leads!A241="","",Leads!A241)</x:f>
      </x:c>
      <x:c r="B241" s="12" t="str">
        <x:f>IF(Leads!F241="","",Leads!F241)</x:f>
      </x:c>
      <x:c r="C241" s="12" t="str">
        <x:f>IF(Leads!G241="","",Leads!G241)</x:f>
      </x:c>
      <x:c r="D241" s="12" t="str">
        <x:f>IF(Leads!O241="","",Leads!O241)</x:f>
      </x:c>
      <x:c r="E241" s="12" t="str">
        <x:f>IF(Leads!AV241="","",Leads!AV241)</x:f>
      </x:c>
      <x:c r="F241" s="12" t="str">
        <x:f>IF(Leads!AX241="","",Leads!AX241)</x:f>
      </x:c>
      <x:c r="G241" s="12" t="str">
        <x:f>IF(Leads!BC241="","",Leads!BC241)</x:f>
      </x:c>
      <x:c r="H241" s="12" t="str">
        <x:f>IF(Leads!BE241="","",Leads!BE241)</x:f>
      </x:c>
      <x:c r="I241" s="12" t="str">
        <x:f>IF(Leads!BG241="","",Leads!BG241)</x:f>
      </x:c>
      <x:c r="J241" s="12" t="str">
        <x:f>IF(Leads!BH241="","",Leads!BH241)</x:f>
      </x:c>
      <x:c r="K241" s="12" t="str">
        <x:f>IF(A241="","","مرحبًا "&amp;C241&amp;CHAR(10)&amp;CHAR(10)&amp;"شكرًا لإتمام تقييم DBD الخاص بعيادة "&amp;B241&amp;"."&amp;CHAR(10)&amp;"نتيجتكم الحالية: "&amp;E241&amp;"%."&amp;CHAR(10)&amp;"أولوية التحسين الأولى: "&amp;F241&amp;"."&amp;IF(J241&lt;&gt;"",CHAR(10)&amp;CHAR(10)&amp;"رابط التقرير: "&amp;J241,"")&amp;CHAR(10)&amp;CHAR(10)&amp;"إذا أحببت، يمكننا مساعدتك في فهم التقرير وتحديد أفضل خطوة تالية لعيادتكم.")</x:f>
      </x:c>
      <x:c r="L241" s="12" t="str">
        <x:f>IF(D241="","",HYPERLINK("https://wa.me/"&amp;REGEXREPLACE(D241,"[^\d]","")&amp;"?text="&amp;ENCODEURL(K241),"واتساب 1"))</x:f>
      </x:c>
      <x:c r="M241" s="12" t="str">
        <x:f>IF(A241="","","مرحبًا "&amp;C241&amp;CHAR(10)&amp;CHAR(10)&amp;"بناءً على نتيجة تقييم عيادة "&amp;B241&amp;"، فإن الترشيح الأقوى لكم الآن هو: "&amp;G241&amp;"."&amp;CHAR(10)&amp;"هذا الخيار يساعدكم في معالجة أكبر فجوة حالية بشكل عملي ومباشر."&amp;IF(J241&lt;&gt;"",CHAR(10)&amp;CHAR(10)&amp;"رابط التقرير: "&amp;J241,"")&amp;CHAR(10)&amp;CHAR(10)&amp;"إذا رغبت، يمكننا توضيح لماذا هذا الكورس هو الأنسب لكم الآن.")</x:f>
      </x:c>
      <x:c r="N241" s="12" t="str">
        <x:f>IF(D241="","",HYPERLINK("https://wa.me/"&amp;REGEXREPLACE(D241,"[^\d]","")&amp;"?text="&amp;ENCODEURL(M241),"واتساب 2"))</x:f>
      </x:c>
      <x:c r="O241" s="12" t="str">
        <x:f>IF(A241="","","مرحبًا "&amp;C241&amp;CHAR(10)&amp;CHAR(10)&amp;"إذا كانت التحديات لديكم تحتاج حلًا أشمل، فالبرنامج الكامل المناسب لكم هو: "&amp;H241&amp;"."&amp;IF(I241&lt;&gt;"",CHAR(10)&amp;"كما يمكنكم أيضًا حجز: "&amp;I241&amp;".","")&amp;IF(J241&lt;&gt;"",CHAR(10)&amp;CHAR(10)&amp;"رابط التقرير: "&amp;J241,"")&amp;CHAR(10)&amp;CHAR(10)&amp;"يسعدنا مساعدتكم في اختيار المسار الأنسب حسب وضع العيادة الحالي.")</x:f>
      </x:c>
      <x:c r="P241" s="12" t="str">
        <x:f>IF(D241="","",HYPERLINK("https://wa.me/"&amp;REGEXREPLACE(D241,"[^\d]","")&amp;"?text="&amp;ENCODEURL(O241),"واتساب 3"))</x:f>
      </x:c>
    </x:row>
    <x:row r="242" ht="15" hidden="0" customHeight="1">
      <x:c r="A242" s="12" t="str">
        <x:f>IF(Leads!A242="","",Leads!A242)</x:f>
      </x:c>
      <x:c r="B242" s="12" t="str">
        <x:f>IF(Leads!F242="","",Leads!F242)</x:f>
      </x:c>
      <x:c r="C242" s="12" t="str">
        <x:f>IF(Leads!G242="","",Leads!G242)</x:f>
      </x:c>
      <x:c r="D242" s="12" t="str">
        <x:f>IF(Leads!O242="","",Leads!O242)</x:f>
      </x:c>
      <x:c r="E242" s="12" t="str">
        <x:f>IF(Leads!AV242="","",Leads!AV242)</x:f>
      </x:c>
      <x:c r="F242" s="12" t="str">
        <x:f>IF(Leads!AX242="","",Leads!AX242)</x:f>
      </x:c>
      <x:c r="G242" s="12" t="str">
        <x:f>IF(Leads!BC242="","",Leads!BC242)</x:f>
      </x:c>
      <x:c r="H242" s="12" t="str">
        <x:f>IF(Leads!BE242="","",Leads!BE242)</x:f>
      </x:c>
      <x:c r="I242" s="12" t="str">
        <x:f>IF(Leads!BG242="","",Leads!BG242)</x:f>
      </x:c>
      <x:c r="J242" s="12" t="str">
        <x:f>IF(Leads!BH242="","",Leads!BH242)</x:f>
      </x:c>
      <x:c r="K242" s="12" t="str">
        <x:f>IF(A242="","","مرحبًا "&amp;C242&amp;CHAR(10)&amp;CHAR(10)&amp;"شكرًا لإتمام تقييم DBD الخاص بعيادة "&amp;B242&amp;"."&amp;CHAR(10)&amp;"نتيجتكم الحالية: "&amp;E242&amp;"%."&amp;CHAR(10)&amp;"أولوية التحسين الأولى: "&amp;F242&amp;"."&amp;IF(J242&lt;&gt;"",CHAR(10)&amp;CHAR(10)&amp;"رابط التقرير: "&amp;J242,"")&amp;CHAR(10)&amp;CHAR(10)&amp;"إذا أحببت، يمكننا مساعدتك في فهم التقرير وتحديد أفضل خطوة تالية لعيادتكم.")</x:f>
      </x:c>
      <x:c r="L242" s="12" t="str">
        <x:f>IF(D242="","",HYPERLINK("https://wa.me/"&amp;REGEXREPLACE(D242,"[^\d]","")&amp;"?text="&amp;ENCODEURL(K242),"واتساب 1"))</x:f>
      </x:c>
      <x:c r="M242" s="12" t="str">
        <x:f>IF(A242="","","مرحبًا "&amp;C242&amp;CHAR(10)&amp;CHAR(10)&amp;"بناءً على نتيجة تقييم عيادة "&amp;B242&amp;"، فإن الترشيح الأقوى لكم الآن هو: "&amp;G242&amp;"."&amp;CHAR(10)&amp;"هذا الخيار يساعدكم في معالجة أكبر فجوة حالية بشكل عملي ومباشر."&amp;IF(J242&lt;&gt;"",CHAR(10)&amp;CHAR(10)&amp;"رابط التقرير: "&amp;J242,"")&amp;CHAR(10)&amp;CHAR(10)&amp;"إذا رغبت، يمكننا توضيح لماذا هذا الكورس هو الأنسب لكم الآن.")</x:f>
      </x:c>
      <x:c r="N242" s="12" t="str">
        <x:f>IF(D242="","",HYPERLINK("https://wa.me/"&amp;REGEXREPLACE(D242,"[^\d]","")&amp;"?text="&amp;ENCODEURL(M242),"واتساب 2"))</x:f>
      </x:c>
      <x:c r="O242" s="12" t="str">
        <x:f>IF(A242="","","مرحبًا "&amp;C242&amp;CHAR(10)&amp;CHAR(10)&amp;"إذا كانت التحديات لديكم تحتاج حلًا أشمل، فالبرنامج الكامل المناسب لكم هو: "&amp;H242&amp;"."&amp;IF(I242&lt;&gt;"",CHAR(10)&amp;"كما يمكنكم أيضًا حجز: "&amp;I242&amp;".","")&amp;IF(J242&lt;&gt;"",CHAR(10)&amp;CHAR(10)&amp;"رابط التقرير: "&amp;J242,"")&amp;CHAR(10)&amp;CHAR(10)&amp;"يسعدنا مساعدتكم في اختيار المسار الأنسب حسب وضع العيادة الحالي.")</x:f>
      </x:c>
      <x:c r="P242" s="12" t="str">
        <x:f>IF(D242="","",HYPERLINK("https://wa.me/"&amp;REGEXREPLACE(D242,"[^\d]","")&amp;"?text="&amp;ENCODEURL(O242),"واتساب 3"))</x:f>
      </x:c>
    </x:row>
    <x:row r="243" ht="15" hidden="0" customHeight="1">
      <x:c r="A243" s="12" t="str">
        <x:f>IF(Leads!A243="","",Leads!A243)</x:f>
      </x:c>
      <x:c r="B243" s="12" t="str">
        <x:f>IF(Leads!F243="","",Leads!F243)</x:f>
      </x:c>
      <x:c r="C243" s="12" t="str">
        <x:f>IF(Leads!G243="","",Leads!G243)</x:f>
      </x:c>
      <x:c r="D243" s="12" t="str">
        <x:f>IF(Leads!O243="","",Leads!O243)</x:f>
      </x:c>
      <x:c r="E243" s="12" t="str">
        <x:f>IF(Leads!AV243="","",Leads!AV243)</x:f>
      </x:c>
      <x:c r="F243" s="12" t="str">
        <x:f>IF(Leads!AX243="","",Leads!AX243)</x:f>
      </x:c>
      <x:c r="G243" s="12" t="str">
        <x:f>IF(Leads!BC243="","",Leads!BC243)</x:f>
      </x:c>
      <x:c r="H243" s="12" t="str">
        <x:f>IF(Leads!BE243="","",Leads!BE243)</x:f>
      </x:c>
      <x:c r="I243" s="12" t="str">
        <x:f>IF(Leads!BG243="","",Leads!BG243)</x:f>
      </x:c>
      <x:c r="J243" s="12" t="str">
        <x:f>IF(Leads!BH243="","",Leads!BH243)</x:f>
      </x:c>
      <x:c r="K243" s="12" t="str">
        <x:f>IF(A243="","","مرحبًا "&amp;C243&amp;CHAR(10)&amp;CHAR(10)&amp;"شكرًا لإتمام تقييم DBD الخاص بعيادة "&amp;B243&amp;"."&amp;CHAR(10)&amp;"نتيجتكم الحالية: "&amp;E243&amp;"%."&amp;CHAR(10)&amp;"أولوية التحسين الأولى: "&amp;F243&amp;"."&amp;IF(J243&lt;&gt;"",CHAR(10)&amp;CHAR(10)&amp;"رابط التقرير: "&amp;J243,"")&amp;CHAR(10)&amp;CHAR(10)&amp;"إذا أحببت، يمكننا مساعدتك في فهم التقرير وتحديد أفضل خطوة تالية لعيادتكم.")</x:f>
      </x:c>
      <x:c r="L243" s="12" t="str">
        <x:f>IF(D243="","",HYPERLINK("https://wa.me/"&amp;REGEXREPLACE(D243,"[^\d]","")&amp;"?text="&amp;ENCODEURL(K243),"واتساب 1"))</x:f>
      </x:c>
      <x:c r="M243" s="12" t="str">
        <x:f>IF(A243="","","مرحبًا "&amp;C243&amp;CHAR(10)&amp;CHAR(10)&amp;"بناءً على نتيجة تقييم عيادة "&amp;B243&amp;"، فإن الترشيح الأقوى لكم الآن هو: "&amp;G243&amp;"."&amp;CHAR(10)&amp;"هذا الخيار يساعدكم في معالجة أكبر فجوة حالية بشكل عملي ومباشر."&amp;IF(J243&lt;&gt;"",CHAR(10)&amp;CHAR(10)&amp;"رابط التقرير: "&amp;J243,"")&amp;CHAR(10)&amp;CHAR(10)&amp;"إذا رغبت، يمكننا توضيح لماذا هذا الكورس هو الأنسب لكم الآن.")</x:f>
      </x:c>
      <x:c r="N243" s="12" t="str">
        <x:f>IF(D243="","",HYPERLINK("https://wa.me/"&amp;REGEXREPLACE(D243,"[^\d]","")&amp;"?text="&amp;ENCODEURL(M243),"واتساب 2"))</x:f>
      </x:c>
      <x:c r="O243" s="12" t="str">
        <x:f>IF(A243="","","مرحبًا "&amp;C243&amp;CHAR(10)&amp;CHAR(10)&amp;"إذا كانت التحديات لديكم تحتاج حلًا أشمل، فالبرنامج الكامل المناسب لكم هو: "&amp;H243&amp;"."&amp;IF(I243&lt;&gt;"",CHAR(10)&amp;"كما يمكنكم أيضًا حجز: "&amp;I243&amp;".","")&amp;IF(J243&lt;&gt;"",CHAR(10)&amp;CHAR(10)&amp;"رابط التقرير: "&amp;J243,"")&amp;CHAR(10)&amp;CHAR(10)&amp;"يسعدنا مساعدتكم في اختيار المسار الأنسب حسب وضع العيادة الحالي.")</x:f>
      </x:c>
      <x:c r="P243" s="12" t="str">
        <x:f>IF(D243="","",HYPERLINK("https://wa.me/"&amp;REGEXREPLACE(D243,"[^\d]","")&amp;"?text="&amp;ENCODEURL(O243),"واتساب 3"))</x:f>
      </x:c>
    </x:row>
    <x:row r="244" ht="15" hidden="0" customHeight="1">
      <x:c r="A244" s="12" t="str">
        <x:f>IF(Leads!A244="","",Leads!A244)</x:f>
      </x:c>
      <x:c r="B244" s="12" t="str">
        <x:f>IF(Leads!F244="","",Leads!F244)</x:f>
      </x:c>
      <x:c r="C244" s="12" t="str">
        <x:f>IF(Leads!G244="","",Leads!G244)</x:f>
      </x:c>
      <x:c r="D244" s="12" t="str">
        <x:f>IF(Leads!O244="","",Leads!O244)</x:f>
      </x:c>
      <x:c r="E244" s="12" t="str">
        <x:f>IF(Leads!AV244="","",Leads!AV244)</x:f>
      </x:c>
      <x:c r="F244" s="12" t="str">
        <x:f>IF(Leads!AX244="","",Leads!AX244)</x:f>
      </x:c>
      <x:c r="G244" s="12" t="str">
        <x:f>IF(Leads!BC244="","",Leads!BC244)</x:f>
      </x:c>
      <x:c r="H244" s="12" t="str">
        <x:f>IF(Leads!BE244="","",Leads!BE244)</x:f>
      </x:c>
      <x:c r="I244" s="12" t="str">
        <x:f>IF(Leads!BG244="","",Leads!BG244)</x:f>
      </x:c>
      <x:c r="J244" s="12" t="str">
        <x:f>IF(Leads!BH244="","",Leads!BH244)</x:f>
      </x:c>
      <x:c r="K244" s="12" t="str">
        <x:f>IF(A244="","","مرحبًا "&amp;C244&amp;CHAR(10)&amp;CHAR(10)&amp;"شكرًا لإتمام تقييم DBD الخاص بعيادة "&amp;B244&amp;"."&amp;CHAR(10)&amp;"نتيجتكم الحالية: "&amp;E244&amp;"%."&amp;CHAR(10)&amp;"أولوية التحسين الأولى: "&amp;F244&amp;"."&amp;IF(J244&lt;&gt;"",CHAR(10)&amp;CHAR(10)&amp;"رابط التقرير: "&amp;J244,"")&amp;CHAR(10)&amp;CHAR(10)&amp;"إذا أحببت، يمكننا مساعدتك في فهم التقرير وتحديد أفضل خطوة تالية لعيادتكم.")</x:f>
      </x:c>
      <x:c r="L244" s="12" t="str">
        <x:f>IF(D244="","",HYPERLINK("https://wa.me/"&amp;REGEXREPLACE(D244,"[^\d]","")&amp;"?text="&amp;ENCODEURL(K244),"واتساب 1"))</x:f>
      </x:c>
      <x:c r="M244" s="12" t="str">
        <x:f>IF(A244="","","مرحبًا "&amp;C244&amp;CHAR(10)&amp;CHAR(10)&amp;"بناءً على نتيجة تقييم عيادة "&amp;B244&amp;"، فإن الترشيح الأقوى لكم الآن هو: "&amp;G244&amp;"."&amp;CHAR(10)&amp;"هذا الخيار يساعدكم في معالجة أكبر فجوة حالية بشكل عملي ومباشر."&amp;IF(J244&lt;&gt;"",CHAR(10)&amp;CHAR(10)&amp;"رابط التقرير: "&amp;J244,"")&amp;CHAR(10)&amp;CHAR(10)&amp;"إذا رغبت، يمكننا توضيح لماذا هذا الكورس هو الأنسب لكم الآن.")</x:f>
      </x:c>
      <x:c r="N244" s="12" t="str">
        <x:f>IF(D244="","",HYPERLINK("https://wa.me/"&amp;REGEXREPLACE(D244,"[^\d]","")&amp;"?text="&amp;ENCODEURL(M244),"واتساب 2"))</x:f>
      </x:c>
      <x:c r="O244" s="12" t="str">
        <x:f>IF(A244="","","مرحبًا "&amp;C244&amp;CHAR(10)&amp;CHAR(10)&amp;"إذا كانت التحديات لديكم تحتاج حلًا أشمل، فالبرنامج الكامل المناسب لكم هو: "&amp;H244&amp;"."&amp;IF(I244&lt;&gt;"",CHAR(10)&amp;"كما يمكنكم أيضًا حجز: "&amp;I244&amp;".","")&amp;IF(J244&lt;&gt;"",CHAR(10)&amp;CHAR(10)&amp;"رابط التقرير: "&amp;J244,"")&amp;CHAR(10)&amp;CHAR(10)&amp;"يسعدنا مساعدتكم في اختيار المسار الأنسب حسب وضع العيادة الحالي.")</x:f>
      </x:c>
      <x:c r="P244" s="12" t="str">
        <x:f>IF(D244="","",HYPERLINK("https://wa.me/"&amp;REGEXREPLACE(D244,"[^\d]","")&amp;"?text="&amp;ENCODEURL(O244),"واتساب 3"))</x:f>
      </x:c>
    </x:row>
    <x:row r="245" ht="15" hidden="0" customHeight="1">
      <x:c r="A245" s="12" t="str">
        <x:f>IF(Leads!A245="","",Leads!A245)</x:f>
      </x:c>
      <x:c r="B245" s="12" t="str">
        <x:f>IF(Leads!F245="","",Leads!F245)</x:f>
      </x:c>
      <x:c r="C245" s="12" t="str">
        <x:f>IF(Leads!G245="","",Leads!G245)</x:f>
      </x:c>
      <x:c r="D245" s="12" t="str">
        <x:f>IF(Leads!O245="","",Leads!O245)</x:f>
      </x:c>
      <x:c r="E245" s="12" t="str">
        <x:f>IF(Leads!AV245="","",Leads!AV245)</x:f>
      </x:c>
      <x:c r="F245" s="12" t="str">
        <x:f>IF(Leads!AX245="","",Leads!AX245)</x:f>
      </x:c>
      <x:c r="G245" s="12" t="str">
        <x:f>IF(Leads!BC245="","",Leads!BC245)</x:f>
      </x:c>
      <x:c r="H245" s="12" t="str">
        <x:f>IF(Leads!BE245="","",Leads!BE245)</x:f>
      </x:c>
      <x:c r="I245" s="12" t="str">
        <x:f>IF(Leads!BG245="","",Leads!BG245)</x:f>
      </x:c>
      <x:c r="J245" s="12" t="str">
        <x:f>IF(Leads!BH245="","",Leads!BH245)</x:f>
      </x:c>
      <x:c r="K245" s="12" t="str">
        <x:f>IF(A245="","","مرحبًا "&amp;C245&amp;CHAR(10)&amp;CHAR(10)&amp;"شكرًا لإتمام تقييم DBD الخاص بعيادة "&amp;B245&amp;"."&amp;CHAR(10)&amp;"نتيجتكم الحالية: "&amp;E245&amp;"%."&amp;CHAR(10)&amp;"أولوية التحسين الأولى: "&amp;F245&amp;"."&amp;IF(J245&lt;&gt;"",CHAR(10)&amp;CHAR(10)&amp;"رابط التقرير: "&amp;J245,"")&amp;CHAR(10)&amp;CHAR(10)&amp;"إذا أحببت، يمكننا مساعدتك في فهم التقرير وتحديد أفضل خطوة تالية لعيادتكم.")</x:f>
      </x:c>
      <x:c r="L245" s="12" t="str">
        <x:f>IF(D245="","",HYPERLINK("https://wa.me/"&amp;REGEXREPLACE(D245,"[^\d]","")&amp;"?text="&amp;ENCODEURL(K245),"واتساب 1"))</x:f>
      </x:c>
      <x:c r="M245" s="12" t="str">
        <x:f>IF(A245="","","مرحبًا "&amp;C245&amp;CHAR(10)&amp;CHAR(10)&amp;"بناءً على نتيجة تقييم عيادة "&amp;B245&amp;"، فإن الترشيح الأقوى لكم الآن هو: "&amp;G245&amp;"."&amp;CHAR(10)&amp;"هذا الخيار يساعدكم في معالجة أكبر فجوة حالية بشكل عملي ومباشر."&amp;IF(J245&lt;&gt;"",CHAR(10)&amp;CHAR(10)&amp;"رابط التقرير: "&amp;J245,"")&amp;CHAR(10)&amp;CHAR(10)&amp;"إذا رغبت، يمكننا توضيح لماذا هذا الكورس هو الأنسب لكم الآن.")</x:f>
      </x:c>
      <x:c r="N245" s="12" t="str">
        <x:f>IF(D245="","",HYPERLINK("https://wa.me/"&amp;REGEXREPLACE(D245,"[^\d]","")&amp;"?text="&amp;ENCODEURL(M245),"واتساب 2"))</x:f>
      </x:c>
      <x:c r="O245" s="12" t="str">
        <x:f>IF(A245="","","مرحبًا "&amp;C245&amp;CHAR(10)&amp;CHAR(10)&amp;"إذا كانت التحديات لديكم تحتاج حلًا أشمل، فالبرنامج الكامل المناسب لكم هو: "&amp;H245&amp;"."&amp;IF(I245&lt;&gt;"",CHAR(10)&amp;"كما يمكنكم أيضًا حجز: "&amp;I245&amp;".","")&amp;IF(J245&lt;&gt;"",CHAR(10)&amp;CHAR(10)&amp;"رابط التقرير: "&amp;J245,"")&amp;CHAR(10)&amp;CHAR(10)&amp;"يسعدنا مساعدتكم في اختيار المسار الأنسب حسب وضع العيادة الحالي.")</x:f>
      </x:c>
      <x:c r="P245" s="12" t="str">
        <x:f>IF(D245="","",HYPERLINK("https://wa.me/"&amp;REGEXREPLACE(D245,"[^\d]","")&amp;"?text="&amp;ENCODEURL(O245),"واتساب 3"))</x:f>
      </x:c>
    </x:row>
    <x:row r="246" ht="15" hidden="0" customHeight="1">
      <x:c r="A246" s="12" t="str">
        <x:f>IF(Leads!A246="","",Leads!A246)</x:f>
      </x:c>
      <x:c r="B246" s="12" t="str">
        <x:f>IF(Leads!F246="","",Leads!F246)</x:f>
      </x:c>
      <x:c r="C246" s="12" t="str">
        <x:f>IF(Leads!G246="","",Leads!G246)</x:f>
      </x:c>
      <x:c r="D246" s="12" t="str">
        <x:f>IF(Leads!O246="","",Leads!O246)</x:f>
      </x:c>
      <x:c r="E246" s="12" t="str">
        <x:f>IF(Leads!AV246="","",Leads!AV246)</x:f>
      </x:c>
      <x:c r="F246" s="12" t="str">
        <x:f>IF(Leads!AX246="","",Leads!AX246)</x:f>
      </x:c>
      <x:c r="G246" s="12" t="str">
        <x:f>IF(Leads!BC246="","",Leads!BC246)</x:f>
      </x:c>
      <x:c r="H246" s="12" t="str">
        <x:f>IF(Leads!BE246="","",Leads!BE246)</x:f>
      </x:c>
      <x:c r="I246" s="12" t="str">
        <x:f>IF(Leads!BG246="","",Leads!BG246)</x:f>
      </x:c>
      <x:c r="J246" s="12" t="str">
        <x:f>IF(Leads!BH246="","",Leads!BH246)</x:f>
      </x:c>
      <x:c r="K246" s="12" t="str">
        <x:f>IF(A246="","","مرحبًا "&amp;C246&amp;CHAR(10)&amp;CHAR(10)&amp;"شكرًا لإتمام تقييم DBD الخاص بعيادة "&amp;B246&amp;"."&amp;CHAR(10)&amp;"نتيجتكم الحالية: "&amp;E246&amp;"%."&amp;CHAR(10)&amp;"أولوية التحسين الأولى: "&amp;F246&amp;"."&amp;IF(J246&lt;&gt;"",CHAR(10)&amp;CHAR(10)&amp;"رابط التقرير: "&amp;J246,"")&amp;CHAR(10)&amp;CHAR(10)&amp;"إذا أحببت، يمكننا مساعدتك في فهم التقرير وتحديد أفضل خطوة تالية لعيادتكم.")</x:f>
      </x:c>
      <x:c r="L246" s="12" t="str">
        <x:f>IF(D246="","",HYPERLINK("https://wa.me/"&amp;REGEXREPLACE(D246,"[^\d]","")&amp;"?text="&amp;ENCODEURL(K246),"واتساب 1"))</x:f>
      </x:c>
      <x:c r="M246" s="12" t="str">
        <x:f>IF(A246="","","مرحبًا "&amp;C246&amp;CHAR(10)&amp;CHAR(10)&amp;"بناءً على نتيجة تقييم عيادة "&amp;B246&amp;"، فإن الترشيح الأقوى لكم الآن هو: "&amp;G246&amp;"."&amp;CHAR(10)&amp;"هذا الخيار يساعدكم في معالجة أكبر فجوة حالية بشكل عملي ومباشر."&amp;IF(J246&lt;&gt;"",CHAR(10)&amp;CHAR(10)&amp;"رابط التقرير: "&amp;J246,"")&amp;CHAR(10)&amp;CHAR(10)&amp;"إذا رغبت، يمكننا توضيح لماذا هذا الكورس هو الأنسب لكم الآن.")</x:f>
      </x:c>
      <x:c r="N246" s="12" t="str">
        <x:f>IF(D246="","",HYPERLINK("https://wa.me/"&amp;REGEXREPLACE(D246,"[^\d]","")&amp;"?text="&amp;ENCODEURL(M246),"واتساب 2"))</x:f>
      </x:c>
      <x:c r="O246" s="12" t="str">
        <x:f>IF(A246="","","مرحبًا "&amp;C246&amp;CHAR(10)&amp;CHAR(10)&amp;"إذا كانت التحديات لديكم تحتاج حلًا أشمل، فالبرنامج الكامل المناسب لكم هو: "&amp;H246&amp;"."&amp;IF(I246&lt;&gt;"",CHAR(10)&amp;"كما يمكنكم أيضًا حجز: "&amp;I246&amp;".","")&amp;IF(J246&lt;&gt;"",CHAR(10)&amp;CHAR(10)&amp;"رابط التقرير: "&amp;J246,"")&amp;CHAR(10)&amp;CHAR(10)&amp;"يسعدنا مساعدتكم في اختيار المسار الأنسب حسب وضع العيادة الحالي.")</x:f>
      </x:c>
      <x:c r="P246" s="12" t="str">
        <x:f>IF(D246="","",HYPERLINK("https://wa.me/"&amp;REGEXREPLACE(D246,"[^\d]","")&amp;"?text="&amp;ENCODEURL(O246),"واتساب 3"))</x:f>
      </x:c>
    </x:row>
    <x:row r="247" ht="15" hidden="0" customHeight="1">
      <x:c r="A247" s="12" t="str">
        <x:f>IF(Leads!A247="","",Leads!A247)</x:f>
      </x:c>
      <x:c r="B247" s="12" t="str">
        <x:f>IF(Leads!F247="","",Leads!F247)</x:f>
      </x:c>
      <x:c r="C247" s="12" t="str">
        <x:f>IF(Leads!G247="","",Leads!G247)</x:f>
      </x:c>
      <x:c r="D247" s="12" t="str">
        <x:f>IF(Leads!O247="","",Leads!O247)</x:f>
      </x:c>
      <x:c r="E247" s="12" t="str">
        <x:f>IF(Leads!AV247="","",Leads!AV247)</x:f>
      </x:c>
      <x:c r="F247" s="12" t="str">
        <x:f>IF(Leads!AX247="","",Leads!AX247)</x:f>
      </x:c>
      <x:c r="G247" s="12" t="str">
        <x:f>IF(Leads!BC247="","",Leads!BC247)</x:f>
      </x:c>
      <x:c r="H247" s="12" t="str">
        <x:f>IF(Leads!BE247="","",Leads!BE247)</x:f>
      </x:c>
      <x:c r="I247" s="12" t="str">
        <x:f>IF(Leads!BG247="","",Leads!BG247)</x:f>
      </x:c>
      <x:c r="J247" s="12" t="str">
        <x:f>IF(Leads!BH247="","",Leads!BH247)</x:f>
      </x:c>
      <x:c r="K247" s="12" t="str">
        <x:f>IF(A247="","","مرحبًا "&amp;C247&amp;CHAR(10)&amp;CHAR(10)&amp;"شكرًا لإتمام تقييم DBD الخاص بعيادة "&amp;B247&amp;"."&amp;CHAR(10)&amp;"نتيجتكم الحالية: "&amp;E247&amp;"%."&amp;CHAR(10)&amp;"أولوية التحسين الأولى: "&amp;F247&amp;"."&amp;IF(J247&lt;&gt;"",CHAR(10)&amp;CHAR(10)&amp;"رابط التقرير: "&amp;J247,"")&amp;CHAR(10)&amp;CHAR(10)&amp;"إذا أحببت، يمكننا مساعدتك في فهم التقرير وتحديد أفضل خطوة تالية لعيادتكم.")</x:f>
      </x:c>
      <x:c r="L247" s="12" t="str">
        <x:f>IF(D247="","",HYPERLINK("https://wa.me/"&amp;REGEXREPLACE(D247,"[^\d]","")&amp;"?text="&amp;ENCODEURL(K247),"واتساب 1"))</x:f>
      </x:c>
      <x:c r="M247" s="12" t="str">
        <x:f>IF(A247="","","مرحبًا "&amp;C247&amp;CHAR(10)&amp;CHAR(10)&amp;"بناءً على نتيجة تقييم عيادة "&amp;B247&amp;"، فإن الترشيح الأقوى لكم الآن هو: "&amp;G247&amp;"."&amp;CHAR(10)&amp;"هذا الخيار يساعدكم في معالجة أكبر فجوة حالية بشكل عملي ومباشر."&amp;IF(J247&lt;&gt;"",CHAR(10)&amp;CHAR(10)&amp;"رابط التقرير: "&amp;J247,"")&amp;CHAR(10)&amp;CHAR(10)&amp;"إذا رغبت، يمكننا توضيح لماذا هذا الكورس هو الأنسب لكم الآن.")</x:f>
      </x:c>
      <x:c r="N247" s="12" t="str">
        <x:f>IF(D247="","",HYPERLINK("https://wa.me/"&amp;REGEXREPLACE(D247,"[^\d]","")&amp;"?text="&amp;ENCODEURL(M247),"واتساب 2"))</x:f>
      </x:c>
      <x:c r="O247" s="12" t="str">
        <x:f>IF(A247="","","مرحبًا "&amp;C247&amp;CHAR(10)&amp;CHAR(10)&amp;"إذا كانت التحديات لديكم تحتاج حلًا أشمل، فالبرنامج الكامل المناسب لكم هو: "&amp;H247&amp;"."&amp;IF(I247&lt;&gt;"",CHAR(10)&amp;"كما يمكنكم أيضًا حجز: "&amp;I247&amp;".","")&amp;IF(J247&lt;&gt;"",CHAR(10)&amp;CHAR(10)&amp;"رابط التقرير: "&amp;J247,"")&amp;CHAR(10)&amp;CHAR(10)&amp;"يسعدنا مساعدتكم في اختيار المسار الأنسب حسب وضع العيادة الحالي.")</x:f>
      </x:c>
      <x:c r="P247" s="12" t="str">
        <x:f>IF(D247="","",HYPERLINK("https://wa.me/"&amp;REGEXREPLACE(D247,"[^\d]","")&amp;"?text="&amp;ENCODEURL(O247),"واتساب 3"))</x:f>
      </x:c>
    </x:row>
    <x:row r="248" ht="15" hidden="0" customHeight="1">
      <x:c r="A248" s="12" t="str">
        <x:f>IF(Leads!A248="","",Leads!A248)</x:f>
      </x:c>
      <x:c r="B248" s="12" t="str">
        <x:f>IF(Leads!F248="","",Leads!F248)</x:f>
      </x:c>
      <x:c r="C248" s="12" t="str">
        <x:f>IF(Leads!G248="","",Leads!G248)</x:f>
      </x:c>
      <x:c r="D248" s="12" t="str">
        <x:f>IF(Leads!O248="","",Leads!O248)</x:f>
      </x:c>
      <x:c r="E248" s="12" t="str">
        <x:f>IF(Leads!AV248="","",Leads!AV248)</x:f>
      </x:c>
      <x:c r="F248" s="12" t="str">
        <x:f>IF(Leads!AX248="","",Leads!AX248)</x:f>
      </x:c>
      <x:c r="G248" s="12" t="str">
        <x:f>IF(Leads!BC248="","",Leads!BC248)</x:f>
      </x:c>
      <x:c r="H248" s="12" t="str">
        <x:f>IF(Leads!BE248="","",Leads!BE248)</x:f>
      </x:c>
      <x:c r="I248" s="12" t="str">
        <x:f>IF(Leads!BG248="","",Leads!BG248)</x:f>
      </x:c>
      <x:c r="J248" s="12" t="str">
        <x:f>IF(Leads!BH248="","",Leads!BH248)</x:f>
      </x:c>
      <x:c r="K248" s="12" t="str">
        <x:f>IF(A248="","","مرحبًا "&amp;C248&amp;CHAR(10)&amp;CHAR(10)&amp;"شكرًا لإتمام تقييم DBD الخاص بعيادة "&amp;B248&amp;"."&amp;CHAR(10)&amp;"نتيجتكم الحالية: "&amp;E248&amp;"%."&amp;CHAR(10)&amp;"أولوية التحسين الأولى: "&amp;F248&amp;"."&amp;IF(J248&lt;&gt;"",CHAR(10)&amp;CHAR(10)&amp;"رابط التقرير: "&amp;J248,"")&amp;CHAR(10)&amp;CHAR(10)&amp;"إذا أحببت، يمكننا مساعدتك في فهم التقرير وتحديد أفضل خطوة تالية لعيادتكم.")</x:f>
      </x:c>
      <x:c r="L248" s="12" t="str">
        <x:f>IF(D248="","",HYPERLINK("https://wa.me/"&amp;REGEXREPLACE(D248,"[^\d]","")&amp;"?text="&amp;ENCODEURL(K248),"واتساب 1"))</x:f>
      </x:c>
      <x:c r="M248" s="12" t="str">
        <x:f>IF(A248="","","مرحبًا "&amp;C248&amp;CHAR(10)&amp;CHAR(10)&amp;"بناءً على نتيجة تقييم عيادة "&amp;B248&amp;"، فإن الترشيح الأقوى لكم الآن هو: "&amp;G248&amp;"."&amp;CHAR(10)&amp;"هذا الخيار يساعدكم في معالجة أكبر فجوة حالية بشكل عملي ومباشر."&amp;IF(J248&lt;&gt;"",CHAR(10)&amp;CHAR(10)&amp;"رابط التقرير: "&amp;J248,"")&amp;CHAR(10)&amp;CHAR(10)&amp;"إذا رغبت، يمكننا توضيح لماذا هذا الكورس هو الأنسب لكم الآن.")</x:f>
      </x:c>
      <x:c r="N248" s="12" t="str">
        <x:f>IF(D248="","",HYPERLINK("https://wa.me/"&amp;REGEXREPLACE(D248,"[^\d]","")&amp;"?text="&amp;ENCODEURL(M248),"واتساب 2"))</x:f>
      </x:c>
      <x:c r="O248" s="12" t="str">
        <x:f>IF(A248="","","مرحبًا "&amp;C248&amp;CHAR(10)&amp;CHAR(10)&amp;"إذا كانت التحديات لديكم تحتاج حلًا أشمل، فالبرنامج الكامل المناسب لكم هو: "&amp;H248&amp;"."&amp;IF(I248&lt;&gt;"",CHAR(10)&amp;"كما يمكنكم أيضًا حجز: "&amp;I248&amp;".","")&amp;IF(J248&lt;&gt;"",CHAR(10)&amp;CHAR(10)&amp;"رابط التقرير: "&amp;J248,"")&amp;CHAR(10)&amp;CHAR(10)&amp;"يسعدنا مساعدتكم في اختيار المسار الأنسب حسب وضع العيادة الحالي.")</x:f>
      </x:c>
      <x:c r="P248" s="12" t="str">
        <x:f>IF(D248="","",HYPERLINK("https://wa.me/"&amp;REGEXREPLACE(D248,"[^\d]","")&amp;"?text="&amp;ENCODEURL(O248),"واتساب 3"))</x:f>
      </x:c>
    </x:row>
    <x:row r="249" ht="15" hidden="0" customHeight="1">
      <x:c r="A249" s="12" t="str">
        <x:f>IF(Leads!A249="","",Leads!A249)</x:f>
      </x:c>
      <x:c r="B249" s="12" t="str">
        <x:f>IF(Leads!F249="","",Leads!F249)</x:f>
      </x:c>
      <x:c r="C249" s="12" t="str">
        <x:f>IF(Leads!G249="","",Leads!G249)</x:f>
      </x:c>
      <x:c r="D249" s="12" t="str">
        <x:f>IF(Leads!O249="","",Leads!O249)</x:f>
      </x:c>
      <x:c r="E249" s="12" t="str">
        <x:f>IF(Leads!AV249="","",Leads!AV249)</x:f>
      </x:c>
      <x:c r="F249" s="12" t="str">
        <x:f>IF(Leads!AX249="","",Leads!AX249)</x:f>
      </x:c>
      <x:c r="G249" s="12" t="str">
        <x:f>IF(Leads!BC249="","",Leads!BC249)</x:f>
      </x:c>
      <x:c r="H249" s="12" t="str">
        <x:f>IF(Leads!BE249="","",Leads!BE249)</x:f>
      </x:c>
      <x:c r="I249" s="12" t="str">
        <x:f>IF(Leads!BG249="","",Leads!BG249)</x:f>
      </x:c>
      <x:c r="J249" s="12" t="str">
        <x:f>IF(Leads!BH249="","",Leads!BH249)</x:f>
      </x:c>
      <x:c r="K249" s="12" t="str">
        <x:f>IF(A249="","","مرحبًا "&amp;C249&amp;CHAR(10)&amp;CHAR(10)&amp;"شكرًا لإتمام تقييم DBD الخاص بعيادة "&amp;B249&amp;"."&amp;CHAR(10)&amp;"نتيجتكم الحالية: "&amp;E249&amp;"%."&amp;CHAR(10)&amp;"أولوية التحسين الأولى: "&amp;F249&amp;"."&amp;IF(J249&lt;&gt;"",CHAR(10)&amp;CHAR(10)&amp;"رابط التقرير: "&amp;J249,"")&amp;CHAR(10)&amp;CHAR(10)&amp;"إذا أحببت، يمكننا مساعدتك في فهم التقرير وتحديد أفضل خطوة تالية لعيادتكم.")</x:f>
      </x:c>
      <x:c r="L249" s="12" t="str">
        <x:f>IF(D249="","",HYPERLINK("https://wa.me/"&amp;REGEXREPLACE(D249,"[^\d]","")&amp;"?text="&amp;ENCODEURL(K249),"واتساب 1"))</x:f>
      </x:c>
      <x:c r="M249" s="12" t="str">
        <x:f>IF(A249="","","مرحبًا "&amp;C249&amp;CHAR(10)&amp;CHAR(10)&amp;"بناءً على نتيجة تقييم عيادة "&amp;B249&amp;"، فإن الترشيح الأقوى لكم الآن هو: "&amp;G249&amp;"."&amp;CHAR(10)&amp;"هذا الخيار يساعدكم في معالجة أكبر فجوة حالية بشكل عملي ومباشر."&amp;IF(J249&lt;&gt;"",CHAR(10)&amp;CHAR(10)&amp;"رابط التقرير: "&amp;J249,"")&amp;CHAR(10)&amp;CHAR(10)&amp;"إذا رغبت، يمكننا توضيح لماذا هذا الكورس هو الأنسب لكم الآن.")</x:f>
      </x:c>
      <x:c r="N249" s="12" t="str">
        <x:f>IF(D249="","",HYPERLINK("https://wa.me/"&amp;REGEXREPLACE(D249,"[^\d]","")&amp;"?text="&amp;ENCODEURL(M249),"واتساب 2"))</x:f>
      </x:c>
      <x:c r="O249" s="12" t="str">
        <x:f>IF(A249="","","مرحبًا "&amp;C249&amp;CHAR(10)&amp;CHAR(10)&amp;"إذا كانت التحديات لديكم تحتاج حلًا أشمل، فالبرنامج الكامل المناسب لكم هو: "&amp;H249&amp;"."&amp;IF(I249&lt;&gt;"",CHAR(10)&amp;"كما يمكنكم أيضًا حجز: "&amp;I249&amp;".","")&amp;IF(J249&lt;&gt;"",CHAR(10)&amp;CHAR(10)&amp;"رابط التقرير: "&amp;J249,"")&amp;CHAR(10)&amp;CHAR(10)&amp;"يسعدنا مساعدتكم في اختيار المسار الأنسب حسب وضع العيادة الحالي.")</x:f>
      </x:c>
      <x:c r="P249" s="12" t="str">
        <x:f>IF(D249="","",HYPERLINK("https://wa.me/"&amp;REGEXREPLACE(D249,"[^\d]","")&amp;"?text="&amp;ENCODEURL(O249),"واتساب 3"))</x:f>
      </x:c>
    </x:row>
    <x:row r="250" ht="15" hidden="0" customHeight="1">
      <x:c r="A250" s="12" t="str">
        <x:f>IF(Leads!A250="","",Leads!A250)</x:f>
      </x:c>
      <x:c r="B250" s="12" t="str">
        <x:f>IF(Leads!F250="","",Leads!F250)</x:f>
      </x:c>
      <x:c r="C250" s="12" t="str">
        <x:f>IF(Leads!G250="","",Leads!G250)</x:f>
      </x:c>
      <x:c r="D250" s="12" t="str">
        <x:f>IF(Leads!O250="","",Leads!O250)</x:f>
      </x:c>
      <x:c r="E250" s="12" t="str">
        <x:f>IF(Leads!AV250="","",Leads!AV250)</x:f>
      </x:c>
      <x:c r="F250" s="12" t="str">
        <x:f>IF(Leads!AX250="","",Leads!AX250)</x:f>
      </x:c>
      <x:c r="G250" s="12" t="str">
        <x:f>IF(Leads!BC250="","",Leads!BC250)</x:f>
      </x:c>
      <x:c r="H250" s="12" t="str">
        <x:f>IF(Leads!BE250="","",Leads!BE250)</x:f>
      </x:c>
      <x:c r="I250" s="12" t="str">
        <x:f>IF(Leads!BG250="","",Leads!BG250)</x:f>
      </x:c>
      <x:c r="J250" s="12" t="str">
        <x:f>IF(Leads!BH250="","",Leads!BH250)</x:f>
      </x:c>
      <x:c r="K250" s="12" t="str">
        <x:f>IF(A250="","","مرحبًا "&amp;C250&amp;CHAR(10)&amp;CHAR(10)&amp;"شكرًا لإتمام تقييم DBD الخاص بعيادة "&amp;B250&amp;"."&amp;CHAR(10)&amp;"نتيجتكم الحالية: "&amp;E250&amp;"%."&amp;CHAR(10)&amp;"أولوية التحسين الأولى: "&amp;F250&amp;"."&amp;IF(J250&lt;&gt;"",CHAR(10)&amp;CHAR(10)&amp;"رابط التقرير: "&amp;J250,"")&amp;CHAR(10)&amp;CHAR(10)&amp;"إذا أحببت، يمكننا مساعدتك في فهم التقرير وتحديد أفضل خطوة تالية لعيادتكم.")</x:f>
      </x:c>
      <x:c r="L250" s="12" t="str">
        <x:f>IF(D250="","",HYPERLINK("https://wa.me/"&amp;REGEXREPLACE(D250,"[^\d]","")&amp;"?text="&amp;ENCODEURL(K250),"واتساب 1"))</x:f>
      </x:c>
      <x:c r="M250" s="12" t="str">
        <x:f>IF(A250="","","مرحبًا "&amp;C250&amp;CHAR(10)&amp;CHAR(10)&amp;"بناءً على نتيجة تقييم عيادة "&amp;B250&amp;"، فإن الترشيح الأقوى لكم الآن هو: "&amp;G250&amp;"."&amp;CHAR(10)&amp;"هذا الخيار يساعدكم في معالجة أكبر فجوة حالية بشكل عملي ومباشر."&amp;IF(J250&lt;&gt;"",CHAR(10)&amp;CHAR(10)&amp;"رابط التقرير: "&amp;J250,"")&amp;CHAR(10)&amp;CHAR(10)&amp;"إذا رغبت، يمكننا توضيح لماذا هذا الكورس هو الأنسب لكم الآن.")</x:f>
      </x:c>
      <x:c r="N250" s="12" t="str">
        <x:f>IF(D250="","",HYPERLINK("https://wa.me/"&amp;REGEXREPLACE(D250,"[^\d]","")&amp;"?text="&amp;ENCODEURL(M250),"واتساب 2"))</x:f>
      </x:c>
      <x:c r="O250" s="12" t="str">
        <x:f>IF(A250="","","مرحبًا "&amp;C250&amp;CHAR(10)&amp;CHAR(10)&amp;"إذا كانت التحديات لديكم تحتاج حلًا أشمل، فالبرنامج الكامل المناسب لكم هو: "&amp;H250&amp;"."&amp;IF(I250&lt;&gt;"",CHAR(10)&amp;"كما يمكنكم أيضًا حجز: "&amp;I250&amp;".","")&amp;IF(J250&lt;&gt;"",CHAR(10)&amp;CHAR(10)&amp;"رابط التقرير: "&amp;J250,"")&amp;CHAR(10)&amp;CHAR(10)&amp;"يسعدنا مساعدتكم في اختيار المسار الأنسب حسب وضع العيادة الحالي.")</x:f>
      </x:c>
      <x:c r="P250" s="12" t="str">
        <x:f>IF(D250="","",HYPERLINK("https://wa.me/"&amp;REGEXREPLACE(D250,"[^\d]","")&amp;"?text="&amp;ENCODEURL(O250),"واتساب 3"))</x:f>
      </x:c>
    </x:row>
    <x:row r="251" ht="15" hidden="0" customHeight="1">
      <x:c r="A251" s="12" t="str">
        <x:f>IF(Leads!A251="","",Leads!A251)</x:f>
      </x:c>
      <x:c r="B251" s="12" t="str">
        <x:f>IF(Leads!F251="","",Leads!F251)</x:f>
      </x:c>
      <x:c r="C251" s="12" t="str">
        <x:f>IF(Leads!G251="","",Leads!G251)</x:f>
      </x:c>
      <x:c r="D251" s="12" t="str">
        <x:f>IF(Leads!O251="","",Leads!O251)</x:f>
      </x:c>
      <x:c r="E251" s="12" t="str">
        <x:f>IF(Leads!AV251="","",Leads!AV251)</x:f>
      </x:c>
      <x:c r="F251" s="12" t="str">
        <x:f>IF(Leads!AX251="","",Leads!AX251)</x:f>
      </x:c>
      <x:c r="G251" s="12" t="str">
        <x:f>IF(Leads!BC251="","",Leads!BC251)</x:f>
      </x:c>
      <x:c r="H251" s="12" t="str">
        <x:f>IF(Leads!BE251="","",Leads!BE251)</x:f>
      </x:c>
      <x:c r="I251" s="12" t="str">
        <x:f>IF(Leads!BG251="","",Leads!BG251)</x:f>
      </x:c>
      <x:c r="J251" s="12" t="str">
        <x:f>IF(Leads!BH251="","",Leads!BH251)</x:f>
      </x:c>
      <x:c r="K251" s="12" t="str">
        <x:f>IF(A251="","","مرحبًا "&amp;C251&amp;CHAR(10)&amp;CHAR(10)&amp;"شكرًا لإتمام تقييم DBD الخاص بعيادة "&amp;B251&amp;"."&amp;CHAR(10)&amp;"نتيجتكم الحالية: "&amp;E251&amp;"%."&amp;CHAR(10)&amp;"أولوية التحسين الأولى: "&amp;F251&amp;"."&amp;IF(J251&lt;&gt;"",CHAR(10)&amp;CHAR(10)&amp;"رابط التقرير: "&amp;J251,"")&amp;CHAR(10)&amp;CHAR(10)&amp;"إذا أحببت، يمكننا مساعدتك في فهم التقرير وتحديد أفضل خطوة تالية لعيادتكم.")</x:f>
      </x:c>
      <x:c r="L251" s="12" t="str">
        <x:f>IF(D251="","",HYPERLINK("https://wa.me/"&amp;REGEXREPLACE(D251,"[^\d]","")&amp;"?text="&amp;ENCODEURL(K251),"واتساب 1"))</x:f>
      </x:c>
      <x:c r="M251" s="12" t="str">
        <x:f>IF(A251="","","مرحبًا "&amp;C251&amp;CHAR(10)&amp;CHAR(10)&amp;"بناءً على نتيجة تقييم عيادة "&amp;B251&amp;"، فإن الترشيح الأقوى لكم الآن هو: "&amp;G251&amp;"."&amp;CHAR(10)&amp;"هذا الخيار يساعدكم في معالجة أكبر فجوة حالية بشكل عملي ومباشر."&amp;IF(J251&lt;&gt;"",CHAR(10)&amp;CHAR(10)&amp;"رابط التقرير: "&amp;J251,"")&amp;CHAR(10)&amp;CHAR(10)&amp;"إذا رغبت، يمكننا توضيح لماذا هذا الكورس هو الأنسب لكم الآن.")</x:f>
      </x:c>
      <x:c r="N251" s="12" t="str">
        <x:f>IF(D251="","",HYPERLINK("https://wa.me/"&amp;REGEXREPLACE(D251,"[^\d]","")&amp;"?text="&amp;ENCODEURL(M251),"واتساب 2"))</x:f>
      </x:c>
      <x:c r="O251" s="12" t="str">
        <x:f>IF(A251="","","مرحبًا "&amp;C251&amp;CHAR(10)&amp;CHAR(10)&amp;"إذا كانت التحديات لديكم تحتاج حلًا أشمل، فالبرنامج الكامل المناسب لكم هو: "&amp;H251&amp;"."&amp;IF(I251&lt;&gt;"",CHAR(10)&amp;"كما يمكنكم أيضًا حجز: "&amp;I251&amp;".","")&amp;IF(J251&lt;&gt;"",CHAR(10)&amp;CHAR(10)&amp;"رابط التقرير: "&amp;J251,"")&amp;CHAR(10)&amp;CHAR(10)&amp;"يسعدنا مساعدتكم في اختيار المسار الأنسب حسب وضع العيادة الحالي.")</x:f>
      </x:c>
      <x:c r="P251" s="12" t="str">
        <x:f>IF(D251="","",HYPERLINK("https://wa.me/"&amp;REGEXREPLACE(D251,"[^\d]","")&amp;"?text="&amp;ENCODEURL(O251),"واتساب 3"))</x:f>
      </x:c>
    </x:row>
    <x:row r="252" ht="15" hidden="0" customHeight="1">
      <x:c r="A252" s="12" t="str">
        <x:f>IF(Leads!A252="","",Leads!A252)</x:f>
      </x:c>
      <x:c r="B252" s="12" t="str">
        <x:f>IF(Leads!F252="","",Leads!F252)</x:f>
      </x:c>
      <x:c r="C252" s="12" t="str">
        <x:f>IF(Leads!G252="","",Leads!G252)</x:f>
      </x:c>
      <x:c r="D252" s="12" t="str">
        <x:f>IF(Leads!O252="","",Leads!O252)</x:f>
      </x:c>
      <x:c r="E252" s="12" t="str">
        <x:f>IF(Leads!AV252="","",Leads!AV252)</x:f>
      </x:c>
      <x:c r="F252" s="12" t="str">
        <x:f>IF(Leads!AX252="","",Leads!AX252)</x:f>
      </x:c>
      <x:c r="G252" s="12" t="str">
        <x:f>IF(Leads!BC252="","",Leads!BC252)</x:f>
      </x:c>
      <x:c r="H252" s="12" t="str">
        <x:f>IF(Leads!BE252="","",Leads!BE252)</x:f>
      </x:c>
      <x:c r="I252" s="12" t="str">
        <x:f>IF(Leads!BG252="","",Leads!BG252)</x:f>
      </x:c>
      <x:c r="J252" s="12" t="str">
        <x:f>IF(Leads!BH252="","",Leads!BH252)</x:f>
      </x:c>
      <x:c r="K252" s="12" t="str">
        <x:f>IF(A252="","","مرحبًا "&amp;C252&amp;CHAR(10)&amp;CHAR(10)&amp;"شكرًا لإتمام تقييم DBD الخاص بعيادة "&amp;B252&amp;"."&amp;CHAR(10)&amp;"نتيجتكم الحالية: "&amp;E252&amp;"%."&amp;CHAR(10)&amp;"أولوية التحسين الأولى: "&amp;F252&amp;"."&amp;IF(J252&lt;&gt;"",CHAR(10)&amp;CHAR(10)&amp;"رابط التقرير: "&amp;J252,"")&amp;CHAR(10)&amp;CHAR(10)&amp;"إذا أحببت، يمكننا مساعدتك في فهم التقرير وتحديد أفضل خطوة تالية لعيادتكم.")</x:f>
      </x:c>
      <x:c r="L252" s="12" t="str">
        <x:f>IF(D252="","",HYPERLINK("https://wa.me/"&amp;REGEXREPLACE(D252,"[^\d]","")&amp;"?text="&amp;ENCODEURL(K252),"واتساب 1"))</x:f>
      </x:c>
      <x:c r="M252" s="12" t="str">
        <x:f>IF(A252="","","مرحبًا "&amp;C252&amp;CHAR(10)&amp;CHAR(10)&amp;"بناءً على نتيجة تقييم عيادة "&amp;B252&amp;"، فإن الترشيح الأقوى لكم الآن هو: "&amp;G252&amp;"."&amp;CHAR(10)&amp;"هذا الخيار يساعدكم في معالجة أكبر فجوة حالية بشكل عملي ومباشر."&amp;IF(J252&lt;&gt;"",CHAR(10)&amp;CHAR(10)&amp;"رابط التقرير: "&amp;J252,"")&amp;CHAR(10)&amp;CHAR(10)&amp;"إذا رغبت، يمكننا توضيح لماذا هذا الكورس هو الأنسب لكم الآن.")</x:f>
      </x:c>
      <x:c r="N252" s="12" t="str">
        <x:f>IF(D252="","",HYPERLINK("https://wa.me/"&amp;REGEXREPLACE(D252,"[^\d]","")&amp;"?text="&amp;ENCODEURL(M252),"واتساب 2"))</x:f>
      </x:c>
      <x:c r="O252" s="12" t="str">
        <x:f>IF(A252="","","مرحبًا "&amp;C252&amp;CHAR(10)&amp;CHAR(10)&amp;"إذا كانت التحديات لديكم تحتاج حلًا أشمل، فالبرنامج الكامل المناسب لكم هو: "&amp;H252&amp;"."&amp;IF(I252&lt;&gt;"",CHAR(10)&amp;"كما يمكنكم أيضًا حجز: "&amp;I252&amp;".","")&amp;IF(J252&lt;&gt;"",CHAR(10)&amp;CHAR(10)&amp;"رابط التقرير: "&amp;J252,"")&amp;CHAR(10)&amp;CHAR(10)&amp;"يسعدنا مساعدتكم في اختيار المسار الأنسب حسب وضع العيادة الحالي.")</x:f>
      </x:c>
      <x:c r="P252" s="12" t="str">
        <x:f>IF(D252="","",HYPERLINK("https://wa.me/"&amp;REGEXREPLACE(D252,"[^\d]","")&amp;"?text="&amp;ENCODEURL(O252),"واتساب 3"))</x:f>
      </x:c>
    </x:row>
    <x:row r="253" ht="15" hidden="0" customHeight="1">
      <x:c r="A253" s="12" t="str">
        <x:f>IF(Leads!A253="","",Leads!A253)</x:f>
      </x:c>
      <x:c r="B253" s="12" t="str">
        <x:f>IF(Leads!F253="","",Leads!F253)</x:f>
      </x:c>
      <x:c r="C253" s="12" t="str">
        <x:f>IF(Leads!G253="","",Leads!G253)</x:f>
      </x:c>
      <x:c r="D253" s="12" t="str">
        <x:f>IF(Leads!O253="","",Leads!O253)</x:f>
      </x:c>
      <x:c r="E253" s="12" t="str">
        <x:f>IF(Leads!AV253="","",Leads!AV253)</x:f>
      </x:c>
      <x:c r="F253" s="12" t="str">
        <x:f>IF(Leads!AX253="","",Leads!AX253)</x:f>
      </x:c>
      <x:c r="G253" s="12" t="str">
        <x:f>IF(Leads!BC253="","",Leads!BC253)</x:f>
      </x:c>
      <x:c r="H253" s="12" t="str">
        <x:f>IF(Leads!BE253="","",Leads!BE253)</x:f>
      </x:c>
      <x:c r="I253" s="12" t="str">
        <x:f>IF(Leads!BG253="","",Leads!BG253)</x:f>
      </x:c>
      <x:c r="J253" s="12" t="str">
        <x:f>IF(Leads!BH253="","",Leads!BH253)</x:f>
      </x:c>
      <x:c r="K253" s="12" t="str">
        <x:f>IF(A253="","","مرحبًا "&amp;C253&amp;CHAR(10)&amp;CHAR(10)&amp;"شكرًا لإتمام تقييم DBD الخاص بعيادة "&amp;B253&amp;"."&amp;CHAR(10)&amp;"نتيجتكم الحالية: "&amp;E253&amp;"%."&amp;CHAR(10)&amp;"أولوية التحسين الأولى: "&amp;F253&amp;"."&amp;IF(J253&lt;&gt;"",CHAR(10)&amp;CHAR(10)&amp;"رابط التقرير: "&amp;J253,"")&amp;CHAR(10)&amp;CHAR(10)&amp;"إذا أحببت، يمكننا مساعدتك في فهم التقرير وتحديد أفضل خطوة تالية لعيادتكم.")</x:f>
      </x:c>
      <x:c r="L253" s="12" t="str">
        <x:f>IF(D253="","",HYPERLINK("https://wa.me/"&amp;REGEXREPLACE(D253,"[^\d]","")&amp;"?text="&amp;ENCODEURL(K253),"واتساب 1"))</x:f>
      </x:c>
      <x:c r="M253" s="12" t="str">
        <x:f>IF(A253="","","مرحبًا "&amp;C253&amp;CHAR(10)&amp;CHAR(10)&amp;"بناءً على نتيجة تقييم عيادة "&amp;B253&amp;"، فإن الترشيح الأقوى لكم الآن هو: "&amp;G253&amp;"."&amp;CHAR(10)&amp;"هذا الخيار يساعدكم في معالجة أكبر فجوة حالية بشكل عملي ومباشر."&amp;IF(J253&lt;&gt;"",CHAR(10)&amp;CHAR(10)&amp;"رابط التقرير: "&amp;J253,"")&amp;CHAR(10)&amp;CHAR(10)&amp;"إذا رغبت، يمكننا توضيح لماذا هذا الكورس هو الأنسب لكم الآن.")</x:f>
      </x:c>
      <x:c r="N253" s="12" t="str">
        <x:f>IF(D253="","",HYPERLINK("https://wa.me/"&amp;REGEXREPLACE(D253,"[^\d]","")&amp;"?text="&amp;ENCODEURL(M253),"واتساب 2"))</x:f>
      </x:c>
      <x:c r="O253" s="12" t="str">
        <x:f>IF(A253="","","مرحبًا "&amp;C253&amp;CHAR(10)&amp;CHAR(10)&amp;"إذا كانت التحديات لديكم تحتاج حلًا أشمل، فالبرنامج الكامل المناسب لكم هو: "&amp;H253&amp;"."&amp;IF(I253&lt;&gt;"",CHAR(10)&amp;"كما يمكنكم أيضًا حجز: "&amp;I253&amp;".","")&amp;IF(J253&lt;&gt;"",CHAR(10)&amp;CHAR(10)&amp;"رابط التقرير: "&amp;J253,"")&amp;CHAR(10)&amp;CHAR(10)&amp;"يسعدنا مساعدتكم في اختيار المسار الأنسب حسب وضع العيادة الحالي.")</x:f>
      </x:c>
      <x:c r="P253" s="12" t="str">
        <x:f>IF(D253="","",HYPERLINK("https://wa.me/"&amp;REGEXREPLACE(D253,"[^\d]","")&amp;"?text="&amp;ENCODEURL(O253),"واتساب 3"))</x:f>
      </x:c>
    </x:row>
    <x:row r="254" ht="15" hidden="0" customHeight="1">
      <x:c r="A254" s="12" t="str">
        <x:f>IF(Leads!A254="","",Leads!A254)</x:f>
      </x:c>
      <x:c r="B254" s="12" t="str">
        <x:f>IF(Leads!F254="","",Leads!F254)</x:f>
      </x:c>
      <x:c r="C254" s="12" t="str">
        <x:f>IF(Leads!G254="","",Leads!G254)</x:f>
      </x:c>
      <x:c r="D254" s="12" t="str">
        <x:f>IF(Leads!O254="","",Leads!O254)</x:f>
      </x:c>
      <x:c r="E254" s="12" t="str">
        <x:f>IF(Leads!AV254="","",Leads!AV254)</x:f>
      </x:c>
      <x:c r="F254" s="12" t="str">
        <x:f>IF(Leads!AX254="","",Leads!AX254)</x:f>
      </x:c>
      <x:c r="G254" s="12" t="str">
        <x:f>IF(Leads!BC254="","",Leads!BC254)</x:f>
      </x:c>
      <x:c r="H254" s="12" t="str">
        <x:f>IF(Leads!BE254="","",Leads!BE254)</x:f>
      </x:c>
      <x:c r="I254" s="12" t="str">
        <x:f>IF(Leads!BG254="","",Leads!BG254)</x:f>
      </x:c>
      <x:c r="J254" s="12" t="str">
        <x:f>IF(Leads!BH254="","",Leads!BH254)</x:f>
      </x:c>
      <x:c r="K254" s="12" t="str">
        <x:f>IF(A254="","","مرحبًا "&amp;C254&amp;CHAR(10)&amp;CHAR(10)&amp;"شكرًا لإتمام تقييم DBD الخاص بعيادة "&amp;B254&amp;"."&amp;CHAR(10)&amp;"نتيجتكم الحالية: "&amp;E254&amp;"%."&amp;CHAR(10)&amp;"أولوية التحسين الأولى: "&amp;F254&amp;"."&amp;IF(J254&lt;&gt;"",CHAR(10)&amp;CHAR(10)&amp;"رابط التقرير: "&amp;J254,"")&amp;CHAR(10)&amp;CHAR(10)&amp;"إذا أحببت، يمكننا مساعدتك في فهم التقرير وتحديد أفضل خطوة تالية لعيادتكم.")</x:f>
      </x:c>
      <x:c r="L254" s="12" t="str">
        <x:f>IF(D254="","",HYPERLINK("https://wa.me/"&amp;REGEXREPLACE(D254,"[^\d]","")&amp;"?text="&amp;ENCODEURL(K254),"واتساب 1"))</x:f>
      </x:c>
      <x:c r="M254" s="12" t="str">
        <x:f>IF(A254="","","مرحبًا "&amp;C254&amp;CHAR(10)&amp;CHAR(10)&amp;"بناءً على نتيجة تقييم عيادة "&amp;B254&amp;"، فإن الترشيح الأقوى لكم الآن هو: "&amp;G254&amp;"."&amp;CHAR(10)&amp;"هذا الخيار يساعدكم في معالجة أكبر فجوة حالية بشكل عملي ومباشر."&amp;IF(J254&lt;&gt;"",CHAR(10)&amp;CHAR(10)&amp;"رابط التقرير: "&amp;J254,"")&amp;CHAR(10)&amp;CHAR(10)&amp;"إذا رغبت، يمكننا توضيح لماذا هذا الكورس هو الأنسب لكم الآن.")</x:f>
      </x:c>
      <x:c r="N254" s="12" t="str">
        <x:f>IF(D254="","",HYPERLINK("https://wa.me/"&amp;REGEXREPLACE(D254,"[^\d]","")&amp;"?text="&amp;ENCODEURL(M254),"واتساب 2"))</x:f>
      </x:c>
      <x:c r="O254" s="12" t="str">
        <x:f>IF(A254="","","مرحبًا "&amp;C254&amp;CHAR(10)&amp;CHAR(10)&amp;"إذا كانت التحديات لديكم تحتاج حلًا أشمل، فالبرنامج الكامل المناسب لكم هو: "&amp;H254&amp;"."&amp;IF(I254&lt;&gt;"",CHAR(10)&amp;"كما يمكنكم أيضًا حجز: "&amp;I254&amp;".","")&amp;IF(J254&lt;&gt;"",CHAR(10)&amp;CHAR(10)&amp;"رابط التقرير: "&amp;J254,"")&amp;CHAR(10)&amp;CHAR(10)&amp;"يسعدنا مساعدتكم في اختيار المسار الأنسب حسب وضع العيادة الحالي.")</x:f>
      </x:c>
      <x:c r="P254" s="12" t="str">
        <x:f>IF(D254="","",HYPERLINK("https://wa.me/"&amp;REGEXREPLACE(D254,"[^\d]","")&amp;"?text="&amp;ENCODEURL(O254),"واتساب 3"))</x:f>
      </x:c>
    </x:row>
    <x:row r="255" ht="15" hidden="0" customHeight="1">
      <x:c r="A255" s="12" t="str">
        <x:f>IF(Leads!A255="","",Leads!A255)</x:f>
      </x:c>
      <x:c r="B255" s="12" t="str">
        <x:f>IF(Leads!F255="","",Leads!F255)</x:f>
      </x:c>
      <x:c r="C255" s="12" t="str">
        <x:f>IF(Leads!G255="","",Leads!G255)</x:f>
      </x:c>
      <x:c r="D255" s="12" t="str">
        <x:f>IF(Leads!O255="","",Leads!O255)</x:f>
      </x:c>
      <x:c r="E255" s="12" t="str">
        <x:f>IF(Leads!AV255="","",Leads!AV255)</x:f>
      </x:c>
      <x:c r="F255" s="12" t="str">
        <x:f>IF(Leads!AX255="","",Leads!AX255)</x:f>
      </x:c>
      <x:c r="G255" s="12" t="str">
        <x:f>IF(Leads!BC255="","",Leads!BC255)</x:f>
      </x:c>
      <x:c r="H255" s="12" t="str">
        <x:f>IF(Leads!BE255="","",Leads!BE255)</x:f>
      </x:c>
      <x:c r="I255" s="12" t="str">
        <x:f>IF(Leads!BG255="","",Leads!BG255)</x:f>
      </x:c>
      <x:c r="J255" s="12" t="str">
        <x:f>IF(Leads!BH255="","",Leads!BH255)</x:f>
      </x:c>
      <x:c r="K255" s="12" t="str">
        <x:f>IF(A255="","","مرحبًا "&amp;C255&amp;CHAR(10)&amp;CHAR(10)&amp;"شكرًا لإتمام تقييم DBD الخاص بعيادة "&amp;B255&amp;"."&amp;CHAR(10)&amp;"نتيجتكم الحالية: "&amp;E255&amp;"%."&amp;CHAR(10)&amp;"أولوية التحسين الأولى: "&amp;F255&amp;"."&amp;IF(J255&lt;&gt;"",CHAR(10)&amp;CHAR(10)&amp;"رابط التقرير: "&amp;J255,"")&amp;CHAR(10)&amp;CHAR(10)&amp;"إذا أحببت، يمكننا مساعدتك في فهم التقرير وتحديد أفضل خطوة تالية لعيادتكم.")</x:f>
      </x:c>
      <x:c r="L255" s="12" t="str">
        <x:f>IF(D255="","",HYPERLINK("https://wa.me/"&amp;REGEXREPLACE(D255,"[^\d]","")&amp;"?text="&amp;ENCODEURL(K255),"واتساب 1"))</x:f>
      </x:c>
      <x:c r="M255" s="12" t="str">
        <x:f>IF(A255="","","مرحبًا "&amp;C255&amp;CHAR(10)&amp;CHAR(10)&amp;"بناءً على نتيجة تقييم عيادة "&amp;B255&amp;"، فإن الترشيح الأقوى لكم الآن هو: "&amp;G255&amp;"."&amp;CHAR(10)&amp;"هذا الخيار يساعدكم في معالجة أكبر فجوة حالية بشكل عملي ومباشر."&amp;IF(J255&lt;&gt;"",CHAR(10)&amp;CHAR(10)&amp;"رابط التقرير: "&amp;J255,"")&amp;CHAR(10)&amp;CHAR(10)&amp;"إذا رغبت، يمكننا توضيح لماذا هذا الكورس هو الأنسب لكم الآن.")</x:f>
      </x:c>
      <x:c r="N255" s="12" t="str">
        <x:f>IF(D255="","",HYPERLINK("https://wa.me/"&amp;REGEXREPLACE(D255,"[^\d]","")&amp;"?text="&amp;ENCODEURL(M255),"واتساب 2"))</x:f>
      </x:c>
      <x:c r="O255" s="12" t="str">
        <x:f>IF(A255="","","مرحبًا "&amp;C255&amp;CHAR(10)&amp;CHAR(10)&amp;"إذا كانت التحديات لديكم تحتاج حلًا أشمل، فالبرنامج الكامل المناسب لكم هو: "&amp;H255&amp;"."&amp;IF(I255&lt;&gt;"",CHAR(10)&amp;"كما يمكنكم أيضًا حجز: "&amp;I255&amp;".","")&amp;IF(J255&lt;&gt;"",CHAR(10)&amp;CHAR(10)&amp;"رابط التقرير: "&amp;J255,"")&amp;CHAR(10)&amp;CHAR(10)&amp;"يسعدنا مساعدتكم في اختيار المسار الأنسب حسب وضع العيادة الحالي.")</x:f>
      </x:c>
      <x:c r="P255" s="12" t="str">
        <x:f>IF(D255="","",HYPERLINK("https://wa.me/"&amp;REGEXREPLACE(D255,"[^\d]","")&amp;"?text="&amp;ENCODEURL(O255),"واتساب 3"))</x:f>
      </x:c>
    </x:row>
    <x:row r="256" ht="15" hidden="0" customHeight="1">
      <x:c r="A256" s="12" t="str">
        <x:f>IF(Leads!A256="","",Leads!A256)</x:f>
      </x:c>
      <x:c r="B256" s="12" t="str">
        <x:f>IF(Leads!F256="","",Leads!F256)</x:f>
      </x:c>
      <x:c r="C256" s="12" t="str">
        <x:f>IF(Leads!G256="","",Leads!G256)</x:f>
      </x:c>
      <x:c r="D256" s="12" t="str">
        <x:f>IF(Leads!O256="","",Leads!O256)</x:f>
      </x:c>
      <x:c r="E256" s="12" t="str">
        <x:f>IF(Leads!AV256="","",Leads!AV256)</x:f>
      </x:c>
      <x:c r="F256" s="12" t="str">
        <x:f>IF(Leads!AX256="","",Leads!AX256)</x:f>
      </x:c>
      <x:c r="G256" s="12" t="str">
        <x:f>IF(Leads!BC256="","",Leads!BC256)</x:f>
      </x:c>
      <x:c r="H256" s="12" t="str">
        <x:f>IF(Leads!BE256="","",Leads!BE256)</x:f>
      </x:c>
      <x:c r="I256" s="12" t="str">
        <x:f>IF(Leads!BG256="","",Leads!BG256)</x:f>
      </x:c>
      <x:c r="J256" s="12" t="str">
        <x:f>IF(Leads!BH256="","",Leads!BH256)</x:f>
      </x:c>
      <x:c r="K256" s="12" t="str">
        <x:f>IF(A256="","","مرحبًا "&amp;C256&amp;CHAR(10)&amp;CHAR(10)&amp;"شكرًا لإتمام تقييم DBD الخاص بعيادة "&amp;B256&amp;"."&amp;CHAR(10)&amp;"نتيجتكم الحالية: "&amp;E256&amp;"%."&amp;CHAR(10)&amp;"أولوية التحسين الأولى: "&amp;F256&amp;"."&amp;IF(J256&lt;&gt;"",CHAR(10)&amp;CHAR(10)&amp;"رابط التقرير: "&amp;J256,"")&amp;CHAR(10)&amp;CHAR(10)&amp;"إذا أحببت، يمكننا مساعدتك في فهم التقرير وتحديد أفضل خطوة تالية لعيادتكم.")</x:f>
      </x:c>
      <x:c r="L256" s="12" t="str">
        <x:f>IF(D256="","",HYPERLINK("https://wa.me/"&amp;REGEXREPLACE(D256,"[^\d]","")&amp;"?text="&amp;ENCODEURL(K256),"واتساب 1"))</x:f>
      </x:c>
      <x:c r="M256" s="12" t="str">
        <x:f>IF(A256="","","مرحبًا "&amp;C256&amp;CHAR(10)&amp;CHAR(10)&amp;"بناءً على نتيجة تقييم عيادة "&amp;B256&amp;"، فإن الترشيح الأقوى لكم الآن هو: "&amp;G256&amp;"."&amp;CHAR(10)&amp;"هذا الخيار يساعدكم في معالجة أكبر فجوة حالية بشكل عملي ومباشر."&amp;IF(J256&lt;&gt;"",CHAR(10)&amp;CHAR(10)&amp;"رابط التقرير: "&amp;J256,"")&amp;CHAR(10)&amp;CHAR(10)&amp;"إذا رغبت، يمكننا توضيح لماذا هذا الكورس هو الأنسب لكم الآن.")</x:f>
      </x:c>
      <x:c r="N256" s="12" t="str">
        <x:f>IF(D256="","",HYPERLINK("https://wa.me/"&amp;REGEXREPLACE(D256,"[^\d]","")&amp;"?text="&amp;ENCODEURL(M256),"واتساب 2"))</x:f>
      </x:c>
      <x:c r="O256" s="12" t="str">
        <x:f>IF(A256="","","مرحبًا "&amp;C256&amp;CHAR(10)&amp;CHAR(10)&amp;"إذا كانت التحديات لديكم تحتاج حلًا أشمل، فالبرنامج الكامل المناسب لكم هو: "&amp;H256&amp;"."&amp;IF(I256&lt;&gt;"",CHAR(10)&amp;"كما يمكنكم أيضًا حجز: "&amp;I256&amp;".","")&amp;IF(J256&lt;&gt;"",CHAR(10)&amp;CHAR(10)&amp;"رابط التقرير: "&amp;J256,"")&amp;CHAR(10)&amp;CHAR(10)&amp;"يسعدنا مساعدتكم في اختيار المسار الأنسب حسب وضع العيادة الحالي.")</x:f>
      </x:c>
      <x:c r="P256" s="12" t="str">
        <x:f>IF(D256="","",HYPERLINK("https://wa.me/"&amp;REGEXREPLACE(D256,"[^\d]","")&amp;"?text="&amp;ENCODEURL(O256),"واتساب 3"))</x:f>
      </x:c>
    </x:row>
    <x:row r="257" ht="15" hidden="0" customHeight="1">
      <x:c r="A257" s="12" t="str">
        <x:f>IF(Leads!A257="","",Leads!A257)</x:f>
      </x:c>
      <x:c r="B257" s="12" t="str">
        <x:f>IF(Leads!F257="","",Leads!F257)</x:f>
      </x:c>
      <x:c r="C257" s="12" t="str">
        <x:f>IF(Leads!G257="","",Leads!G257)</x:f>
      </x:c>
      <x:c r="D257" s="12" t="str">
        <x:f>IF(Leads!O257="","",Leads!O257)</x:f>
      </x:c>
      <x:c r="E257" s="12" t="str">
        <x:f>IF(Leads!AV257="","",Leads!AV257)</x:f>
      </x:c>
      <x:c r="F257" s="12" t="str">
        <x:f>IF(Leads!AX257="","",Leads!AX257)</x:f>
      </x:c>
      <x:c r="G257" s="12" t="str">
        <x:f>IF(Leads!BC257="","",Leads!BC257)</x:f>
      </x:c>
      <x:c r="H257" s="12" t="str">
        <x:f>IF(Leads!BE257="","",Leads!BE257)</x:f>
      </x:c>
      <x:c r="I257" s="12" t="str">
        <x:f>IF(Leads!BG257="","",Leads!BG257)</x:f>
      </x:c>
      <x:c r="J257" s="12" t="str">
        <x:f>IF(Leads!BH257="","",Leads!BH257)</x:f>
      </x:c>
      <x:c r="K257" s="12" t="str">
        <x:f>IF(A257="","","مرحبًا "&amp;C257&amp;CHAR(10)&amp;CHAR(10)&amp;"شكرًا لإتمام تقييم DBD الخاص بعيادة "&amp;B257&amp;"."&amp;CHAR(10)&amp;"نتيجتكم الحالية: "&amp;E257&amp;"%."&amp;CHAR(10)&amp;"أولوية التحسين الأولى: "&amp;F257&amp;"."&amp;IF(J257&lt;&gt;"",CHAR(10)&amp;CHAR(10)&amp;"رابط التقرير: "&amp;J257,"")&amp;CHAR(10)&amp;CHAR(10)&amp;"إذا أحببت، يمكننا مساعدتك في فهم التقرير وتحديد أفضل خطوة تالية لعيادتكم.")</x:f>
      </x:c>
      <x:c r="L257" s="12" t="str">
        <x:f>IF(D257="","",HYPERLINK("https://wa.me/"&amp;REGEXREPLACE(D257,"[^\d]","")&amp;"?text="&amp;ENCODEURL(K257),"واتساب 1"))</x:f>
      </x:c>
      <x:c r="M257" s="12" t="str">
        <x:f>IF(A257="","","مرحبًا "&amp;C257&amp;CHAR(10)&amp;CHAR(10)&amp;"بناءً على نتيجة تقييم عيادة "&amp;B257&amp;"، فإن الترشيح الأقوى لكم الآن هو: "&amp;G257&amp;"."&amp;CHAR(10)&amp;"هذا الخيار يساعدكم في معالجة أكبر فجوة حالية بشكل عملي ومباشر."&amp;IF(J257&lt;&gt;"",CHAR(10)&amp;CHAR(10)&amp;"رابط التقرير: "&amp;J257,"")&amp;CHAR(10)&amp;CHAR(10)&amp;"إذا رغبت، يمكننا توضيح لماذا هذا الكورس هو الأنسب لكم الآن.")</x:f>
      </x:c>
      <x:c r="N257" s="12" t="str">
        <x:f>IF(D257="","",HYPERLINK("https://wa.me/"&amp;REGEXREPLACE(D257,"[^\d]","")&amp;"?text="&amp;ENCODEURL(M257),"واتساب 2"))</x:f>
      </x:c>
      <x:c r="O257" s="12" t="str">
        <x:f>IF(A257="","","مرحبًا "&amp;C257&amp;CHAR(10)&amp;CHAR(10)&amp;"إذا كانت التحديات لديكم تحتاج حلًا أشمل، فالبرنامج الكامل المناسب لكم هو: "&amp;H257&amp;"."&amp;IF(I257&lt;&gt;"",CHAR(10)&amp;"كما يمكنكم أيضًا حجز: "&amp;I257&amp;".","")&amp;IF(J257&lt;&gt;"",CHAR(10)&amp;CHAR(10)&amp;"رابط التقرير: "&amp;J257,"")&amp;CHAR(10)&amp;CHAR(10)&amp;"يسعدنا مساعدتكم في اختيار المسار الأنسب حسب وضع العيادة الحالي.")</x:f>
      </x:c>
      <x:c r="P257" s="12" t="str">
        <x:f>IF(D257="","",HYPERLINK("https://wa.me/"&amp;REGEXREPLACE(D257,"[^\d]","")&amp;"?text="&amp;ENCODEURL(O257),"واتساب 3"))</x:f>
      </x:c>
    </x:row>
    <x:row r="258" ht="15" hidden="0" customHeight="1">
      <x:c r="A258" s="12" t="str">
        <x:f>IF(Leads!A258="","",Leads!A258)</x:f>
      </x:c>
      <x:c r="B258" s="12" t="str">
        <x:f>IF(Leads!F258="","",Leads!F258)</x:f>
      </x:c>
      <x:c r="C258" s="12" t="str">
        <x:f>IF(Leads!G258="","",Leads!G258)</x:f>
      </x:c>
      <x:c r="D258" s="12" t="str">
        <x:f>IF(Leads!O258="","",Leads!O258)</x:f>
      </x:c>
      <x:c r="E258" s="12" t="str">
        <x:f>IF(Leads!AV258="","",Leads!AV258)</x:f>
      </x:c>
      <x:c r="F258" s="12" t="str">
        <x:f>IF(Leads!AX258="","",Leads!AX258)</x:f>
      </x:c>
      <x:c r="G258" s="12" t="str">
        <x:f>IF(Leads!BC258="","",Leads!BC258)</x:f>
      </x:c>
      <x:c r="H258" s="12" t="str">
        <x:f>IF(Leads!BE258="","",Leads!BE258)</x:f>
      </x:c>
      <x:c r="I258" s="12" t="str">
        <x:f>IF(Leads!BG258="","",Leads!BG258)</x:f>
      </x:c>
      <x:c r="J258" s="12" t="str">
        <x:f>IF(Leads!BH258="","",Leads!BH258)</x:f>
      </x:c>
      <x:c r="K258" s="12" t="str">
        <x:f>IF(A258="","","مرحبًا "&amp;C258&amp;CHAR(10)&amp;CHAR(10)&amp;"شكرًا لإتمام تقييم DBD الخاص بعيادة "&amp;B258&amp;"."&amp;CHAR(10)&amp;"نتيجتكم الحالية: "&amp;E258&amp;"%."&amp;CHAR(10)&amp;"أولوية التحسين الأولى: "&amp;F258&amp;"."&amp;IF(J258&lt;&gt;"",CHAR(10)&amp;CHAR(10)&amp;"رابط التقرير: "&amp;J258,"")&amp;CHAR(10)&amp;CHAR(10)&amp;"إذا أحببت، يمكننا مساعدتك في فهم التقرير وتحديد أفضل خطوة تالية لعيادتكم.")</x:f>
      </x:c>
      <x:c r="L258" s="12" t="str">
        <x:f>IF(D258="","",HYPERLINK("https://wa.me/"&amp;REGEXREPLACE(D258,"[^\d]","")&amp;"?text="&amp;ENCODEURL(K258),"واتساب 1"))</x:f>
      </x:c>
      <x:c r="M258" s="12" t="str">
        <x:f>IF(A258="","","مرحبًا "&amp;C258&amp;CHAR(10)&amp;CHAR(10)&amp;"بناءً على نتيجة تقييم عيادة "&amp;B258&amp;"، فإن الترشيح الأقوى لكم الآن هو: "&amp;G258&amp;"."&amp;CHAR(10)&amp;"هذا الخيار يساعدكم في معالجة أكبر فجوة حالية بشكل عملي ومباشر."&amp;IF(J258&lt;&gt;"",CHAR(10)&amp;CHAR(10)&amp;"رابط التقرير: "&amp;J258,"")&amp;CHAR(10)&amp;CHAR(10)&amp;"إذا رغبت، يمكننا توضيح لماذا هذا الكورس هو الأنسب لكم الآن.")</x:f>
      </x:c>
      <x:c r="N258" s="12" t="str">
        <x:f>IF(D258="","",HYPERLINK("https://wa.me/"&amp;REGEXREPLACE(D258,"[^\d]","")&amp;"?text="&amp;ENCODEURL(M258),"واتساب 2"))</x:f>
      </x:c>
      <x:c r="O258" s="12" t="str">
        <x:f>IF(A258="","","مرحبًا "&amp;C258&amp;CHAR(10)&amp;CHAR(10)&amp;"إذا كانت التحديات لديكم تحتاج حلًا أشمل، فالبرنامج الكامل المناسب لكم هو: "&amp;H258&amp;"."&amp;IF(I258&lt;&gt;"",CHAR(10)&amp;"كما يمكنكم أيضًا حجز: "&amp;I258&amp;".","")&amp;IF(J258&lt;&gt;"",CHAR(10)&amp;CHAR(10)&amp;"رابط التقرير: "&amp;J258,"")&amp;CHAR(10)&amp;CHAR(10)&amp;"يسعدنا مساعدتكم في اختيار المسار الأنسب حسب وضع العيادة الحالي.")</x:f>
      </x:c>
      <x:c r="P258" s="12" t="str">
        <x:f>IF(D258="","",HYPERLINK("https://wa.me/"&amp;REGEXREPLACE(D258,"[^\d]","")&amp;"?text="&amp;ENCODEURL(O258),"واتساب 3"))</x:f>
      </x:c>
    </x:row>
    <x:row r="259" ht="15" hidden="0" customHeight="1">
      <x:c r="A259" s="12" t="str">
        <x:f>IF(Leads!A259="","",Leads!A259)</x:f>
      </x:c>
      <x:c r="B259" s="12" t="str">
        <x:f>IF(Leads!F259="","",Leads!F259)</x:f>
      </x:c>
      <x:c r="C259" s="12" t="str">
        <x:f>IF(Leads!G259="","",Leads!G259)</x:f>
      </x:c>
      <x:c r="D259" s="12" t="str">
        <x:f>IF(Leads!O259="","",Leads!O259)</x:f>
      </x:c>
      <x:c r="E259" s="12" t="str">
        <x:f>IF(Leads!AV259="","",Leads!AV259)</x:f>
      </x:c>
      <x:c r="F259" s="12" t="str">
        <x:f>IF(Leads!AX259="","",Leads!AX259)</x:f>
      </x:c>
      <x:c r="G259" s="12" t="str">
        <x:f>IF(Leads!BC259="","",Leads!BC259)</x:f>
      </x:c>
      <x:c r="H259" s="12" t="str">
        <x:f>IF(Leads!BE259="","",Leads!BE259)</x:f>
      </x:c>
      <x:c r="I259" s="12" t="str">
        <x:f>IF(Leads!BG259="","",Leads!BG259)</x:f>
      </x:c>
      <x:c r="J259" s="12" t="str">
        <x:f>IF(Leads!BH259="","",Leads!BH259)</x:f>
      </x:c>
      <x:c r="K259" s="12" t="str">
        <x:f>IF(A259="","","مرحبًا "&amp;C259&amp;CHAR(10)&amp;CHAR(10)&amp;"شكرًا لإتمام تقييم DBD الخاص بعيادة "&amp;B259&amp;"."&amp;CHAR(10)&amp;"نتيجتكم الحالية: "&amp;E259&amp;"%."&amp;CHAR(10)&amp;"أولوية التحسين الأولى: "&amp;F259&amp;"."&amp;IF(J259&lt;&gt;"",CHAR(10)&amp;CHAR(10)&amp;"رابط التقرير: "&amp;J259,"")&amp;CHAR(10)&amp;CHAR(10)&amp;"إذا أحببت، يمكننا مساعدتك في فهم التقرير وتحديد أفضل خطوة تالية لعيادتكم.")</x:f>
      </x:c>
      <x:c r="L259" s="12" t="str">
        <x:f>IF(D259="","",HYPERLINK("https://wa.me/"&amp;REGEXREPLACE(D259,"[^\d]","")&amp;"?text="&amp;ENCODEURL(K259),"واتساب 1"))</x:f>
      </x:c>
      <x:c r="M259" s="12" t="str">
        <x:f>IF(A259="","","مرحبًا "&amp;C259&amp;CHAR(10)&amp;CHAR(10)&amp;"بناءً على نتيجة تقييم عيادة "&amp;B259&amp;"، فإن الترشيح الأقوى لكم الآن هو: "&amp;G259&amp;"."&amp;CHAR(10)&amp;"هذا الخيار يساعدكم في معالجة أكبر فجوة حالية بشكل عملي ومباشر."&amp;IF(J259&lt;&gt;"",CHAR(10)&amp;CHAR(10)&amp;"رابط التقرير: "&amp;J259,"")&amp;CHAR(10)&amp;CHAR(10)&amp;"إذا رغبت، يمكننا توضيح لماذا هذا الكورس هو الأنسب لكم الآن.")</x:f>
      </x:c>
      <x:c r="N259" s="12" t="str">
        <x:f>IF(D259="","",HYPERLINK("https://wa.me/"&amp;REGEXREPLACE(D259,"[^\d]","")&amp;"?text="&amp;ENCODEURL(M259),"واتساب 2"))</x:f>
      </x:c>
      <x:c r="O259" s="12" t="str">
        <x:f>IF(A259="","","مرحبًا "&amp;C259&amp;CHAR(10)&amp;CHAR(10)&amp;"إذا كانت التحديات لديكم تحتاج حلًا أشمل، فالبرنامج الكامل المناسب لكم هو: "&amp;H259&amp;"."&amp;IF(I259&lt;&gt;"",CHAR(10)&amp;"كما يمكنكم أيضًا حجز: "&amp;I259&amp;".","")&amp;IF(J259&lt;&gt;"",CHAR(10)&amp;CHAR(10)&amp;"رابط التقرير: "&amp;J259,"")&amp;CHAR(10)&amp;CHAR(10)&amp;"يسعدنا مساعدتكم في اختيار المسار الأنسب حسب وضع العيادة الحالي.")</x:f>
      </x:c>
      <x:c r="P259" s="12" t="str">
        <x:f>IF(D259="","",HYPERLINK("https://wa.me/"&amp;REGEXREPLACE(D259,"[^\d]","")&amp;"?text="&amp;ENCODEURL(O259),"واتساب 3"))</x:f>
      </x:c>
    </x:row>
    <x:row r="260" ht="15" hidden="0" customHeight="1">
      <x:c r="A260" s="12" t="str">
        <x:f>IF(Leads!A260="","",Leads!A260)</x:f>
      </x:c>
      <x:c r="B260" s="12" t="str">
        <x:f>IF(Leads!F260="","",Leads!F260)</x:f>
      </x:c>
      <x:c r="C260" s="12" t="str">
        <x:f>IF(Leads!G260="","",Leads!G260)</x:f>
      </x:c>
      <x:c r="D260" s="12" t="str">
        <x:f>IF(Leads!O260="","",Leads!O260)</x:f>
      </x:c>
      <x:c r="E260" s="12" t="str">
        <x:f>IF(Leads!AV260="","",Leads!AV260)</x:f>
      </x:c>
      <x:c r="F260" s="12" t="str">
        <x:f>IF(Leads!AX260="","",Leads!AX260)</x:f>
      </x:c>
      <x:c r="G260" s="12" t="str">
        <x:f>IF(Leads!BC260="","",Leads!BC260)</x:f>
      </x:c>
      <x:c r="H260" s="12" t="str">
        <x:f>IF(Leads!BE260="","",Leads!BE260)</x:f>
      </x:c>
      <x:c r="I260" s="12" t="str">
        <x:f>IF(Leads!BG260="","",Leads!BG260)</x:f>
      </x:c>
      <x:c r="J260" s="12" t="str">
        <x:f>IF(Leads!BH260="","",Leads!BH260)</x:f>
      </x:c>
      <x:c r="K260" s="12" t="str">
        <x:f>IF(A260="","","مرحبًا "&amp;C260&amp;CHAR(10)&amp;CHAR(10)&amp;"شكرًا لإتمام تقييم DBD الخاص بعيادة "&amp;B260&amp;"."&amp;CHAR(10)&amp;"نتيجتكم الحالية: "&amp;E260&amp;"%."&amp;CHAR(10)&amp;"أولوية التحسين الأولى: "&amp;F260&amp;"."&amp;IF(J260&lt;&gt;"",CHAR(10)&amp;CHAR(10)&amp;"رابط التقرير: "&amp;J260,"")&amp;CHAR(10)&amp;CHAR(10)&amp;"إذا أحببت، يمكننا مساعدتك في فهم التقرير وتحديد أفضل خطوة تالية لعيادتكم.")</x:f>
      </x:c>
      <x:c r="L260" s="12" t="str">
        <x:f>IF(D260="","",HYPERLINK("https://wa.me/"&amp;REGEXREPLACE(D260,"[^\d]","")&amp;"?text="&amp;ENCODEURL(K260),"واتساب 1"))</x:f>
      </x:c>
      <x:c r="M260" s="12" t="str">
        <x:f>IF(A260="","","مرحبًا "&amp;C260&amp;CHAR(10)&amp;CHAR(10)&amp;"بناءً على نتيجة تقييم عيادة "&amp;B260&amp;"، فإن الترشيح الأقوى لكم الآن هو: "&amp;G260&amp;"."&amp;CHAR(10)&amp;"هذا الخيار يساعدكم في معالجة أكبر فجوة حالية بشكل عملي ومباشر."&amp;IF(J260&lt;&gt;"",CHAR(10)&amp;CHAR(10)&amp;"رابط التقرير: "&amp;J260,"")&amp;CHAR(10)&amp;CHAR(10)&amp;"إذا رغبت، يمكننا توضيح لماذا هذا الكورس هو الأنسب لكم الآن.")</x:f>
      </x:c>
      <x:c r="N260" s="12" t="str">
        <x:f>IF(D260="","",HYPERLINK("https://wa.me/"&amp;REGEXREPLACE(D260,"[^\d]","")&amp;"?text="&amp;ENCODEURL(M260),"واتساب 2"))</x:f>
      </x:c>
      <x:c r="O260" s="12" t="str">
        <x:f>IF(A260="","","مرحبًا "&amp;C260&amp;CHAR(10)&amp;CHAR(10)&amp;"إذا كانت التحديات لديكم تحتاج حلًا أشمل، فالبرنامج الكامل المناسب لكم هو: "&amp;H260&amp;"."&amp;IF(I260&lt;&gt;"",CHAR(10)&amp;"كما يمكنكم أيضًا حجز: "&amp;I260&amp;".","")&amp;IF(J260&lt;&gt;"",CHAR(10)&amp;CHAR(10)&amp;"رابط التقرير: "&amp;J260,"")&amp;CHAR(10)&amp;CHAR(10)&amp;"يسعدنا مساعدتكم في اختيار المسار الأنسب حسب وضع العيادة الحالي.")</x:f>
      </x:c>
      <x:c r="P260" s="12" t="str">
        <x:f>IF(D260="","",HYPERLINK("https://wa.me/"&amp;REGEXREPLACE(D260,"[^\d]","")&amp;"?text="&amp;ENCODEURL(O260),"واتساب 3"))</x:f>
      </x:c>
    </x:row>
    <x:row r="261" ht="15" hidden="0" customHeight="1">
      <x:c r="A261" s="12" t="str">
        <x:f>IF(Leads!A261="","",Leads!A261)</x:f>
      </x:c>
      <x:c r="B261" s="12" t="str">
        <x:f>IF(Leads!F261="","",Leads!F261)</x:f>
      </x:c>
      <x:c r="C261" s="12" t="str">
        <x:f>IF(Leads!G261="","",Leads!G261)</x:f>
      </x:c>
      <x:c r="D261" s="12" t="str">
        <x:f>IF(Leads!O261="","",Leads!O261)</x:f>
      </x:c>
      <x:c r="E261" s="12" t="str">
        <x:f>IF(Leads!AV261="","",Leads!AV261)</x:f>
      </x:c>
      <x:c r="F261" s="12" t="str">
        <x:f>IF(Leads!AX261="","",Leads!AX261)</x:f>
      </x:c>
      <x:c r="G261" s="12" t="str">
        <x:f>IF(Leads!BC261="","",Leads!BC261)</x:f>
      </x:c>
      <x:c r="H261" s="12" t="str">
        <x:f>IF(Leads!BE261="","",Leads!BE261)</x:f>
      </x:c>
      <x:c r="I261" s="12" t="str">
        <x:f>IF(Leads!BG261="","",Leads!BG261)</x:f>
      </x:c>
      <x:c r="J261" s="12" t="str">
        <x:f>IF(Leads!BH261="","",Leads!BH261)</x:f>
      </x:c>
      <x:c r="K261" s="12" t="str">
        <x:f>IF(A261="","","مرحبًا "&amp;C261&amp;CHAR(10)&amp;CHAR(10)&amp;"شكرًا لإتمام تقييم DBD الخاص بعيادة "&amp;B261&amp;"."&amp;CHAR(10)&amp;"نتيجتكم الحالية: "&amp;E261&amp;"%."&amp;CHAR(10)&amp;"أولوية التحسين الأولى: "&amp;F261&amp;"."&amp;IF(J261&lt;&gt;"",CHAR(10)&amp;CHAR(10)&amp;"رابط التقرير: "&amp;J261,"")&amp;CHAR(10)&amp;CHAR(10)&amp;"إذا أحببت، يمكننا مساعدتك في فهم التقرير وتحديد أفضل خطوة تالية لعيادتكم.")</x:f>
      </x:c>
      <x:c r="L261" s="12" t="str">
        <x:f>IF(D261="","",HYPERLINK("https://wa.me/"&amp;REGEXREPLACE(D261,"[^\d]","")&amp;"?text="&amp;ENCODEURL(K261),"واتساب 1"))</x:f>
      </x:c>
      <x:c r="M261" s="12" t="str">
        <x:f>IF(A261="","","مرحبًا "&amp;C261&amp;CHAR(10)&amp;CHAR(10)&amp;"بناءً على نتيجة تقييم عيادة "&amp;B261&amp;"، فإن الترشيح الأقوى لكم الآن هو: "&amp;G261&amp;"."&amp;CHAR(10)&amp;"هذا الخيار يساعدكم في معالجة أكبر فجوة حالية بشكل عملي ومباشر."&amp;IF(J261&lt;&gt;"",CHAR(10)&amp;CHAR(10)&amp;"رابط التقرير: "&amp;J261,"")&amp;CHAR(10)&amp;CHAR(10)&amp;"إذا رغبت، يمكننا توضيح لماذا هذا الكورس هو الأنسب لكم الآن.")</x:f>
      </x:c>
      <x:c r="N261" s="12" t="str">
        <x:f>IF(D261="","",HYPERLINK("https://wa.me/"&amp;REGEXREPLACE(D261,"[^\d]","")&amp;"?text="&amp;ENCODEURL(M261),"واتساب 2"))</x:f>
      </x:c>
      <x:c r="O261" s="12" t="str">
        <x:f>IF(A261="","","مرحبًا "&amp;C261&amp;CHAR(10)&amp;CHAR(10)&amp;"إذا كانت التحديات لديكم تحتاج حلًا أشمل، فالبرنامج الكامل المناسب لكم هو: "&amp;H261&amp;"."&amp;IF(I261&lt;&gt;"",CHAR(10)&amp;"كما يمكنكم أيضًا حجز: "&amp;I261&amp;".","")&amp;IF(J261&lt;&gt;"",CHAR(10)&amp;CHAR(10)&amp;"رابط التقرير: "&amp;J261,"")&amp;CHAR(10)&amp;CHAR(10)&amp;"يسعدنا مساعدتكم في اختيار المسار الأنسب حسب وضع العيادة الحالي.")</x:f>
      </x:c>
      <x:c r="P261" s="12" t="str">
        <x:f>IF(D261="","",HYPERLINK("https://wa.me/"&amp;REGEXREPLACE(D261,"[^\d]","")&amp;"?text="&amp;ENCODEURL(O261),"واتساب 3"))</x:f>
      </x:c>
    </x:row>
    <x:row r="262" ht="15" hidden="0" customHeight="1">
      <x:c r="A262" s="12" t="str">
        <x:f>IF(Leads!A262="","",Leads!A262)</x:f>
      </x:c>
      <x:c r="B262" s="12" t="str">
        <x:f>IF(Leads!F262="","",Leads!F262)</x:f>
      </x:c>
      <x:c r="C262" s="12" t="str">
        <x:f>IF(Leads!G262="","",Leads!G262)</x:f>
      </x:c>
      <x:c r="D262" s="12" t="str">
        <x:f>IF(Leads!O262="","",Leads!O262)</x:f>
      </x:c>
      <x:c r="E262" s="12" t="str">
        <x:f>IF(Leads!AV262="","",Leads!AV262)</x:f>
      </x:c>
      <x:c r="F262" s="12" t="str">
        <x:f>IF(Leads!AX262="","",Leads!AX262)</x:f>
      </x:c>
      <x:c r="G262" s="12" t="str">
        <x:f>IF(Leads!BC262="","",Leads!BC262)</x:f>
      </x:c>
      <x:c r="H262" s="12" t="str">
        <x:f>IF(Leads!BE262="","",Leads!BE262)</x:f>
      </x:c>
      <x:c r="I262" s="12" t="str">
        <x:f>IF(Leads!BG262="","",Leads!BG262)</x:f>
      </x:c>
      <x:c r="J262" s="12" t="str">
        <x:f>IF(Leads!BH262="","",Leads!BH262)</x:f>
      </x:c>
      <x:c r="K262" s="12" t="str">
        <x:f>IF(A262="","","مرحبًا "&amp;C262&amp;CHAR(10)&amp;CHAR(10)&amp;"شكرًا لإتمام تقييم DBD الخاص بعيادة "&amp;B262&amp;"."&amp;CHAR(10)&amp;"نتيجتكم الحالية: "&amp;E262&amp;"%."&amp;CHAR(10)&amp;"أولوية التحسين الأولى: "&amp;F262&amp;"."&amp;IF(J262&lt;&gt;"",CHAR(10)&amp;CHAR(10)&amp;"رابط التقرير: "&amp;J262,"")&amp;CHAR(10)&amp;CHAR(10)&amp;"إذا أحببت، يمكننا مساعدتك في فهم التقرير وتحديد أفضل خطوة تالية لعيادتكم.")</x:f>
      </x:c>
      <x:c r="L262" s="12" t="str">
        <x:f>IF(D262="","",HYPERLINK("https://wa.me/"&amp;REGEXREPLACE(D262,"[^\d]","")&amp;"?text="&amp;ENCODEURL(K262),"واتساب 1"))</x:f>
      </x:c>
      <x:c r="M262" s="12" t="str">
        <x:f>IF(A262="","","مرحبًا "&amp;C262&amp;CHAR(10)&amp;CHAR(10)&amp;"بناءً على نتيجة تقييم عيادة "&amp;B262&amp;"، فإن الترشيح الأقوى لكم الآن هو: "&amp;G262&amp;"."&amp;CHAR(10)&amp;"هذا الخيار يساعدكم في معالجة أكبر فجوة حالية بشكل عملي ومباشر."&amp;IF(J262&lt;&gt;"",CHAR(10)&amp;CHAR(10)&amp;"رابط التقرير: "&amp;J262,"")&amp;CHAR(10)&amp;CHAR(10)&amp;"إذا رغبت، يمكننا توضيح لماذا هذا الكورس هو الأنسب لكم الآن.")</x:f>
      </x:c>
      <x:c r="N262" s="12" t="str">
        <x:f>IF(D262="","",HYPERLINK("https://wa.me/"&amp;REGEXREPLACE(D262,"[^\d]","")&amp;"?text="&amp;ENCODEURL(M262),"واتساب 2"))</x:f>
      </x:c>
      <x:c r="O262" s="12" t="str">
        <x:f>IF(A262="","","مرحبًا "&amp;C262&amp;CHAR(10)&amp;CHAR(10)&amp;"إذا كانت التحديات لديكم تحتاج حلًا أشمل، فالبرنامج الكامل المناسب لكم هو: "&amp;H262&amp;"."&amp;IF(I262&lt;&gt;"",CHAR(10)&amp;"كما يمكنكم أيضًا حجز: "&amp;I262&amp;".","")&amp;IF(J262&lt;&gt;"",CHAR(10)&amp;CHAR(10)&amp;"رابط التقرير: "&amp;J262,"")&amp;CHAR(10)&amp;CHAR(10)&amp;"يسعدنا مساعدتكم في اختيار المسار الأنسب حسب وضع العيادة الحالي.")</x:f>
      </x:c>
      <x:c r="P262" s="12" t="str">
        <x:f>IF(D262="","",HYPERLINK("https://wa.me/"&amp;REGEXREPLACE(D262,"[^\d]","")&amp;"?text="&amp;ENCODEURL(O262),"واتساب 3"))</x:f>
      </x:c>
    </x:row>
    <x:row r="263" ht="15" hidden="0" customHeight="1">
      <x:c r="A263" s="12" t="str">
        <x:f>IF(Leads!A263="","",Leads!A263)</x:f>
      </x:c>
      <x:c r="B263" s="12" t="str">
        <x:f>IF(Leads!F263="","",Leads!F263)</x:f>
      </x:c>
      <x:c r="C263" s="12" t="str">
        <x:f>IF(Leads!G263="","",Leads!G263)</x:f>
      </x:c>
      <x:c r="D263" s="12" t="str">
        <x:f>IF(Leads!O263="","",Leads!O263)</x:f>
      </x:c>
      <x:c r="E263" s="12" t="str">
        <x:f>IF(Leads!AV263="","",Leads!AV263)</x:f>
      </x:c>
      <x:c r="F263" s="12" t="str">
        <x:f>IF(Leads!AX263="","",Leads!AX263)</x:f>
      </x:c>
      <x:c r="G263" s="12" t="str">
        <x:f>IF(Leads!BC263="","",Leads!BC263)</x:f>
      </x:c>
      <x:c r="H263" s="12" t="str">
        <x:f>IF(Leads!BE263="","",Leads!BE263)</x:f>
      </x:c>
      <x:c r="I263" s="12" t="str">
        <x:f>IF(Leads!BG263="","",Leads!BG263)</x:f>
      </x:c>
      <x:c r="J263" s="12" t="str">
        <x:f>IF(Leads!BH263="","",Leads!BH263)</x:f>
      </x:c>
      <x:c r="K263" s="12" t="str">
        <x:f>IF(A263="","","مرحبًا "&amp;C263&amp;CHAR(10)&amp;CHAR(10)&amp;"شكرًا لإتمام تقييم DBD الخاص بعيادة "&amp;B263&amp;"."&amp;CHAR(10)&amp;"نتيجتكم الحالية: "&amp;E263&amp;"%."&amp;CHAR(10)&amp;"أولوية التحسين الأولى: "&amp;F263&amp;"."&amp;IF(J263&lt;&gt;"",CHAR(10)&amp;CHAR(10)&amp;"رابط التقرير: "&amp;J263,"")&amp;CHAR(10)&amp;CHAR(10)&amp;"إذا أحببت، يمكننا مساعدتك في فهم التقرير وتحديد أفضل خطوة تالية لعيادتكم.")</x:f>
      </x:c>
      <x:c r="L263" s="12" t="str">
        <x:f>IF(D263="","",HYPERLINK("https://wa.me/"&amp;REGEXREPLACE(D263,"[^\d]","")&amp;"?text="&amp;ENCODEURL(K263),"واتساب 1"))</x:f>
      </x:c>
      <x:c r="M263" s="12" t="str">
        <x:f>IF(A263="","","مرحبًا "&amp;C263&amp;CHAR(10)&amp;CHAR(10)&amp;"بناءً على نتيجة تقييم عيادة "&amp;B263&amp;"، فإن الترشيح الأقوى لكم الآن هو: "&amp;G263&amp;"."&amp;CHAR(10)&amp;"هذا الخيار يساعدكم في معالجة أكبر فجوة حالية بشكل عملي ومباشر."&amp;IF(J263&lt;&gt;"",CHAR(10)&amp;CHAR(10)&amp;"رابط التقرير: "&amp;J263,"")&amp;CHAR(10)&amp;CHAR(10)&amp;"إذا رغبت، يمكننا توضيح لماذا هذا الكورس هو الأنسب لكم الآن.")</x:f>
      </x:c>
      <x:c r="N263" s="12" t="str">
        <x:f>IF(D263="","",HYPERLINK("https://wa.me/"&amp;REGEXREPLACE(D263,"[^\d]","")&amp;"?text="&amp;ENCODEURL(M263),"واتساب 2"))</x:f>
      </x:c>
      <x:c r="O263" s="12" t="str">
        <x:f>IF(A263="","","مرحبًا "&amp;C263&amp;CHAR(10)&amp;CHAR(10)&amp;"إذا كانت التحديات لديكم تحتاج حلًا أشمل، فالبرنامج الكامل المناسب لكم هو: "&amp;H263&amp;"."&amp;IF(I263&lt;&gt;"",CHAR(10)&amp;"كما يمكنكم أيضًا حجز: "&amp;I263&amp;".","")&amp;IF(J263&lt;&gt;"",CHAR(10)&amp;CHAR(10)&amp;"رابط التقرير: "&amp;J263,"")&amp;CHAR(10)&amp;CHAR(10)&amp;"يسعدنا مساعدتكم في اختيار المسار الأنسب حسب وضع العيادة الحالي.")</x:f>
      </x:c>
      <x:c r="P263" s="12" t="str">
        <x:f>IF(D263="","",HYPERLINK("https://wa.me/"&amp;REGEXREPLACE(D263,"[^\d]","")&amp;"?text="&amp;ENCODEURL(O263),"واتساب 3"))</x:f>
      </x:c>
    </x:row>
    <x:row r="264" ht="15" hidden="0" customHeight="1">
      <x:c r="A264" s="12" t="str">
        <x:f>IF(Leads!A264="","",Leads!A264)</x:f>
      </x:c>
      <x:c r="B264" s="12" t="str">
        <x:f>IF(Leads!F264="","",Leads!F264)</x:f>
      </x:c>
      <x:c r="C264" s="12" t="str">
        <x:f>IF(Leads!G264="","",Leads!G264)</x:f>
      </x:c>
      <x:c r="D264" s="12" t="str">
        <x:f>IF(Leads!O264="","",Leads!O264)</x:f>
      </x:c>
      <x:c r="E264" s="12" t="str">
        <x:f>IF(Leads!AV264="","",Leads!AV264)</x:f>
      </x:c>
      <x:c r="F264" s="12" t="str">
        <x:f>IF(Leads!AX264="","",Leads!AX264)</x:f>
      </x:c>
      <x:c r="G264" s="12" t="str">
        <x:f>IF(Leads!BC264="","",Leads!BC264)</x:f>
      </x:c>
      <x:c r="H264" s="12" t="str">
        <x:f>IF(Leads!BE264="","",Leads!BE264)</x:f>
      </x:c>
      <x:c r="I264" s="12" t="str">
        <x:f>IF(Leads!BG264="","",Leads!BG264)</x:f>
      </x:c>
      <x:c r="J264" s="12" t="str">
        <x:f>IF(Leads!BH264="","",Leads!BH264)</x:f>
      </x:c>
      <x:c r="K264" s="12" t="str">
        <x:f>IF(A264="","","مرحبًا "&amp;C264&amp;CHAR(10)&amp;CHAR(10)&amp;"شكرًا لإتمام تقييم DBD الخاص بعيادة "&amp;B264&amp;"."&amp;CHAR(10)&amp;"نتيجتكم الحالية: "&amp;E264&amp;"%."&amp;CHAR(10)&amp;"أولوية التحسين الأولى: "&amp;F264&amp;"."&amp;IF(J264&lt;&gt;"",CHAR(10)&amp;CHAR(10)&amp;"رابط التقرير: "&amp;J264,"")&amp;CHAR(10)&amp;CHAR(10)&amp;"إذا أحببت، يمكننا مساعدتك في فهم التقرير وتحديد أفضل خطوة تالية لعيادتكم.")</x:f>
      </x:c>
      <x:c r="L264" s="12" t="str">
        <x:f>IF(D264="","",HYPERLINK("https://wa.me/"&amp;REGEXREPLACE(D264,"[^\d]","")&amp;"?text="&amp;ENCODEURL(K264),"واتساب 1"))</x:f>
      </x:c>
      <x:c r="M264" s="12" t="str">
        <x:f>IF(A264="","","مرحبًا "&amp;C264&amp;CHAR(10)&amp;CHAR(10)&amp;"بناءً على نتيجة تقييم عيادة "&amp;B264&amp;"، فإن الترشيح الأقوى لكم الآن هو: "&amp;G264&amp;"."&amp;CHAR(10)&amp;"هذا الخيار يساعدكم في معالجة أكبر فجوة حالية بشكل عملي ومباشر."&amp;IF(J264&lt;&gt;"",CHAR(10)&amp;CHAR(10)&amp;"رابط التقرير: "&amp;J264,"")&amp;CHAR(10)&amp;CHAR(10)&amp;"إذا رغبت، يمكننا توضيح لماذا هذا الكورس هو الأنسب لكم الآن.")</x:f>
      </x:c>
      <x:c r="N264" s="12" t="str">
        <x:f>IF(D264="","",HYPERLINK("https://wa.me/"&amp;REGEXREPLACE(D264,"[^\d]","")&amp;"?text="&amp;ENCODEURL(M264),"واتساب 2"))</x:f>
      </x:c>
      <x:c r="O264" s="12" t="str">
        <x:f>IF(A264="","","مرحبًا "&amp;C264&amp;CHAR(10)&amp;CHAR(10)&amp;"إذا كانت التحديات لديكم تحتاج حلًا أشمل، فالبرنامج الكامل المناسب لكم هو: "&amp;H264&amp;"."&amp;IF(I264&lt;&gt;"",CHAR(10)&amp;"كما يمكنكم أيضًا حجز: "&amp;I264&amp;".","")&amp;IF(J264&lt;&gt;"",CHAR(10)&amp;CHAR(10)&amp;"رابط التقرير: "&amp;J264,"")&amp;CHAR(10)&amp;CHAR(10)&amp;"يسعدنا مساعدتكم في اختيار المسار الأنسب حسب وضع العيادة الحالي.")</x:f>
      </x:c>
      <x:c r="P264" s="12" t="str">
        <x:f>IF(D264="","",HYPERLINK("https://wa.me/"&amp;REGEXREPLACE(D264,"[^\d]","")&amp;"?text="&amp;ENCODEURL(O264),"واتساب 3"))</x:f>
      </x:c>
    </x:row>
    <x:row r="265" ht="15" hidden="0" customHeight="1">
      <x:c r="A265" s="12" t="str">
        <x:f>IF(Leads!A265="","",Leads!A265)</x:f>
      </x:c>
      <x:c r="B265" s="12" t="str">
        <x:f>IF(Leads!F265="","",Leads!F265)</x:f>
      </x:c>
      <x:c r="C265" s="12" t="str">
        <x:f>IF(Leads!G265="","",Leads!G265)</x:f>
      </x:c>
      <x:c r="D265" s="12" t="str">
        <x:f>IF(Leads!O265="","",Leads!O265)</x:f>
      </x:c>
      <x:c r="E265" s="12" t="str">
        <x:f>IF(Leads!AV265="","",Leads!AV265)</x:f>
      </x:c>
      <x:c r="F265" s="12" t="str">
        <x:f>IF(Leads!AX265="","",Leads!AX265)</x:f>
      </x:c>
      <x:c r="G265" s="12" t="str">
        <x:f>IF(Leads!BC265="","",Leads!BC265)</x:f>
      </x:c>
      <x:c r="H265" s="12" t="str">
        <x:f>IF(Leads!BE265="","",Leads!BE265)</x:f>
      </x:c>
      <x:c r="I265" s="12" t="str">
        <x:f>IF(Leads!BG265="","",Leads!BG265)</x:f>
      </x:c>
      <x:c r="J265" s="12" t="str">
        <x:f>IF(Leads!BH265="","",Leads!BH265)</x:f>
      </x:c>
      <x:c r="K265" s="12" t="str">
        <x:f>IF(A265="","","مرحبًا "&amp;C265&amp;CHAR(10)&amp;CHAR(10)&amp;"شكرًا لإتمام تقييم DBD الخاص بعيادة "&amp;B265&amp;"."&amp;CHAR(10)&amp;"نتيجتكم الحالية: "&amp;E265&amp;"%."&amp;CHAR(10)&amp;"أولوية التحسين الأولى: "&amp;F265&amp;"."&amp;IF(J265&lt;&gt;"",CHAR(10)&amp;CHAR(10)&amp;"رابط التقرير: "&amp;J265,"")&amp;CHAR(10)&amp;CHAR(10)&amp;"إذا أحببت، يمكننا مساعدتك في فهم التقرير وتحديد أفضل خطوة تالية لعيادتكم.")</x:f>
      </x:c>
      <x:c r="L265" s="12" t="str">
        <x:f>IF(D265="","",HYPERLINK("https://wa.me/"&amp;REGEXREPLACE(D265,"[^\d]","")&amp;"?text="&amp;ENCODEURL(K265),"واتساب 1"))</x:f>
      </x:c>
      <x:c r="M265" s="12" t="str">
        <x:f>IF(A265="","","مرحبًا "&amp;C265&amp;CHAR(10)&amp;CHAR(10)&amp;"بناءً على نتيجة تقييم عيادة "&amp;B265&amp;"، فإن الترشيح الأقوى لكم الآن هو: "&amp;G265&amp;"."&amp;CHAR(10)&amp;"هذا الخيار يساعدكم في معالجة أكبر فجوة حالية بشكل عملي ومباشر."&amp;IF(J265&lt;&gt;"",CHAR(10)&amp;CHAR(10)&amp;"رابط التقرير: "&amp;J265,"")&amp;CHAR(10)&amp;CHAR(10)&amp;"إذا رغبت، يمكننا توضيح لماذا هذا الكورس هو الأنسب لكم الآن.")</x:f>
      </x:c>
      <x:c r="N265" s="12" t="str">
        <x:f>IF(D265="","",HYPERLINK("https://wa.me/"&amp;REGEXREPLACE(D265,"[^\d]","")&amp;"?text="&amp;ENCODEURL(M265),"واتساب 2"))</x:f>
      </x:c>
      <x:c r="O265" s="12" t="str">
        <x:f>IF(A265="","","مرحبًا "&amp;C265&amp;CHAR(10)&amp;CHAR(10)&amp;"إذا كانت التحديات لديكم تحتاج حلًا أشمل، فالبرنامج الكامل المناسب لكم هو: "&amp;H265&amp;"."&amp;IF(I265&lt;&gt;"",CHAR(10)&amp;"كما يمكنكم أيضًا حجز: "&amp;I265&amp;".","")&amp;IF(J265&lt;&gt;"",CHAR(10)&amp;CHAR(10)&amp;"رابط التقرير: "&amp;J265,"")&amp;CHAR(10)&amp;CHAR(10)&amp;"يسعدنا مساعدتكم في اختيار المسار الأنسب حسب وضع العيادة الحالي.")</x:f>
      </x:c>
      <x:c r="P265" s="12" t="str">
        <x:f>IF(D265="","",HYPERLINK("https://wa.me/"&amp;REGEXREPLACE(D265,"[^\d]","")&amp;"?text="&amp;ENCODEURL(O265),"واتساب 3"))</x:f>
      </x:c>
    </x:row>
    <x:row r="266" ht="15" hidden="0" customHeight="1">
      <x:c r="A266" s="12" t="str">
        <x:f>IF(Leads!A266="","",Leads!A266)</x:f>
      </x:c>
      <x:c r="B266" s="12" t="str">
        <x:f>IF(Leads!F266="","",Leads!F266)</x:f>
      </x:c>
      <x:c r="C266" s="12" t="str">
        <x:f>IF(Leads!G266="","",Leads!G266)</x:f>
      </x:c>
      <x:c r="D266" s="12" t="str">
        <x:f>IF(Leads!O266="","",Leads!O266)</x:f>
      </x:c>
      <x:c r="E266" s="12" t="str">
        <x:f>IF(Leads!AV266="","",Leads!AV266)</x:f>
      </x:c>
      <x:c r="F266" s="12" t="str">
        <x:f>IF(Leads!AX266="","",Leads!AX266)</x:f>
      </x:c>
      <x:c r="G266" s="12" t="str">
        <x:f>IF(Leads!BC266="","",Leads!BC266)</x:f>
      </x:c>
      <x:c r="H266" s="12" t="str">
        <x:f>IF(Leads!BE266="","",Leads!BE266)</x:f>
      </x:c>
      <x:c r="I266" s="12" t="str">
        <x:f>IF(Leads!BG266="","",Leads!BG266)</x:f>
      </x:c>
      <x:c r="J266" s="12" t="str">
        <x:f>IF(Leads!BH266="","",Leads!BH266)</x:f>
      </x:c>
      <x:c r="K266" s="12" t="str">
        <x:f>IF(A266="","","مرحبًا "&amp;C266&amp;CHAR(10)&amp;CHAR(10)&amp;"شكرًا لإتمام تقييم DBD الخاص بعيادة "&amp;B266&amp;"."&amp;CHAR(10)&amp;"نتيجتكم الحالية: "&amp;E266&amp;"%."&amp;CHAR(10)&amp;"أولوية التحسين الأولى: "&amp;F266&amp;"."&amp;IF(J266&lt;&gt;"",CHAR(10)&amp;CHAR(10)&amp;"رابط التقرير: "&amp;J266,"")&amp;CHAR(10)&amp;CHAR(10)&amp;"إذا أحببت، يمكننا مساعدتك في فهم التقرير وتحديد أفضل خطوة تالية لعيادتكم.")</x:f>
      </x:c>
      <x:c r="L266" s="12" t="str">
        <x:f>IF(D266="","",HYPERLINK("https://wa.me/"&amp;REGEXREPLACE(D266,"[^\d]","")&amp;"?text="&amp;ENCODEURL(K266),"واتساب 1"))</x:f>
      </x:c>
      <x:c r="M266" s="12" t="str">
        <x:f>IF(A266="","","مرحبًا "&amp;C266&amp;CHAR(10)&amp;CHAR(10)&amp;"بناءً على نتيجة تقييم عيادة "&amp;B266&amp;"، فإن الترشيح الأقوى لكم الآن هو: "&amp;G266&amp;"."&amp;CHAR(10)&amp;"هذا الخيار يساعدكم في معالجة أكبر فجوة حالية بشكل عملي ومباشر."&amp;IF(J266&lt;&gt;"",CHAR(10)&amp;CHAR(10)&amp;"رابط التقرير: "&amp;J266,"")&amp;CHAR(10)&amp;CHAR(10)&amp;"إذا رغبت، يمكننا توضيح لماذا هذا الكورس هو الأنسب لكم الآن.")</x:f>
      </x:c>
      <x:c r="N266" s="12" t="str">
        <x:f>IF(D266="","",HYPERLINK("https://wa.me/"&amp;REGEXREPLACE(D266,"[^\d]","")&amp;"?text="&amp;ENCODEURL(M266),"واتساب 2"))</x:f>
      </x:c>
      <x:c r="O266" s="12" t="str">
        <x:f>IF(A266="","","مرحبًا "&amp;C266&amp;CHAR(10)&amp;CHAR(10)&amp;"إذا كانت التحديات لديكم تحتاج حلًا أشمل، فالبرنامج الكامل المناسب لكم هو: "&amp;H266&amp;"."&amp;IF(I266&lt;&gt;"",CHAR(10)&amp;"كما يمكنكم أيضًا حجز: "&amp;I266&amp;".","")&amp;IF(J266&lt;&gt;"",CHAR(10)&amp;CHAR(10)&amp;"رابط التقرير: "&amp;J266,"")&amp;CHAR(10)&amp;CHAR(10)&amp;"يسعدنا مساعدتكم في اختيار المسار الأنسب حسب وضع العيادة الحالي.")</x:f>
      </x:c>
      <x:c r="P266" s="12" t="str">
        <x:f>IF(D266="","",HYPERLINK("https://wa.me/"&amp;REGEXREPLACE(D266,"[^\d]","")&amp;"?text="&amp;ENCODEURL(O266),"واتساب 3"))</x:f>
      </x:c>
    </x:row>
    <x:row r="267" ht="15" hidden="0" customHeight="1">
      <x:c r="A267" s="12" t="str">
        <x:f>IF(Leads!A267="","",Leads!A267)</x:f>
      </x:c>
      <x:c r="B267" s="12" t="str">
        <x:f>IF(Leads!F267="","",Leads!F267)</x:f>
      </x:c>
      <x:c r="C267" s="12" t="str">
        <x:f>IF(Leads!G267="","",Leads!G267)</x:f>
      </x:c>
      <x:c r="D267" s="12" t="str">
        <x:f>IF(Leads!O267="","",Leads!O267)</x:f>
      </x:c>
      <x:c r="E267" s="12" t="str">
        <x:f>IF(Leads!AV267="","",Leads!AV267)</x:f>
      </x:c>
      <x:c r="F267" s="12" t="str">
        <x:f>IF(Leads!AX267="","",Leads!AX267)</x:f>
      </x:c>
      <x:c r="G267" s="12" t="str">
        <x:f>IF(Leads!BC267="","",Leads!BC267)</x:f>
      </x:c>
      <x:c r="H267" s="12" t="str">
        <x:f>IF(Leads!BE267="","",Leads!BE267)</x:f>
      </x:c>
      <x:c r="I267" s="12" t="str">
        <x:f>IF(Leads!BG267="","",Leads!BG267)</x:f>
      </x:c>
      <x:c r="J267" s="12" t="str">
        <x:f>IF(Leads!BH267="","",Leads!BH267)</x:f>
      </x:c>
      <x:c r="K267" s="12" t="str">
        <x:f>IF(A267="","","مرحبًا "&amp;C267&amp;CHAR(10)&amp;CHAR(10)&amp;"شكرًا لإتمام تقييم DBD الخاص بعيادة "&amp;B267&amp;"."&amp;CHAR(10)&amp;"نتيجتكم الحالية: "&amp;E267&amp;"%."&amp;CHAR(10)&amp;"أولوية التحسين الأولى: "&amp;F267&amp;"."&amp;IF(J267&lt;&gt;"",CHAR(10)&amp;CHAR(10)&amp;"رابط التقرير: "&amp;J267,"")&amp;CHAR(10)&amp;CHAR(10)&amp;"إذا أحببت، يمكننا مساعدتك في فهم التقرير وتحديد أفضل خطوة تالية لعيادتكم.")</x:f>
      </x:c>
      <x:c r="L267" s="12" t="str">
        <x:f>IF(D267="","",HYPERLINK("https://wa.me/"&amp;REGEXREPLACE(D267,"[^\d]","")&amp;"?text="&amp;ENCODEURL(K267),"واتساب 1"))</x:f>
      </x:c>
      <x:c r="M267" s="12" t="str">
        <x:f>IF(A267="","","مرحبًا "&amp;C267&amp;CHAR(10)&amp;CHAR(10)&amp;"بناءً على نتيجة تقييم عيادة "&amp;B267&amp;"، فإن الترشيح الأقوى لكم الآن هو: "&amp;G267&amp;"."&amp;CHAR(10)&amp;"هذا الخيار يساعدكم في معالجة أكبر فجوة حالية بشكل عملي ومباشر."&amp;IF(J267&lt;&gt;"",CHAR(10)&amp;CHAR(10)&amp;"رابط التقرير: "&amp;J267,"")&amp;CHAR(10)&amp;CHAR(10)&amp;"إذا رغبت، يمكننا توضيح لماذا هذا الكورس هو الأنسب لكم الآن.")</x:f>
      </x:c>
      <x:c r="N267" s="12" t="str">
        <x:f>IF(D267="","",HYPERLINK("https://wa.me/"&amp;REGEXREPLACE(D267,"[^\d]","")&amp;"?text="&amp;ENCODEURL(M267),"واتساب 2"))</x:f>
      </x:c>
      <x:c r="O267" s="12" t="str">
        <x:f>IF(A267="","","مرحبًا "&amp;C267&amp;CHAR(10)&amp;CHAR(10)&amp;"إذا كانت التحديات لديكم تحتاج حلًا أشمل، فالبرنامج الكامل المناسب لكم هو: "&amp;H267&amp;"."&amp;IF(I267&lt;&gt;"",CHAR(10)&amp;"كما يمكنكم أيضًا حجز: "&amp;I267&amp;".","")&amp;IF(J267&lt;&gt;"",CHAR(10)&amp;CHAR(10)&amp;"رابط التقرير: "&amp;J267,"")&amp;CHAR(10)&amp;CHAR(10)&amp;"يسعدنا مساعدتكم في اختيار المسار الأنسب حسب وضع العيادة الحالي.")</x:f>
      </x:c>
      <x:c r="P267" s="12" t="str">
        <x:f>IF(D267="","",HYPERLINK("https://wa.me/"&amp;REGEXREPLACE(D267,"[^\d]","")&amp;"?text="&amp;ENCODEURL(O267),"واتساب 3"))</x:f>
      </x:c>
    </x:row>
    <x:row r="268" ht="15" hidden="0" customHeight="1">
      <x:c r="A268" s="12" t="str">
        <x:f>IF(Leads!A268="","",Leads!A268)</x:f>
      </x:c>
      <x:c r="B268" s="12" t="str">
        <x:f>IF(Leads!F268="","",Leads!F268)</x:f>
      </x:c>
      <x:c r="C268" s="12" t="str">
        <x:f>IF(Leads!G268="","",Leads!G268)</x:f>
      </x:c>
      <x:c r="D268" s="12" t="str">
        <x:f>IF(Leads!O268="","",Leads!O268)</x:f>
      </x:c>
      <x:c r="E268" s="12" t="str">
        <x:f>IF(Leads!AV268="","",Leads!AV268)</x:f>
      </x:c>
      <x:c r="F268" s="12" t="str">
        <x:f>IF(Leads!AX268="","",Leads!AX268)</x:f>
      </x:c>
      <x:c r="G268" s="12" t="str">
        <x:f>IF(Leads!BC268="","",Leads!BC268)</x:f>
      </x:c>
      <x:c r="H268" s="12" t="str">
        <x:f>IF(Leads!BE268="","",Leads!BE268)</x:f>
      </x:c>
      <x:c r="I268" s="12" t="str">
        <x:f>IF(Leads!BG268="","",Leads!BG268)</x:f>
      </x:c>
      <x:c r="J268" s="12" t="str">
        <x:f>IF(Leads!BH268="","",Leads!BH268)</x:f>
      </x:c>
      <x:c r="K268" s="12" t="str">
        <x:f>IF(A268="","","مرحبًا "&amp;C268&amp;CHAR(10)&amp;CHAR(10)&amp;"شكرًا لإتمام تقييم DBD الخاص بعيادة "&amp;B268&amp;"."&amp;CHAR(10)&amp;"نتيجتكم الحالية: "&amp;E268&amp;"%."&amp;CHAR(10)&amp;"أولوية التحسين الأولى: "&amp;F268&amp;"."&amp;IF(J268&lt;&gt;"",CHAR(10)&amp;CHAR(10)&amp;"رابط التقرير: "&amp;J268,"")&amp;CHAR(10)&amp;CHAR(10)&amp;"إذا أحببت، يمكننا مساعدتك في فهم التقرير وتحديد أفضل خطوة تالية لعيادتكم.")</x:f>
      </x:c>
      <x:c r="L268" s="12" t="str">
        <x:f>IF(D268="","",HYPERLINK("https://wa.me/"&amp;REGEXREPLACE(D268,"[^\d]","")&amp;"?text="&amp;ENCODEURL(K268),"واتساب 1"))</x:f>
      </x:c>
      <x:c r="M268" s="12" t="str">
        <x:f>IF(A268="","","مرحبًا "&amp;C268&amp;CHAR(10)&amp;CHAR(10)&amp;"بناءً على نتيجة تقييم عيادة "&amp;B268&amp;"، فإن الترشيح الأقوى لكم الآن هو: "&amp;G268&amp;"."&amp;CHAR(10)&amp;"هذا الخيار يساعدكم في معالجة أكبر فجوة حالية بشكل عملي ومباشر."&amp;IF(J268&lt;&gt;"",CHAR(10)&amp;CHAR(10)&amp;"رابط التقرير: "&amp;J268,"")&amp;CHAR(10)&amp;CHAR(10)&amp;"إذا رغبت، يمكننا توضيح لماذا هذا الكورس هو الأنسب لكم الآن.")</x:f>
      </x:c>
      <x:c r="N268" s="12" t="str">
        <x:f>IF(D268="","",HYPERLINK("https://wa.me/"&amp;REGEXREPLACE(D268,"[^\d]","")&amp;"?text="&amp;ENCODEURL(M268),"واتساب 2"))</x:f>
      </x:c>
      <x:c r="O268" s="12" t="str">
        <x:f>IF(A268="","","مرحبًا "&amp;C268&amp;CHAR(10)&amp;CHAR(10)&amp;"إذا كانت التحديات لديكم تحتاج حلًا أشمل، فالبرنامج الكامل المناسب لكم هو: "&amp;H268&amp;"."&amp;IF(I268&lt;&gt;"",CHAR(10)&amp;"كما يمكنكم أيضًا حجز: "&amp;I268&amp;".","")&amp;IF(J268&lt;&gt;"",CHAR(10)&amp;CHAR(10)&amp;"رابط التقرير: "&amp;J268,"")&amp;CHAR(10)&amp;CHAR(10)&amp;"يسعدنا مساعدتكم في اختيار المسار الأنسب حسب وضع العيادة الحالي.")</x:f>
      </x:c>
      <x:c r="P268" s="12" t="str">
        <x:f>IF(D268="","",HYPERLINK("https://wa.me/"&amp;REGEXREPLACE(D268,"[^\d]","")&amp;"?text="&amp;ENCODEURL(O268),"واتساب 3"))</x:f>
      </x:c>
    </x:row>
    <x:row r="269" ht="15" hidden="0" customHeight="1">
      <x:c r="A269" s="12" t="str">
        <x:f>IF(Leads!A269="","",Leads!A269)</x:f>
      </x:c>
      <x:c r="B269" s="12" t="str">
        <x:f>IF(Leads!F269="","",Leads!F269)</x:f>
      </x:c>
      <x:c r="C269" s="12" t="str">
        <x:f>IF(Leads!G269="","",Leads!G269)</x:f>
      </x:c>
      <x:c r="D269" s="12" t="str">
        <x:f>IF(Leads!O269="","",Leads!O269)</x:f>
      </x:c>
      <x:c r="E269" s="12" t="str">
        <x:f>IF(Leads!AV269="","",Leads!AV269)</x:f>
      </x:c>
      <x:c r="F269" s="12" t="str">
        <x:f>IF(Leads!AX269="","",Leads!AX269)</x:f>
      </x:c>
      <x:c r="G269" s="12" t="str">
        <x:f>IF(Leads!BC269="","",Leads!BC269)</x:f>
      </x:c>
      <x:c r="H269" s="12" t="str">
        <x:f>IF(Leads!BE269="","",Leads!BE269)</x:f>
      </x:c>
      <x:c r="I269" s="12" t="str">
        <x:f>IF(Leads!BG269="","",Leads!BG269)</x:f>
      </x:c>
      <x:c r="J269" s="12" t="str">
        <x:f>IF(Leads!BH269="","",Leads!BH269)</x:f>
      </x:c>
      <x:c r="K269" s="12" t="str">
        <x:f>IF(A269="","","مرحبًا "&amp;C269&amp;CHAR(10)&amp;CHAR(10)&amp;"شكرًا لإتمام تقييم DBD الخاص بعيادة "&amp;B269&amp;"."&amp;CHAR(10)&amp;"نتيجتكم الحالية: "&amp;E269&amp;"%."&amp;CHAR(10)&amp;"أولوية التحسين الأولى: "&amp;F269&amp;"."&amp;IF(J269&lt;&gt;"",CHAR(10)&amp;CHAR(10)&amp;"رابط التقرير: "&amp;J269,"")&amp;CHAR(10)&amp;CHAR(10)&amp;"إذا أحببت، يمكننا مساعدتك في فهم التقرير وتحديد أفضل خطوة تالية لعيادتكم.")</x:f>
      </x:c>
      <x:c r="L269" s="12" t="str">
        <x:f>IF(D269="","",HYPERLINK("https://wa.me/"&amp;REGEXREPLACE(D269,"[^\d]","")&amp;"?text="&amp;ENCODEURL(K269),"واتساب 1"))</x:f>
      </x:c>
      <x:c r="M269" s="12" t="str">
        <x:f>IF(A269="","","مرحبًا "&amp;C269&amp;CHAR(10)&amp;CHAR(10)&amp;"بناءً على نتيجة تقييم عيادة "&amp;B269&amp;"، فإن الترشيح الأقوى لكم الآن هو: "&amp;G269&amp;"."&amp;CHAR(10)&amp;"هذا الخيار يساعدكم في معالجة أكبر فجوة حالية بشكل عملي ومباشر."&amp;IF(J269&lt;&gt;"",CHAR(10)&amp;CHAR(10)&amp;"رابط التقرير: "&amp;J269,"")&amp;CHAR(10)&amp;CHAR(10)&amp;"إذا رغبت، يمكننا توضيح لماذا هذا الكورس هو الأنسب لكم الآن.")</x:f>
      </x:c>
      <x:c r="N269" s="12" t="str">
        <x:f>IF(D269="","",HYPERLINK("https://wa.me/"&amp;REGEXREPLACE(D269,"[^\d]","")&amp;"?text="&amp;ENCODEURL(M269),"واتساب 2"))</x:f>
      </x:c>
      <x:c r="O269" s="12" t="str">
        <x:f>IF(A269="","","مرحبًا "&amp;C269&amp;CHAR(10)&amp;CHAR(10)&amp;"إذا كانت التحديات لديكم تحتاج حلًا أشمل، فالبرنامج الكامل المناسب لكم هو: "&amp;H269&amp;"."&amp;IF(I269&lt;&gt;"",CHAR(10)&amp;"كما يمكنكم أيضًا حجز: "&amp;I269&amp;".","")&amp;IF(J269&lt;&gt;"",CHAR(10)&amp;CHAR(10)&amp;"رابط التقرير: "&amp;J269,"")&amp;CHAR(10)&amp;CHAR(10)&amp;"يسعدنا مساعدتكم في اختيار المسار الأنسب حسب وضع العيادة الحالي.")</x:f>
      </x:c>
      <x:c r="P269" s="12" t="str">
        <x:f>IF(D269="","",HYPERLINK("https://wa.me/"&amp;REGEXREPLACE(D269,"[^\d]","")&amp;"?text="&amp;ENCODEURL(O269),"واتساب 3"))</x:f>
      </x:c>
    </x:row>
    <x:row r="270" ht="15" hidden="0" customHeight="1">
      <x:c r="A270" s="12" t="str">
        <x:f>IF(Leads!A270="","",Leads!A270)</x:f>
      </x:c>
      <x:c r="B270" s="12" t="str">
        <x:f>IF(Leads!F270="","",Leads!F270)</x:f>
      </x:c>
      <x:c r="C270" s="12" t="str">
        <x:f>IF(Leads!G270="","",Leads!G270)</x:f>
      </x:c>
      <x:c r="D270" s="12" t="str">
        <x:f>IF(Leads!O270="","",Leads!O270)</x:f>
      </x:c>
      <x:c r="E270" s="12" t="str">
        <x:f>IF(Leads!AV270="","",Leads!AV270)</x:f>
      </x:c>
      <x:c r="F270" s="12" t="str">
        <x:f>IF(Leads!AX270="","",Leads!AX270)</x:f>
      </x:c>
      <x:c r="G270" s="12" t="str">
        <x:f>IF(Leads!BC270="","",Leads!BC270)</x:f>
      </x:c>
      <x:c r="H270" s="12" t="str">
        <x:f>IF(Leads!BE270="","",Leads!BE270)</x:f>
      </x:c>
      <x:c r="I270" s="12" t="str">
        <x:f>IF(Leads!BG270="","",Leads!BG270)</x:f>
      </x:c>
      <x:c r="J270" s="12" t="str">
        <x:f>IF(Leads!BH270="","",Leads!BH270)</x:f>
      </x:c>
      <x:c r="K270" s="12" t="str">
        <x:f>IF(A270="","","مرحبًا "&amp;C270&amp;CHAR(10)&amp;CHAR(10)&amp;"شكرًا لإتمام تقييم DBD الخاص بعيادة "&amp;B270&amp;"."&amp;CHAR(10)&amp;"نتيجتكم الحالية: "&amp;E270&amp;"%."&amp;CHAR(10)&amp;"أولوية التحسين الأولى: "&amp;F270&amp;"."&amp;IF(J270&lt;&gt;"",CHAR(10)&amp;CHAR(10)&amp;"رابط التقرير: "&amp;J270,"")&amp;CHAR(10)&amp;CHAR(10)&amp;"إذا أحببت، يمكننا مساعدتك في فهم التقرير وتحديد أفضل خطوة تالية لعيادتكم.")</x:f>
      </x:c>
      <x:c r="L270" s="12" t="str">
        <x:f>IF(D270="","",HYPERLINK("https://wa.me/"&amp;REGEXREPLACE(D270,"[^\d]","")&amp;"?text="&amp;ENCODEURL(K270),"واتساب 1"))</x:f>
      </x:c>
      <x:c r="M270" s="12" t="str">
        <x:f>IF(A270="","","مرحبًا "&amp;C270&amp;CHAR(10)&amp;CHAR(10)&amp;"بناءً على نتيجة تقييم عيادة "&amp;B270&amp;"، فإن الترشيح الأقوى لكم الآن هو: "&amp;G270&amp;"."&amp;CHAR(10)&amp;"هذا الخيار يساعدكم في معالجة أكبر فجوة حالية بشكل عملي ومباشر."&amp;IF(J270&lt;&gt;"",CHAR(10)&amp;CHAR(10)&amp;"رابط التقرير: "&amp;J270,"")&amp;CHAR(10)&amp;CHAR(10)&amp;"إذا رغبت، يمكننا توضيح لماذا هذا الكورس هو الأنسب لكم الآن.")</x:f>
      </x:c>
      <x:c r="N270" s="12" t="str">
        <x:f>IF(D270="","",HYPERLINK("https://wa.me/"&amp;REGEXREPLACE(D270,"[^\d]","")&amp;"?text="&amp;ENCODEURL(M270),"واتساب 2"))</x:f>
      </x:c>
      <x:c r="O270" s="12" t="str">
        <x:f>IF(A270="","","مرحبًا "&amp;C270&amp;CHAR(10)&amp;CHAR(10)&amp;"إذا كانت التحديات لديكم تحتاج حلًا أشمل، فالبرنامج الكامل المناسب لكم هو: "&amp;H270&amp;"."&amp;IF(I270&lt;&gt;"",CHAR(10)&amp;"كما يمكنكم أيضًا حجز: "&amp;I270&amp;".","")&amp;IF(J270&lt;&gt;"",CHAR(10)&amp;CHAR(10)&amp;"رابط التقرير: "&amp;J270,"")&amp;CHAR(10)&amp;CHAR(10)&amp;"يسعدنا مساعدتكم في اختيار المسار الأنسب حسب وضع العيادة الحالي.")</x:f>
      </x:c>
      <x:c r="P270" s="12" t="str">
        <x:f>IF(D270="","",HYPERLINK("https://wa.me/"&amp;REGEXREPLACE(D270,"[^\d]","")&amp;"?text="&amp;ENCODEURL(O270),"واتساب 3"))</x:f>
      </x:c>
    </x:row>
    <x:row r="271" ht="15" hidden="0" customHeight="1">
      <x:c r="A271" s="12" t="str">
        <x:f>IF(Leads!A271="","",Leads!A271)</x:f>
      </x:c>
      <x:c r="B271" s="12" t="str">
        <x:f>IF(Leads!F271="","",Leads!F271)</x:f>
      </x:c>
      <x:c r="C271" s="12" t="str">
        <x:f>IF(Leads!G271="","",Leads!G271)</x:f>
      </x:c>
      <x:c r="D271" s="12" t="str">
        <x:f>IF(Leads!O271="","",Leads!O271)</x:f>
      </x:c>
      <x:c r="E271" s="12" t="str">
        <x:f>IF(Leads!AV271="","",Leads!AV271)</x:f>
      </x:c>
      <x:c r="F271" s="12" t="str">
        <x:f>IF(Leads!AX271="","",Leads!AX271)</x:f>
      </x:c>
      <x:c r="G271" s="12" t="str">
        <x:f>IF(Leads!BC271="","",Leads!BC271)</x:f>
      </x:c>
      <x:c r="H271" s="12" t="str">
        <x:f>IF(Leads!BE271="","",Leads!BE271)</x:f>
      </x:c>
      <x:c r="I271" s="12" t="str">
        <x:f>IF(Leads!BG271="","",Leads!BG271)</x:f>
      </x:c>
      <x:c r="J271" s="12" t="str">
        <x:f>IF(Leads!BH271="","",Leads!BH271)</x:f>
      </x:c>
      <x:c r="K271" s="12" t="str">
        <x:f>IF(A271="","","مرحبًا "&amp;C271&amp;CHAR(10)&amp;CHAR(10)&amp;"شكرًا لإتمام تقييم DBD الخاص بعيادة "&amp;B271&amp;"."&amp;CHAR(10)&amp;"نتيجتكم الحالية: "&amp;E271&amp;"%."&amp;CHAR(10)&amp;"أولوية التحسين الأولى: "&amp;F271&amp;"."&amp;IF(J271&lt;&gt;"",CHAR(10)&amp;CHAR(10)&amp;"رابط التقرير: "&amp;J271,"")&amp;CHAR(10)&amp;CHAR(10)&amp;"إذا أحببت، يمكننا مساعدتك في فهم التقرير وتحديد أفضل خطوة تالية لعيادتكم.")</x:f>
      </x:c>
      <x:c r="L271" s="12" t="str">
        <x:f>IF(D271="","",HYPERLINK("https://wa.me/"&amp;REGEXREPLACE(D271,"[^\d]","")&amp;"?text="&amp;ENCODEURL(K271),"واتساب 1"))</x:f>
      </x:c>
      <x:c r="M271" s="12" t="str">
        <x:f>IF(A271="","","مرحبًا "&amp;C271&amp;CHAR(10)&amp;CHAR(10)&amp;"بناءً على نتيجة تقييم عيادة "&amp;B271&amp;"، فإن الترشيح الأقوى لكم الآن هو: "&amp;G271&amp;"."&amp;CHAR(10)&amp;"هذا الخيار يساعدكم في معالجة أكبر فجوة حالية بشكل عملي ومباشر."&amp;IF(J271&lt;&gt;"",CHAR(10)&amp;CHAR(10)&amp;"رابط التقرير: "&amp;J271,"")&amp;CHAR(10)&amp;CHAR(10)&amp;"إذا رغبت، يمكننا توضيح لماذا هذا الكورس هو الأنسب لكم الآن.")</x:f>
      </x:c>
      <x:c r="N271" s="12" t="str">
        <x:f>IF(D271="","",HYPERLINK("https://wa.me/"&amp;REGEXREPLACE(D271,"[^\d]","")&amp;"?text="&amp;ENCODEURL(M271),"واتساب 2"))</x:f>
      </x:c>
      <x:c r="O271" s="12" t="str">
        <x:f>IF(A271="","","مرحبًا "&amp;C271&amp;CHAR(10)&amp;CHAR(10)&amp;"إذا كانت التحديات لديكم تحتاج حلًا أشمل، فالبرنامج الكامل المناسب لكم هو: "&amp;H271&amp;"."&amp;IF(I271&lt;&gt;"",CHAR(10)&amp;"كما يمكنكم أيضًا حجز: "&amp;I271&amp;".","")&amp;IF(J271&lt;&gt;"",CHAR(10)&amp;CHAR(10)&amp;"رابط التقرير: "&amp;J271,"")&amp;CHAR(10)&amp;CHAR(10)&amp;"يسعدنا مساعدتكم في اختيار المسار الأنسب حسب وضع العيادة الحالي.")</x:f>
      </x:c>
      <x:c r="P271" s="12" t="str">
        <x:f>IF(D271="","",HYPERLINK("https://wa.me/"&amp;REGEXREPLACE(D271,"[^\d]","")&amp;"?text="&amp;ENCODEURL(O271),"واتساب 3"))</x:f>
      </x:c>
    </x:row>
    <x:row r="272" ht="15" hidden="0" customHeight="1">
      <x:c r="A272" s="12" t="str">
        <x:f>IF(Leads!A272="","",Leads!A272)</x:f>
      </x:c>
      <x:c r="B272" s="12" t="str">
        <x:f>IF(Leads!F272="","",Leads!F272)</x:f>
      </x:c>
      <x:c r="C272" s="12" t="str">
        <x:f>IF(Leads!G272="","",Leads!G272)</x:f>
      </x:c>
      <x:c r="D272" s="12" t="str">
        <x:f>IF(Leads!O272="","",Leads!O272)</x:f>
      </x:c>
      <x:c r="E272" s="12" t="str">
        <x:f>IF(Leads!AV272="","",Leads!AV272)</x:f>
      </x:c>
      <x:c r="F272" s="12" t="str">
        <x:f>IF(Leads!AX272="","",Leads!AX272)</x:f>
      </x:c>
      <x:c r="G272" s="12" t="str">
        <x:f>IF(Leads!BC272="","",Leads!BC272)</x:f>
      </x:c>
      <x:c r="H272" s="12" t="str">
        <x:f>IF(Leads!BE272="","",Leads!BE272)</x:f>
      </x:c>
      <x:c r="I272" s="12" t="str">
        <x:f>IF(Leads!BG272="","",Leads!BG272)</x:f>
      </x:c>
      <x:c r="J272" s="12" t="str">
        <x:f>IF(Leads!BH272="","",Leads!BH272)</x:f>
      </x:c>
      <x:c r="K272" s="12" t="str">
        <x:f>IF(A272="","","مرحبًا "&amp;C272&amp;CHAR(10)&amp;CHAR(10)&amp;"شكرًا لإتمام تقييم DBD الخاص بعيادة "&amp;B272&amp;"."&amp;CHAR(10)&amp;"نتيجتكم الحالية: "&amp;E272&amp;"%."&amp;CHAR(10)&amp;"أولوية التحسين الأولى: "&amp;F272&amp;"."&amp;IF(J272&lt;&gt;"",CHAR(10)&amp;CHAR(10)&amp;"رابط التقرير: "&amp;J272,"")&amp;CHAR(10)&amp;CHAR(10)&amp;"إذا أحببت، يمكننا مساعدتك في فهم التقرير وتحديد أفضل خطوة تالية لعيادتكم.")</x:f>
      </x:c>
      <x:c r="L272" s="12" t="str">
        <x:f>IF(D272="","",HYPERLINK("https://wa.me/"&amp;REGEXREPLACE(D272,"[^\d]","")&amp;"?text="&amp;ENCODEURL(K272),"واتساب 1"))</x:f>
      </x:c>
      <x:c r="M272" s="12" t="str">
        <x:f>IF(A272="","","مرحبًا "&amp;C272&amp;CHAR(10)&amp;CHAR(10)&amp;"بناءً على نتيجة تقييم عيادة "&amp;B272&amp;"، فإن الترشيح الأقوى لكم الآن هو: "&amp;G272&amp;"."&amp;CHAR(10)&amp;"هذا الخيار يساعدكم في معالجة أكبر فجوة حالية بشكل عملي ومباشر."&amp;IF(J272&lt;&gt;"",CHAR(10)&amp;CHAR(10)&amp;"رابط التقرير: "&amp;J272,"")&amp;CHAR(10)&amp;CHAR(10)&amp;"إذا رغبت، يمكننا توضيح لماذا هذا الكورس هو الأنسب لكم الآن.")</x:f>
      </x:c>
      <x:c r="N272" s="12" t="str">
        <x:f>IF(D272="","",HYPERLINK("https://wa.me/"&amp;REGEXREPLACE(D272,"[^\d]","")&amp;"?text="&amp;ENCODEURL(M272),"واتساب 2"))</x:f>
      </x:c>
      <x:c r="O272" s="12" t="str">
        <x:f>IF(A272="","","مرحبًا "&amp;C272&amp;CHAR(10)&amp;CHAR(10)&amp;"إذا كانت التحديات لديكم تحتاج حلًا أشمل، فالبرنامج الكامل المناسب لكم هو: "&amp;H272&amp;"."&amp;IF(I272&lt;&gt;"",CHAR(10)&amp;"كما يمكنكم أيضًا حجز: "&amp;I272&amp;".","")&amp;IF(J272&lt;&gt;"",CHAR(10)&amp;CHAR(10)&amp;"رابط التقرير: "&amp;J272,"")&amp;CHAR(10)&amp;CHAR(10)&amp;"يسعدنا مساعدتكم في اختيار المسار الأنسب حسب وضع العيادة الحالي.")</x:f>
      </x:c>
      <x:c r="P272" s="12" t="str">
        <x:f>IF(D272="","",HYPERLINK("https://wa.me/"&amp;REGEXREPLACE(D272,"[^\d]","")&amp;"?text="&amp;ENCODEURL(O272),"واتساب 3"))</x:f>
      </x:c>
    </x:row>
    <x:row r="273" ht="15" hidden="0" customHeight="1">
      <x:c r="A273" s="12" t="str">
        <x:f>IF(Leads!A273="","",Leads!A273)</x:f>
      </x:c>
      <x:c r="B273" s="12" t="str">
        <x:f>IF(Leads!F273="","",Leads!F273)</x:f>
      </x:c>
      <x:c r="C273" s="12" t="str">
        <x:f>IF(Leads!G273="","",Leads!G273)</x:f>
      </x:c>
      <x:c r="D273" s="12" t="str">
        <x:f>IF(Leads!O273="","",Leads!O273)</x:f>
      </x:c>
      <x:c r="E273" s="12" t="str">
        <x:f>IF(Leads!AV273="","",Leads!AV273)</x:f>
      </x:c>
      <x:c r="F273" s="12" t="str">
        <x:f>IF(Leads!AX273="","",Leads!AX273)</x:f>
      </x:c>
      <x:c r="G273" s="12" t="str">
        <x:f>IF(Leads!BC273="","",Leads!BC273)</x:f>
      </x:c>
      <x:c r="H273" s="12" t="str">
        <x:f>IF(Leads!BE273="","",Leads!BE273)</x:f>
      </x:c>
      <x:c r="I273" s="12" t="str">
        <x:f>IF(Leads!BG273="","",Leads!BG273)</x:f>
      </x:c>
      <x:c r="J273" s="12" t="str">
        <x:f>IF(Leads!BH273="","",Leads!BH273)</x:f>
      </x:c>
      <x:c r="K273" s="12" t="str">
        <x:f>IF(A273="","","مرحبًا "&amp;C273&amp;CHAR(10)&amp;CHAR(10)&amp;"شكرًا لإتمام تقييم DBD الخاص بعيادة "&amp;B273&amp;"."&amp;CHAR(10)&amp;"نتيجتكم الحالية: "&amp;E273&amp;"%."&amp;CHAR(10)&amp;"أولوية التحسين الأولى: "&amp;F273&amp;"."&amp;IF(J273&lt;&gt;"",CHAR(10)&amp;CHAR(10)&amp;"رابط التقرير: "&amp;J273,"")&amp;CHAR(10)&amp;CHAR(10)&amp;"إذا أحببت، يمكننا مساعدتك في فهم التقرير وتحديد أفضل خطوة تالية لعيادتكم.")</x:f>
      </x:c>
      <x:c r="L273" s="12" t="str">
        <x:f>IF(D273="","",HYPERLINK("https://wa.me/"&amp;REGEXREPLACE(D273,"[^\d]","")&amp;"?text="&amp;ENCODEURL(K273),"واتساب 1"))</x:f>
      </x:c>
      <x:c r="M273" s="12" t="str">
        <x:f>IF(A273="","","مرحبًا "&amp;C273&amp;CHAR(10)&amp;CHAR(10)&amp;"بناءً على نتيجة تقييم عيادة "&amp;B273&amp;"، فإن الترشيح الأقوى لكم الآن هو: "&amp;G273&amp;"."&amp;CHAR(10)&amp;"هذا الخيار يساعدكم في معالجة أكبر فجوة حالية بشكل عملي ومباشر."&amp;IF(J273&lt;&gt;"",CHAR(10)&amp;CHAR(10)&amp;"رابط التقرير: "&amp;J273,"")&amp;CHAR(10)&amp;CHAR(10)&amp;"إذا رغبت، يمكننا توضيح لماذا هذا الكورس هو الأنسب لكم الآن.")</x:f>
      </x:c>
      <x:c r="N273" s="12" t="str">
        <x:f>IF(D273="","",HYPERLINK("https://wa.me/"&amp;REGEXREPLACE(D273,"[^\d]","")&amp;"?text="&amp;ENCODEURL(M273),"واتساب 2"))</x:f>
      </x:c>
      <x:c r="O273" s="12" t="str">
        <x:f>IF(A273="","","مرحبًا "&amp;C273&amp;CHAR(10)&amp;CHAR(10)&amp;"إذا كانت التحديات لديكم تحتاج حلًا أشمل، فالبرنامج الكامل المناسب لكم هو: "&amp;H273&amp;"."&amp;IF(I273&lt;&gt;"",CHAR(10)&amp;"كما يمكنكم أيضًا حجز: "&amp;I273&amp;".","")&amp;IF(J273&lt;&gt;"",CHAR(10)&amp;CHAR(10)&amp;"رابط التقرير: "&amp;J273,"")&amp;CHAR(10)&amp;CHAR(10)&amp;"يسعدنا مساعدتكم في اختيار المسار الأنسب حسب وضع العيادة الحالي.")</x:f>
      </x:c>
      <x:c r="P273" s="12" t="str">
        <x:f>IF(D273="","",HYPERLINK("https://wa.me/"&amp;REGEXREPLACE(D273,"[^\d]","")&amp;"?text="&amp;ENCODEURL(O273),"واتساب 3"))</x:f>
      </x:c>
    </x:row>
    <x:row r="274" ht="15" hidden="0" customHeight="1">
      <x:c r="A274" s="12" t="str">
        <x:f>IF(Leads!A274="","",Leads!A274)</x:f>
      </x:c>
      <x:c r="B274" s="12" t="str">
        <x:f>IF(Leads!F274="","",Leads!F274)</x:f>
      </x:c>
      <x:c r="C274" s="12" t="str">
        <x:f>IF(Leads!G274="","",Leads!G274)</x:f>
      </x:c>
      <x:c r="D274" s="12" t="str">
        <x:f>IF(Leads!O274="","",Leads!O274)</x:f>
      </x:c>
      <x:c r="E274" s="12" t="str">
        <x:f>IF(Leads!AV274="","",Leads!AV274)</x:f>
      </x:c>
      <x:c r="F274" s="12" t="str">
        <x:f>IF(Leads!AX274="","",Leads!AX274)</x:f>
      </x:c>
      <x:c r="G274" s="12" t="str">
        <x:f>IF(Leads!BC274="","",Leads!BC274)</x:f>
      </x:c>
      <x:c r="H274" s="12" t="str">
        <x:f>IF(Leads!BE274="","",Leads!BE274)</x:f>
      </x:c>
      <x:c r="I274" s="12" t="str">
        <x:f>IF(Leads!BG274="","",Leads!BG274)</x:f>
      </x:c>
      <x:c r="J274" s="12" t="str">
        <x:f>IF(Leads!BH274="","",Leads!BH274)</x:f>
      </x:c>
      <x:c r="K274" s="12" t="str">
        <x:f>IF(A274="","","مرحبًا "&amp;C274&amp;CHAR(10)&amp;CHAR(10)&amp;"شكرًا لإتمام تقييم DBD الخاص بعيادة "&amp;B274&amp;"."&amp;CHAR(10)&amp;"نتيجتكم الحالية: "&amp;E274&amp;"%."&amp;CHAR(10)&amp;"أولوية التحسين الأولى: "&amp;F274&amp;"."&amp;IF(J274&lt;&gt;"",CHAR(10)&amp;CHAR(10)&amp;"رابط التقرير: "&amp;J274,"")&amp;CHAR(10)&amp;CHAR(10)&amp;"إذا أحببت، يمكننا مساعدتك في فهم التقرير وتحديد أفضل خطوة تالية لعيادتكم.")</x:f>
      </x:c>
      <x:c r="L274" s="12" t="str">
        <x:f>IF(D274="","",HYPERLINK("https://wa.me/"&amp;REGEXREPLACE(D274,"[^\d]","")&amp;"?text="&amp;ENCODEURL(K274),"واتساب 1"))</x:f>
      </x:c>
      <x:c r="M274" s="12" t="str">
        <x:f>IF(A274="","","مرحبًا "&amp;C274&amp;CHAR(10)&amp;CHAR(10)&amp;"بناءً على نتيجة تقييم عيادة "&amp;B274&amp;"، فإن الترشيح الأقوى لكم الآن هو: "&amp;G274&amp;"."&amp;CHAR(10)&amp;"هذا الخيار يساعدكم في معالجة أكبر فجوة حالية بشكل عملي ومباشر."&amp;IF(J274&lt;&gt;"",CHAR(10)&amp;CHAR(10)&amp;"رابط التقرير: "&amp;J274,"")&amp;CHAR(10)&amp;CHAR(10)&amp;"إذا رغبت، يمكننا توضيح لماذا هذا الكورس هو الأنسب لكم الآن.")</x:f>
      </x:c>
      <x:c r="N274" s="12" t="str">
        <x:f>IF(D274="","",HYPERLINK("https://wa.me/"&amp;REGEXREPLACE(D274,"[^\d]","")&amp;"?text="&amp;ENCODEURL(M274),"واتساب 2"))</x:f>
      </x:c>
      <x:c r="O274" s="12" t="str">
        <x:f>IF(A274="","","مرحبًا "&amp;C274&amp;CHAR(10)&amp;CHAR(10)&amp;"إذا كانت التحديات لديكم تحتاج حلًا أشمل، فالبرنامج الكامل المناسب لكم هو: "&amp;H274&amp;"."&amp;IF(I274&lt;&gt;"",CHAR(10)&amp;"كما يمكنكم أيضًا حجز: "&amp;I274&amp;".","")&amp;IF(J274&lt;&gt;"",CHAR(10)&amp;CHAR(10)&amp;"رابط التقرير: "&amp;J274,"")&amp;CHAR(10)&amp;CHAR(10)&amp;"يسعدنا مساعدتكم في اختيار المسار الأنسب حسب وضع العيادة الحالي.")</x:f>
      </x:c>
      <x:c r="P274" s="12" t="str">
        <x:f>IF(D274="","",HYPERLINK("https://wa.me/"&amp;REGEXREPLACE(D274,"[^\d]","")&amp;"?text="&amp;ENCODEURL(O274),"واتساب 3"))</x:f>
      </x:c>
    </x:row>
    <x:row r="275" ht="15" hidden="0" customHeight="1">
      <x:c r="A275" s="12" t="str">
        <x:f>IF(Leads!A275="","",Leads!A275)</x:f>
      </x:c>
      <x:c r="B275" s="12" t="str">
        <x:f>IF(Leads!F275="","",Leads!F275)</x:f>
      </x:c>
      <x:c r="C275" s="12" t="str">
        <x:f>IF(Leads!G275="","",Leads!G275)</x:f>
      </x:c>
      <x:c r="D275" s="12" t="str">
        <x:f>IF(Leads!O275="","",Leads!O275)</x:f>
      </x:c>
      <x:c r="E275" s="12" t="str">
        <x:f>IF(Leads!AV275="","",Leads!AV275)</x:f>
      </x:c>
      <x:c r="F275" s="12" t="str">
        <x:f>IF(Leads!AX275="","",Leads!AX275)</x:f>
      </x:c>
      <x:c r="G275" s="12" t="str">
        <x:f>IF(Leads!BC275="","",Leads!BC275)</x:f>
      </x:c>
      <x:c r="H275" s="12" t="str">
        <x:f>IF(Leads!BE275="","",Leads!BE275)</x:f>
      </x:c>
      <x:c r="I275" s="12" t="str">
        <x:f>IF(Leads!BG275="","",Leads!BG275)</x:f>
      </x:c>
      <x:c r="J275" s="12" t="str">
        <x:f>IF(Leads!BH275="","",Leads!BH275)</x:f>
      </x:c>
      <x:c r="K275" s="12" t="str">
        <x:f>IF(A275="","","مرحبًا "&amp;C275&amp;CHAR(10)&amp;CHAR(10)&amp;"شكرًا لإتمام تقييم DBD الخاص بعيادة "&amp;B275&amp;"."&amp;CHAR(10)&amp;"نتيجتكم الحالية: "&amp;E275&amp;"%."&amp;CHAR(10)&amp;"أولوية التحسين الأولى: "&amp;F275&amp;"."&amp;IF(J275&lt;&gt;"",CHAR(10)&amp;CHAR(10)&amp;"رابط التقرير: "&amp;J275,"")&amp;CHAR(10)&amp;CHAR(10)&amp;"إذا أحببت، يمكننا مساعدتك في فهم التقرير وتحديد أفضل خطوة تالية لعيادتكم.")</x:f>
      </x:c>
      <x:c r="L275" s="12" t="str">
        <x:f>IF(D275="","",HYPERLINK("https://wa.me/"&amp;REGEXREPLACE(D275,"[^\d]","")&amp;"?text="&amp;ENCODEURL(K275),"واتساب 1"))</x:f>
      </x:c>
      <x:c r="M275" s="12" t="str">
        <x:f>IF(A275="","","مرحبًا "&amp;C275&amp;CHAR(10)&amp;CHAR(10)&amp;"بناءً على نتيجة تقييم عيادة "&amp;B275&amp;"، فإن الترشيح الأقوى لكم الآن هو: "&amp;G275&amp;"."&amp;CHAR(10)&amp;"هذا الخيار يساعدكم في معالجة أكبر فجوة حالية بشكل عملي ومباشر."&amp;IF(J275&lt;&gt;"",CHAR(10)&amp;CHAR(10)&amp;"رابط التقرير: "&amp;J275,"")&amp;CHAR(10)&amp;CHAR(10)&amp;"إذا رغبت، يمكننا توضيح لماذا هذا الكورس هو الأنسب لكم الآن.")</x:f>
      </x:c>
      <x:c r="N275" s="12" t="str">
        <x:f>IF(D275="","",HYPERLINK("https://wa.me/"&amp;REGEXREPLACE(D275,"[^\d]","")&amp;"?text="&amp;ENCODEURL(M275),"واتساب 2"))</x:f>
      </x:c>
      <x:c r="O275" s="12" t="str">
        <x:f>IF(A275="","","مرحبًا "&amp;C275&amp;CHAR(10)&amp;CHAR(10)&amp;"إذا كانت التحديات لديكم تحتاج حلًا أشمل، فالبرنامج الكامل المناسب لكم هو: "&amp;H275&amp;"."&amp;IF(I275&lt;&gt;"",CHAR(10)&amp;"كما يمكنكم أيضًا حجز: "&amp;I275&amp;".","")&amp;IF(J275&lt;&gt;"",CHAR(10)&amp;CHAR(10)&amp;"رابط التقرير: "&amp;J275,"")&amp;CHAR(10)&amp;CHAR(10)&amp;"يسعدنا مساعدتكم في اختيار المسار الأنسب حسب وضع العيادة الحالي.")</x:f>
      </x:c>
      <x:c r="P275" s="12" t="str">
        <x:f>IF(D275="","",HYPERLINK("https://wa.me/"&amp;REGEXREPLACE(D275,"[^\d]","")&amp;"?text="&amp;ENCODEURL(O275),"واتساب 3"))</x:f>
      </x:c>
    </x:row>
    <x:row r="276" ht="15" hidden="0" customHeight="1">
      <x:c r="A276" s="12" t="str">
        <x:f>IF(Leads!A276="","",Leads!A276)</x:f>
      </x:c>
      <x:c r="B276" s="12" t="str">
        <x:f>IF(Leads!F276="","",Leads!F276)</x:f>
      </x:c>
      <x:c r="C276" s="12" t="str">
        <x:f>IF(Leads!G276="","",Leads!G276)</x:f>
      </x:c>
      <x:c r="D276" s="12" t="str">
        <x:f>IF(Leads!O276="","",Leads!O276)</x:f>
      </x:c>
      <x:c r="E276" s="12" t="str">
        <x:f>IF(Leads!AV276="","",Leads!AV276)</x:f>
      </x:c>
      <x:c r="F276" s="12" t="str">
        <x:f>IF(Leads!AX276="","",Leads!AX276)</x:f>
      </x:c>
      <x:c r="G276" s="12" t="str">
        <x:f>IF(Leads!BC276="","",Leads!BC276)</x:f>
      </x:c>
      <x:c r="H276" s="12" t="str">
        <x:f>IF(Leads!BE276="","",Leads!BE276)</x:f>
      </x:c>
      <x:c r="I276" s="12" t="str">
        <x:f>IF(Leads!BG276="","",Leads!BG276)</x:f>
      </x:c>
      <x:c r="J276" s="12" t="str">
        <x:f>IF(Leads!BH276="","",Leads!BH276)</x:f>
      </x:c>
      <x:c r="K276" s="12" t="str">
        <x:f>IF(A276="","","مرحبًا "&amp;C276&amp;CHAR(10)&amp;CHAR(10)&amp;"شكرًا لإتمام تقييم DBD الخاص بعيادة "&amp;B276&amp;"."&amp;CHAR(10)&amp;"نتيجتكم الحالية: "&amp;E276&amp;"%."&amp;CHAR(10)&amp;"أولوية التحسين الأولى: "&amp;F276&amp;"."&amp;IF(J276&lt;&gt;"",CHAR(10)&amp;CHAR(10)&amp;"رابط التقرير: "&amp;J276,"")&amp;CHAR(10)&amp;CHAR(10)&amp;"إذا أحببت، يمكننا مساعدتك في فهم التقرير وتحديد أفضل خطوة تالية لعيادتكم.")</x:f>
      </x:c>
      <x:c r="L276" s="12" t="str">
        <x:f>IF(D276="","",HYPERLINK("https://wa.me/"&amp;REGEXREPLACE(D276,"[^\d]","")&amp;"?text="&amp;ENCODEURL(K276),"واتساب 1"))</x:f>
      </x:c>
      <x:c r="M276" s="12" t="str">
        <x:f>IF(A276="","","مرحبًا "&amp;C276&amp;CHAR(10)&amp;CHAR(10)&amp;"بناءً على نتيجة تقييم عيادة "&amp;B276&amp;"، فإن الترشيح الأقوى لكم الآن هو: "&amp;G276&amp;"."&amp;CHAR(10)&amp;"هذا الخيار يساعدكم في معالجة أكبر فجوة حالية بشكل عملي ومباشر."&amp;IF(J276&lt;&gt;"",CHAR(10)&amp;CHAR(10)&amp;"رابط التقرير: "&amp;J276,"")&amp;CHAR(10)&amp;CHAR(10)&amp;"إذا رغبت، يمكننا توضيح لماذا هذا الكورس هو الأنسب لكم الآن.")</x:f>
      </x:c>
      <x:c r="N276" s="12" t="str">
        <x:f>IF(D276="","",HYPERLINK("https://wa.me/"&amp;REGEXREPLACE(D276,"[^\d]","")&amp;"?text="&amp;ENCODEURL(M276),"واتساب 2"))</x:f>
      </x:c>
      <x:c r="O276" s="12" t="str">
        <x:f>IF(A276="","","مرحبًا "&amp;C276&amp;CHAR(10)&amp;CHAR(10)&amp;"إذا كانت التحديات لديكم تحتاج حلًا أشمل، فالبرنامج الكامل المناسب لكم هو: "&amp;H276&amp;"."&amp;IF(I276&lt;&gt;"",CHAR(10)&amp;"كما يمكنكم أيضًا حجز: "&amp;I276&amp;".","")&amp;IF(J276&lt;&gt;"",CHAR(10)&amp;CHAR(10)&amp;"رابط التقرير: "&amp;J276,"")&amp;CHAR(10)&amp;CHAR(10)&amp;"يسعدنا مساعدتكم في اختيار المسار الأنسب حسب وضع العيادة الحالي.")</x:f>
      </x:c>
      <x:c r="P276" s="12" t="str">
        <x:f>IF(D276="","",HYPERLINK("https://wa.me/"&amp;REGEXREPLACE(D276,"[^\d]","")&amp;"?text="&amp;ENCODEURL(O276),"واتساب 3"))</x:f>
      </x:c>
    </x:row>
    <x:row r="277" ht="15" hidden="0" customHeight="1">
      <x:c r="A277" s="12" t="str">
        <x:f>IF(Leads!A277="","",Leads!A277)</x:f>
      </x:c>
      <x:c r="B277" s="12" t="str">
        <x:f>IF(Leads!F277="","",Leads!F277)</x:f>
      </x:c>
      <x:c r="C277" s="12" t="str">
        <x:f>IF(Leads!G277="","",Leads!G277)</x:f>
      </x:c>
      <x:c r="D277" s="12" t="str">
        <x:f>IF(Leads!O277="","",Leads!O277)</x:f>
      </x:c>
      <x:c r="E277" s="12" t="str">
        <x:f>IF(Leads!AV277="","",Leads!AV277)</x:f>
      </x:c>
      <x:c r="F277" s="12" t="str">
        <x:f>IF(Leads!AX277="","",Leads!AX277)</x:f>
      </x:c>
      <x:c r="G277" s="12" t="str">
        <x:f>IF(Leads!BC277="","",Leads!BC277)</x:f>
      </x:c>
      <x:c r="H277" s="12" t="str">
        <x:f>IF(Leads!BE277="","",Leads!BE277)</x:f>
      </x:c>
      <x:c r="I277" s="12" t="str">
        <x:f>IF(Leads!BG277="","",Leads!BG277)</x:f>
      </x:c>
      <x:c r="J277" s="12" t="str">
        <x:f>IF(Leads!BH277="","",Leads!BH277)</x:f>
      </x:c>
      <x:c r="K277" s="12" t="str">
        <x:f>IF(A277="","","مرحبًا "&amp;C277&amp;CHAR(10)&amp;CHAR(10)&amp;"شكرًا لإتمام تقييم DBD الخاص بعيادة "&amp;B277&amp;"."&amp;CHAR(10)&amp;"نتيجتكم الحالية: "&amp;E277&amp;"%."&amp;CHAR(10)&amp;"أولوية التحسين الأولى: "&amp;F277&amp;"."&amp;IF(J277&lt;&gt;"",CHAR(10)&amp;CHAR(10)&amp;"رابط التقرير: "&amp;J277,"")&amp;CHAR(10)&amp;CHAR(10)&amp;"إذا أحببت، يمكننا مساعدتك في فهم التقرير وتحديد أفضل خطوة تالية لعيادتكم.")</x:f>
      </x:c>
      <x:c r="L277" s="12" t="str">
        <x:f>IF(D277="","",HYPERLINK("https://wa.me/"&amp;REGEXREPLACE(D277,"[^\d]","")&amp;"?text="&amp;ENCODEURL(K277),"واتساب 1"))</x:f>
      </x:c>
      <x:c r="M277" s="12" t="str">
        <x:f>IF(A277="","","مرحبًا "&amp;C277&amp;CHAR(10)&amp;CHAR(10)&amp;"بناءً على نتيجة تقييم عيادة "&amp;B277&amp;"، فإن الترشيح الأقوى لكم الآن هو: "&amp;G277&amp;"."&amp;CHAR(10)&amp;"هذا الخيار يساعدكم في معالجة أكبر فجوة حالية بشكل عملي ومباشر."&amp;IF(J277&lt;&gt;"",CHAR(10)&amp;CHAR(10)&amp;"رابط التقرير: "&amp;J277,"")&amp;CHAR(10)&amp;CHAR(10)&amp;"إذا رغبت، يمكننا توضيح لماذا هذا الكورس هو الأنسب لكم الآن.")</x:f>
      </x:c>
      <x:c r="N277" s="12" t="str">
        <x:f>IF(D277="","",HYPERLINK("https://wa.me/"&amp;REGEXREPLACE(D277,"[^\d]","")&amp;"?text="&amp;ENCODEURL(M277),"واتساب 2"))</x:f>
      </x:c>
      <x:c r="O277" s="12" t="str">
        <x:f>IF(A277="","","مرحبًا "&amp;C277&amp;CHAR(10)&amp;CHAR(10)&amp;"إذا كانت التحديات لديكم تحتاج حلًا أشمل، فالبرنامج الكامل المناسب لكم هو: "&amp;H277&amp;"."&amp;IF(I277&lt;&gt;"",CHAR(10)&amp;"كما يمكنكم أيضًا حجز: "&amp;I277&amp;".","")&amp;IF(J277&lt;&gt;"",CHAR(10)&amp;CHAR(10)&amp;"رابط التقرير: "&amp;J277,"")&amp;CHAR(10)&amp;CHAR(10)&amp;"يسعدنا مساعدتكم في اختيار المسار الأنسب حسب وضع العيادة الحالي.")</x:f>
      </x:c>
      <x:c r="P277" s="12" t="str">
        <x:f>IF(D277="","",HYPERLINK("https://wa.me/"&amp;REGEXREPLACE(D277,"[^\d]","")&amp;"?text="&amp;ENCODEURL(O277),"واتساب 3"))</x:f>
      </x:c>
    </x:row>
    <x:row r="278" ht="15" hidden="0" customHeight="1">
      <x:c r="A278" s="12" t="str">
        <x:f>IF(Leads!A278="","",Leads!A278)</x:f>
      </x:c>
      <x:c r="B278" s="12" t="str">
        <x:f>IF(Leads!F278="","",Leads!F278)</x:f>
      </x:c>
      <x:c r="C278" s="12" t="str">
        <x:f>IF(Leads!G278="","",Leads!G278)</x:f>
      </x:c>
      <x:c r="D278" s="12" t="str">
        <x:f>IF(Leads!O278="","",Leads!O278)</x:f>
      </x:c>
      <x:c r="E278" s="12" t="str">
        <x:f>IF(Leads!AV278="","",Leads!AV278)</x:f>
      </x:c>
      <x:c r="F278" s="12" t="str">
        <x:f>IF(Leads!AX278="","",Leads!AX278)</x:f>
      </x:c>
      <x:c r="G278" s="12" t="str">
        <x:f>IF(Leads!BC278="","",Leads!BC278)</x:f>
      </x:c>
      <x:c r="H278" s="12" t="str">
        <x:f>IF(Leads!BE278="","",Leads!BE278)</x:f>
      </x:c>
      <x:c r="I278" s="12" t="str">
        <x:f>IF(Leads!BG278="","",Leads!BG278)</x:f>
      </x:c>
      <x:c r="J278" s="12" t="str">
        <x:f>IF(Leads!BH278="","",Leads!BH278)</x:f>
      </x:c>
      <x:c r="K278" s="12" t="str">
        <x:f>IF(A278="","","مرحبًا "&amp;C278&amp;CHAR(10)&amp;CHAR(10)&amp;"شكرًا لإتمام تقييم DBD الخاص بعيادة "&amp;B278&amp;"."&amp;CHAR(10)&amp;"نتيجتكم الحالية: "&amp;E278&amp;"%."&amp;CHAR(10)&amp;"أولوية التحسين الأولى: "&amp;F278&amp;"."&amp;IF(J278&lt;&gt;"",CHAR(10)&amp;CHAR(10)&amp;"رابط التقرير: "&amp;J278,"")&amp;CHAR(10)&amp;CHAR(10)&amp;"إذا أحببت، يمكننا مساعدتك في فهم التقرير وتحديد أفضل خطوة تالية لعيادتكم.")</x:f>
      </x:c>
      <x:c r="L278" s="12" t="str">
        <x:f>IF(D278="","",HYPERLINK("https://wa.me/"&amp;REGEXREPLACE(D278,"[^\d]","")&amp;"?text="&amp;ENCODEURL(K278),"واتساب 1"))</x:f>
      </x:c>
      <x:c r="M278" s="12" t="str">
        <x:f>IF(A278="","","مرحبًا "&amp;C278&amp;CHAR(10)&amp;CHAR(10)&amp;"بناءً على نتيجة تقييم عيادة "&amp;B278&amp;"، فإن الترشيح الأقوى لكم الآن هو: "&amp;G278&amp;"."&amp;CHAR(10)&amp;"هذا الخيار يساعدكم في معالجة أكبر فجوة حالية بشكل عملي ومباشر."&amp;IF(J278&lt;&gt;"",CHAR(10)&amp;CHAR(10)&amp;"رابط التقرير: "&amp;J278,"")&amp;CHAR(10)&amp;CHAR(10)&amp;"إذا رغبت، يمكننا توضيح لماذا هذا الكورس هو الأنسب لكم الآن.")</x:f>
      </x:c>
      <x:c r="N278" s="12" t="str">
        <x:f>IF(D278="","",HYPERLINK("https://wa.me/"&amp;REGEXREPLACE(D278,"[^\d]","")&amp;"?text="&amp;ENCODEURL(M278),"واتساب 2"))</x:f>
      </x:c>
      <x:c r="O278" s="12" t="str">
        <x:f>IF(A278="","","مرحبًا "&amp;C278&amp;CHAR(10)&amp;CHAR(10)&amp;"إذا كانت التحديات لديكم تحتاج حلًا أشمل، فالبرنامج الكامل المناسب لكم هو: "&amp;H278&amp;"."&amp;IF(I278&lt;&gt;"",CHAR(10)&amp;"كما يمكنكم أيضًا حجز: "&amp;I278&amp;".","")&amp;IF(J278&lt;&gt;"",CHAR(10)&amp;CHAR(10)&amp;"رابط التقرير: "&amp;J278,"")&amp;CHAR(10)&amp;CHAR(10)&amp;"يسعدنا مساعدتكم في اختيار المسار الأنسب حسب وضع العيادة الحالي.")</x:f>
      </x:c>
      <x:c r="P278" s="12" t="str">
        <x:f>IF(D278="","",HYPERLINK("https://wa.me/"&amp;REGEXREPLACE(D278,"[^\d]","")&amp;"?text="&amp;ENCODEURL(O278),"واتساب 3"))</x:f>
      </x:c>
    </x:row>
    <x:row r="279" ht="15" hidden="0" customHeight="1">
      <x:c r="A279" s="12" t="str">
        <x:f>IF(Leads!A279="","",Leads!A279)</x:f>
      </x:c>
      <x:c r="B279" s="12" t="str">
        <x:f>IF(Leads!F279="","",Leads!F279)</x:f>
      </x:c>
      <x:c r="C279" s="12" t="str">
        <x:f>IF(Leads!G279="","",Leads!G279)</x:f>
      </x:c>
      <x:c r="D279" s="12" t="str">
        <x:f>IF(Leads!O279="","",Leads!O279)</x:f>
      </x:c>
      <x:c r="E279" s="12" t="str">
        <x:f>IF(Leads!AV279="","",Leads!AV279)</x:f>
      </x:c>
      <x:c r="F279" s="12" t="str">
        <x:f>IF(Leads!AX279="","",Leads!AX279)</x:f>
      </x:c>
      <x:c r="G279" s="12" t="str">
        <x:f>IF(Leads!BC279="","",Leads!BC279)</x:f>
      </x:c>
      <x:c r="H279" s="12" t="str">
        <x:f>IF(Leads!BE279="","",Leads!BE279)</x:f>
      </x:c>
      <x:c r="I279" s="12" t="str">
        <x:f>IF(Leads!BG279="","",Leads!BG279)</x:f>
      </x:c>
      <x:c r="J279" s="12" t="str">
        <x:f>IF(Leads!BH279="","",Leads!BH279)</x:f>
      </x:c>
      <x:c r="K279" s="12" t="str">
        <x:f>IF(A279="","","مرحبًا "&amp;C279&amp;CHAR(10)&amp;CHAR(10)&amp;"شكرًا لإتمام تقييم DBD الخاص بعيادة "&amp;B279&amp;"."&amp;CHAR(10)&amp;"نتيجتكم الحالية: "&amp;E279&amp;"%."&amp;CHAR(10)&amp;"أولوية التحسين الأولى: "&amp;F279&amp;"."&amp;IF(J279&lt;&gt;"",CHAR(10)&amp;CHAR(10)&amp;"رابط التقرير: "&amp;J279,"")&amp;CHAR(10)&amp;CHAR(10)&amp;"إذا أحببت، يمكننا مساعدتك في فهم التقرير وتحديد أفضل خطوة تالية لعيادتكم.")</x:f>
      </x:c>
      <x:c r="L279" s="12" t="str">
        <x:f>IF(D279="","",HYPERLINK("https://wa.me/"&amp;REGEXREPLACE(D279,"[^\d]","")&amp;"?text="&amp;ENCODEURL(K279),"واتساب 1"))</x:f>
      </x:c>
      <x:c r="M279" s="12" t="str">
        <x:f>IF(A279="","","مرحبًا "&amp;C279&amp;CHAR(10)&amp;CHAR(10)&amp;"بناءً على نتيجة تقييم عيادة "&amp;B279&amp;"، فإن الترشيح الأقوى لكم الآن هو: "&amp;G279&amp;"."&amp;CHAR(10)&amp;"هذا الخيار يساعدكم في معالجة أكبر فجوة حالية بشكل عملي ومباشر."&amp;IF(J279&lt;&gt;"",CHAR(10)&amp;CHAR(10)&amp;"رابط التقرير: "&amp;J279,"")&amp;CHAR(10)&amp;CHAR(10)&amp;"إذا رغبت، يمكننا توضيح لماذا هذا الكورس هو الأنسب لكم الآن.")</x:f>
      </x:c>
      <x:c r="N279" s="12" t="str">
        <x:f>IF(D279="","",HYPERLINK("https://wa.me/"&amp;REGEXREPLACE(D279,"[^\d]","")&amp;"?text="&amp;ENCODEURL(M279),"واتساب 2"))</x:f>
      </x:c>
      <x:c r="O279" s="12" t="str">
        <x:f>IF(A279="","","مرحبًا "&amp;C279&amp;CHAR(10)&amp;CHAR(10)&amp;"إذا كانت التحديات لديكم تحتاج حلًا أشمل، فالبرنامج الكامل المناسب لكم هو: "&amp;H279&amp;"."&amp;IF(I279&lt;&gt;"",CHAR(10)&amp;"كما يمكنكم أيضًا حجز: "&amp;I279&amp;".","")&amp;IF(J279&lt;&gt;"",CHAR(10)&amp;CHAR(10)&amp;"رابط التقرير: "&amp;J279,"")&amp;CHAR(10)&amp;CHAR(10)&amp;"يسعدنا مساعدتكم في اختيار المسار الأنسب حسب وضع العيادة الحالي.")</x:f>
      </x:c>
      <x:c r="P279" s="12" t="str">
        <x:f>IF(D279="","",HYPERLINK("https://wa.me/"&amp;REGEXREPLACE(D279,"[^\d]","")&amp;"?text="&amp;ENCODEURL(O279),"واتساب 3"))</x:f>
      </x:c>
    </x:row>
    <x:row r="280" ht="15" hidden="0" customHeight="1">
      <x:c r="A280" s="12" t="str">
        <x:f>IF(Leads!A280="","",Leads!A280)</x:f>
      </x:c>
      <x:c r="B280" s="12" t="str">
        <x:f>IF(Leads!F280="","",Leads!F280)</x:f>
      </x:c>
      <x:c r="C280" s="12" t="str">
        <x:f>IF(Leads!G280="","",Leads!G280)</x:f>
      </x:c>
      <x:c r="D280" s="12" t="str">
        <x:f>IF(Leads!O280="","",Leads!O280)</x:f>
      </x:c>
      <x:c r="E280" s="12" t="str">
        <x:f>IF(Leads!AV280="","",Leads!AV280)</x:f>
      </x:c>
      <x:c r="F280" s="12" t="str">
        <x:f>IF(Leads!AX280="","",Leads!AX280)</x:f>
      </x:c>
      <x:c r="G280" s="12" t="str">
        <x:f>IF(Leads!BC280="","",Leads!BC280)</x:f>
      </x:c>
      <x:c r="H280" s="12" t="str">
        <x:f>IF(Leads!BE280="","",Leads!BE280)</x:f>
      </x:c>
      <x:c r="I280" s="12" t="str">
        <x:f>IF(Leads!BG280="","",Leads!BG280)</x:f>
      </x:c>
      <x:c r="J280" s="12" t="str">
        <x:f>IF(Leads!BH280="","",Leads!BH280)</x:f>
      </x:c>
      <x:c r="K280" s="12" t="str">
        <x:f>IF(A280="","","مرحبًا "&amp;C280&amp;CHAR(10)&amp;CHAR(10)&amp;"شكرًا لإتمام تقييم DBD الخاص بعيادة "&amp;B280&amp;"."&amp;CHAR(10)&amp;"نتيجتكم الحالية: "&amp;E280&amp;"%."&amp;CHAR(10)&amp;"أولوية التحسين الأولى: "&amp;F280&amp;"."&amp;IF(J280&lt;&gt;"",CHAR(10)&amp;CHAR(10)&amp;"رابط التقرير: "&amp;J280,"")&amp;CHAR(10)&amp;CHAR(10)&amp;"إذا أحببت، يمكننا مساعدتك في فهم التقرير وتحديد أفضل خطوة تالية لعيادتكم.")</x:f>
      </x:c>
      <x:c r="L280" s="12" t="str">
        <x:f>IF(D280="","",HYPERLINK("https://wa.me/"&amp;REGEXREPLACE(D280,"[^\d]","")&amp;"?text="&amp;ENCODEURL(K280),"واتساب 1"))</x:f>
      </x:c>
      <x:c r="M280" s="12" t="str">
        <x:f>IF(A280="","","مرحبًا "&amp;C280&amp;CHAR(10)&amp;CHAR(10)&amp;"بناءً على نتيجة تقييم عيادة "&amp;B280&amp;"، فإن الترشيح الأقوى لكم الآن هو: "&amp;G280&amp;"."&amp;CHAR(10)&amp;"هذا الخيار يساعدكم في معالجة أكبر فجوة حالية بشكل عملي ومباشر."&amp;IF(J280&lt;&gt;"",CHAR(10)&amp;CHAR(10)&amp;"رابط التقرير: "&amp;J280,"")&amp;CHAR(10)&amp;CHAR(10)&amp;"إذا رغبت، يمكننا توضيح لماذا هذا الكورس هو الأنسب لكم الآن.")</x:f>
      </x:c>
      <x:c r="N280" s="12" t="str">
        <x:f>IF(D280="","",HYPERLINK("https://wa.me/"&amp;REGEXREPLACE(D280,"[^\d]","")&amp;"?text="&amp;ENCODEURL(M280),"واتساب 2"))</x:f>
      </x:c>
      <x:c r="O280" s="12" t="str">
        <x:f>IF(A280="","","مرحبًا "&amp;C280&amp;CHAR(10)&amp;CHAR(10)&amp;"إذا كانت التحديات لديكم تحتاج حلًا أشمل، فالبرنامج الكامل المناسب لكم هو: "&amp;H280&amp;"."&amp;IF(I280&lt;&gt;"",CHAR(10)&amp;"كما يمكنكم أيضًا حجز: "&amp;I280&amp;".","")&amp;IF(J280&lt;&gt;"",CHAR(10)&amp;CHAR(10)&amp;"رابط التقرير: "&amp;J280,"")&amp;CHAR(10)&amp;CHAR(10)&amp;"يسعدنا مساعدتكم في اختيار المسار الأنسب حسب وضع العيادة الحالي.")</x:f>
      </x:c>
      <x:c r="P280" s="12" t="str">
        <x:f>IF(D280="","",HYPERLINK("https://wa.me/"&amp;REGEXREPLACE(D280,"[^\d]","")&amp;"?text="&amp;ENCODEURL(O280),"واتساب 3"))</x:f>
      </x:c>
    </x:row>
    <x:row r="281" ht="15" hidden="0" customHeight="1">
      <x:c r="A281" s="12" t="str">
        <x:f>IF(Leads!A281="","",Leads!A281)</x:f>
      </x:c>
      <x:c r="B281" s="12" t="str">
        <x:f>IF(Leads!F281="","",Leads!F281)</x:f>
      </x:c>
      <x:c r="C281" s="12" t="str">
        <x:f>IF(Leads!G281="","",Leads!G281)</x:f>
      </x:c>
      <x:c r="D281" s="12" t="str">
        <x:f>IF(Leads!O281="","",Leads!O281)</x:f>
      </x:c>
      <x:c r="E281" s="12" t="str">
        <x:f>IF(Leads!AV281="","",Leads!AV281)</x:f>
      </x:c>
      <x:c r="F281" s="12" t="str">
        <x:f>IF(Leads!AX281="","",Leads!AX281)</x:f>
      </x:c>
      <x:c r="G281" s="12" t="str">
        <x:f>IF(Leads!BC281="","",Leads!BC281)</x:f>
      </x:c>
      <x:c r="H281" s="12" t="str">
        <x:f>IF(Leads!BE281="","",Leads!BE281)</x:f>
      </x:c>
      <x:c r="I281" s="12" t="str">
        <x:f>IF(Leads!BG281="","",Leads!BG281)</x:f>
      </x:c>
      <x:c r="J281" s="12" t="str">
        <x:f>IF(Leads!BH281="","",Leads!BH281)</x:f>
      </x:c>
      <x:c r="K281" s="12" t="str">
        <x:f>IF(A281="","","مرحبًا "&amp;C281&amp;CHAR(10)&amp;CHAR(10)&amp;"شكرًا لإتمام تقييم DBD الخاص بعيادة "&amp;B281&amp;"."&amp;CHAR(10)&amp;"نتيجتكم الحالية: "&amp;E281&amp;"%."&amp;CHAR(10)&amp;"أولوية التحسين الأولى: "&amp;F281&amp;"."&amp;IF(J281&lt;&gt;"",CHAR(10)&amp;CHAR(10)&amp;"رابط التقرير: "&amp;J281,"")&amp;CHAR(10)&amp;CHAR(10)&amp;"إذا أحببت، يمكننا مساعدتك في فهم التقرير وتحديد أفضل خطوة تالية لعيادتكم.")</x:f>
      </x:c>
      <x:c r="L281" s="12" t="str">
        <x:f>IF(D281="","",HYPERLINK("https://wa.me/"&amp;REGEXREPLACE(D281,"[^\d]","")&amp;"?text="&amp;ENCODEURL(K281),"واتساب 1"))</x:f>
      </x:c>
      <x:c r="M281" s="12" t="str">
        <x:f>IF(A281="","","مرحبًا "&amp;C281&amp;CHAR(10)&amp;CHAR(10)&amp;"بناءً على نتيجة تقييم عيادة "&amp;B281&amp;"، فإن الترشيح الأقوى لكم الآن هو: "&amp;G281&amp;"."&amp;CHAR(10)&amp;"هذا الخيار يساعدكم في معالجة أكبر فجوة حالية بشكل عملي ومباشر."&amp;IF(J281&lt;&gt;"",CHAR(10)&amp;CHAR(10)&amp;"رابط التقرير: "&amp;J281,"")&amp;CHAR(10)&amp;CHAR(10)&amp;"إذا رغبت، يمكننا توضيح لماذا هذا الكورس هو الأنسب لكم الآن.")</x:f>
      </x:c>
      <x:c r="N281" s="12" t="str">
        <x:f>IF(D281="","",HYPERLINK("https://wa.me/"&amp;REGEXREPLACE(D281,"[^\d]","")&amp;"?text="&amp;ENCODEURL(M281),"واتساب 2"))</x:f>
      </x:c>
      <x:c r="O281" s="12" t="str">
        <x:f>IF(A281="","","مرحبًا "&amp;C281&amp;CHAR(10)&amp;CHAR(10)&amp;"إذا كانت التحديات لديكم تحتاج حلًا أشمل، فالبرنامج الكامل المناسب لكم هو: "&amp;H281&amp;"."&amp;IF(I281&lt;&gt;"",CHAR(10)&amp;"كما يمكنكم أيضًا حجز: "&amp;I281&amp;".","")&amp;IF(J281&lt;&gt;"",CHAR(10)&amp;CHAR(10)&amp;"رابط التقرير: "&amp;J281,"")&amp;CHAR(10)&amp;CHAR(10)&amp;"يسعدنا مساعدتكم في اختيار المسار الأنسب حسب وضع العيادة الحالي.")</x:f>
      </x:c>
      <x:c r="P281" s="12" t="str">
        <x:f>IF(D281="","",HYPERLINK("https://wa.me/"&amp;REGEXREPLACE(D281,"[^\d]","")&amp;"?text="&amp;ENCODEURL(O281),"واتساب 3"))</x:f>
      </x:c>
    </x:row>
    <x:row r="282" ht="15" hidden="0" customHeight="1">
      <x:c r="A282" s="12" t="str">
        <x:f>IF(Leads!A282="","",Leads!A282)</x:f>
      </x:c>
      <x:c r="B282" s="12" t="str">
        <x:f>IF(Leads!F282="","",Leads!F282)</x:f>
      </x:c>
      <x:c r="C282" s="12" t="str">
        <x:f>IF(Leads!G282="","",Leads!G282)</x:f>
      </x:c>
      <x:c r="D282" s="12" t="str">
        <x:f>IF(Leads!O282="","",Leads!O282)</x:f>
      </x:c>
      <x:c r="E282" s="12" t="str">
        <x:f>IF(Leads!AV282="","",Leads!AV282)</x:f>
      </x:c>
      <x:c r="F282" s="12" t="str">
        <x:f>IF(Leads!AX282="","",Leads!AX282)</x:f>
      </x:c>
      <x:c r="G282" s="12" t="str">
        <x:f>IF(Leads!BC282="","",Leads!BC282)</x:f>
      </x:c>
      <x:c r="H282" s="12" t="str">
        <x:f>IF(Leads!BE282="","",Leads!BE282)</x:f>
      </x:c>
      <x:c r="I282" s="12" t="str">
        <x:f>IF(Leads!BG282="","",Leads!BG282)</x:f>
      </x:c>
      <x:c r="J282" s="12" t="str">
        <x:f>IF(Leads!BH282="","",Leads!BH282)</x:f>
      </x:c>
      <x:c r="K282" s="12" t="str">
        <x:f>IF(A282="","","مرحبًا "&amp;C282&amp;CHAR(10)&amp;CHAR(10)&amp;"شكرًا لإتمام تقييم DBD الخاص بعيادة "&amp;B282&amp;"."&amp;CHAR(10)&amp;"نتيجتكم الحالية: "&amp;E282&amp;"%."&amp;CHAR(10)&amp;"أولوية التحسين الأولى: "&amp;F282&amp;"."&amp;IF(J282&lt;&gt;"",CHAR(10)&amp;CHAR(10)&amp;"رابط التقرير: "&amp;J282,"")&amp;CHAR(10)&amp;CHAR(10)&amp;"إذا أحببت، يمكننا مساعدتك في فهم التقرير وتحديد أفضل خطوة تالية لعيادتكم.")</x:f>
      </x:c>
      <x:c r="L282" s="12" t="str">
        <x:f>IF(D282="","",HYPERLINK("https://wa.me/"&amp;REGEXREPLACE(D282,"[^\d]","")&amp;"?text="&amp;ENCODEURL(K282),"واتساب 1"))</x:f>
      </x:c>
      <x:c r="M282" s="12" t="str">
        <x:f>IF(A282="","","مرحبًا "&amp;C282&amp;CHAR(10)&amp;CHAR(10)&amp;"بناءً على نتيجة تقييم عيادة "&amp;B282&amp;"، فإن الترشيح الأقوى لكم الآن هو: "&amp;G282&amp;"."&amp;CHAR(10)&amp;"هذا الخيار يساعدكم في معالجة أكبر فجوة حالية بشكل عملي ومباشر."&amp;IF(J282&lt;&gt;"",CHAR(10)&amp;CHAR(10)&amp;"رابط التقرير: "&amp;J282,"")&amp;CHAR(10)&amp;CHAR(10)&amp;"إذا رغبت، يمكننا توضيح لماذا هذا الكورس هو الأنسب لكم الآن.")</x:f>
      </x:c>
      <x:c r="N282" s="12" t="str">
        <x:f>IF(D282="","",HYPERLINK("https://wa.me/"&amp;REGEXREPLACE(D282,"[^\d]","")&amp;"?text="&amp;ENCODEURL(M282),"واتساب 2"))</x:f>
      </x:c>
      <x:c r="O282" s="12" t="str">
        <x:f>IF(A282="","","مرحبًا "&amp;C282&amp;CHAR(10)&amp;CHAR(10)&amp;"إذا كانت التحديات لديكم تحتاج حلًا أشمل، فالبرنامج الكامل المناسب لكم هو: "&amp;H282&amp;"."&amp;IF(I282&lt;&gt;"",CHAR(10)&amp;"كما يمكنكم أيضًا حجز: "&amp;I282&amp;".","")&amp;IF(J282&lt;&gt;"",CHAR(10)&amp;CHAR(10)&amp;"رابط التقرير: "&amp;J282,"")&amp;CHAR(10)&amp;CHAR(10)&amp;"يسعدنا مساعدتكم في اختيار المسار الأنسب حسب وضع العيادة الحالي.")</x:f>
      </x:c>
      <x:c r="P282" s="12" t="str">
        <x:f>IF(D282="","",HYPERLINK("https://wa.me/"&amp;REGEXREPLACE(D282,"[^\d]","")&amp;"?text="&amp;ENCODEURL(O282),"واتساب 3"))</x:f>
      </x:c>
    </x:row>
    <x:row r="283" ht="15" hidden="0" customHeight="1">
      <x:c r="A283" s="12" t="str">
        <x:f>IF(Leads!A283="","",Leads!A283)</x:f>
      </x:c>
      <x:c r="B283" s="12" t="str">
        <x:f>IF(Leads!F283="","",Leads!F283)</x:f>
      </x:c>
      <x:c r="C283" s="12" t="str">
        <x:f>IF(Leads!G283="","",Leads!G283)</x:f>
      </x:c>
      <x:c r="D283" s="12" t="str">
        <x:f>IF(Leads!O283="","",Leads!O283)</x:f>
      </x:c>
      <x:c r="E283" s="12" t="str">
        <x:f>IF(Leads!AV283="","",Leads!AV283)</x:f>
      </x:c>
      <x:c r="F283" s="12" t="str">
        <x:f>IF(Leads!AX283="","",Leads!AX283)</x:f>
      </x:c>
      <x:c r="G283" s="12" t="str">
        <x:f>IF(Leads!BC283="","",Leads!BC283)</x:f>
      </x:c>
      <x:c r="H283" s="12" t="str">
        <x:f>IF(Leads!BE283="","",Leads!BE283)</x:f>
      </x:c>
      <x:c r="I283" s="12" t="str">
        <x:f>IF(Leads!BG283="","",Leads!BG283)</x:f>
      </x:c>
      <x:c r="J283" s="12" t="str">
        <x:f>IF(Leads!BH283="","",Leads!BH283)</x:f>
      </x:c>
      <x:c r="K283" s="12" t="str">
        <x:f>IF(A283="","","مرحبًا "&amp;C283&amp;CHAR(10)&amp;CHAR(10)&amp;"شكرًا لإتمام تقييم DBD الخاص بعيادة "&amp;B283&amp;"."&amp;CHAR(10)&amp;"نتيجتكم الحالية: "&amp;E283&amp;"%."&amp;CHAR(10)&amp;"أولوية التحسين الأولى: "&amp;F283&amp;"."&amp;IF(J283&lt;&gt;"",CHAR(10)&amp;CHAR(10)&amp;"رابط التقرير: "&amp;J283,"")&amp;CHAR(10)&amp;CHAR(10)&amp;"إذا أحببت، يمكننا مساعدتك في فهم التقرير وتحديد أفضل خطوة تالية لعيادتكم.")</x:f>
      </x:c>
      <x:c r="L283" s="12" t="str">
        <x:f>IF(D283="","",HYPERLINK("https://wa.me/"&amp;REGEXREPLACE(D283,"[^\d]","")&amp;"?text="&amp;ENCODEURL(K283),"واتساب 1"))</x:f>
      </x:c>
      <x:c r="M283" s="12" t="str">
        <x:f>IF(A283="","","مرحبًا "&amp;C283&amp;CHAR(10)&amp;CHAR(10)&amp;"بناءً على نتيجة تقييم عيادة "&amp;B283&amp;"، فإن الترشيح الأقوى لكم الآن هو: "&amp;G283&amp;"."&amp;CHAR(10)&amp;"هذا الخيار يساعدكم في معالجة أكبر فجوة حالية بشكل عملي ومباشر."&amp;IF(J283&lt;&gt;"",CHAR(10)&amp;CHAR(10)&amp;"رابط التقرير: "&amp;J283,"")&amp;CHAR(10)&amp;CHAR(10)&amp;"إذا رغبت، يمكننا توضيح لماذا هذا الكورس هو الأنسب لكم الآن.")</x:f>
      </x:c>
      <x:c r="N283" s="12" t="str">
        <x:f>IF(D283="","",HYPERLINK("https://wa.me/"&amp;REGEXREPLACE(D283,"[^\d]","")&amp;"?text="&amp;ENCODEURL(M283),"واتساب 2"))</x:f>
      </x:c>
      <x:c r="O283" s="12" t="str">
        <x:f>IF(A283="","","مرحبًا "&amp;C283&amp;CHAR(10)&amp;CHAR(10)&amp;"إذا كانت التحديات لديكم تحتاج حلًا أشمل، فالبرنامج الكامل المناسب لكم هو: "&amp;H283&amp;"."&amp;IF(I283&lt;&gt;"",CHAR(10)&amp;"كما يمكنكم أيضًا حجز: "&amp;I283&amp;".","")&amp;IF(J283&lt;&gt;"",CHAR(10)&amp;CHAR(10)&amp;"رابط التقرير: "&amp;J283,"")&amp;CHAR(10)&amp;CHAR(10)&amp;"يسعدنا مساعدتكم في اختيار المسار الأنسب حسب وضع العيادة الحالي.")</x:f>
      </x:c>
      <x:c r="P283" s="12" t="str">
        <x:f>IF(D283="","",HYPERLINK("https://wa.me/"&amp;REGEXREPLACE(D283,"[^\d]","")&amp;"?text="&amp;ENCODEURL(O283),"واتساب 3"))</x:f>
      </x:c>
    </x:row>
    <x:row r="284" ht="15" hidden="0" customHeight="1">
      <x:c r="A284" s="12" t="str">
        <x:f>IF(Leads!A284="","",Leads!A284)</x:f>
      </x:c>
      <x:c r="B284" s="12" t="str">
        <x:f>IF(Leads!F284="","",Leads!F284)</x:f>
      </x:c>
      <x:c r="C284" s="12" t="str">
        <x:f>IF(Leads!G284="","",Leads!G284)</x:f>
      </x:c>
      <x:c r="D284" s="12" t="str">
        <x:f>IF(Leads!O284="","",Leads!O284)</x:f>
      </x:c>
      <x:c r="E284" s="12" t="str">
        <x:f>IF(Leads!AV284="","",Leads!AV284)</x:f>
      </x:c>
      <x:c r="F284" s="12" t="str">
        <x:f>IF(Leads!AX284="","",Leads!AX284)</x:f>
      </x:c>
      <x:c r="G284" s="12" t="str">
        <x:f>IF(Leads!BC284="","",Leads!BC284)</x:f>
      </x:c>
      <x:c r="H284" s="12" t="str">
        <x:f>IF(Leads!BE284="","",Leads!BE284)</x:f>
      </x:c>
      <x:c r="I284" s="12" t="str">
        <x:f>IF(Leads!BG284="","",Leads!BG284)</x:f>
      </x:c>
      <x:c r="J284" s="12" t="str">
        <x:f>IF(Leads!BH284="","",Leads!BH284)</x:f>
      </x:c>
      <x:c r="K284" s="12" t="str">
        <x:f>IF(A284="","","مرحبًا "&amp;C284&amp;CHAR(10)&amp;CHAR(10)&amp;"شكرًا لإتمام تقييم DBD الخاص بعيادة "&amp;B284&amp;"."&amp;CHAR(10)&amp;"نتيجتكم الحالية: "&amp;E284&amp;"%."&amp;CHAR(10)&amp;"أولوية التحسين الأولى: "&amp;F284&amp;"."&amp;IF(J284&lt;&gt;"",CHAR(10)&amp;CHAR(10)&amp;"رابط التقرير: "&amp;J284,"")&amp;CHAR(10)&amp;CHAR(10)&amp;"إذا أحببت، يمكننا مساعدتك في فهم التقرير وتحديد أفضل خطوة تالية لعيادتكم.")</x:f>
      </x:c>
      <x:c r="L284" s="12" t="str">
        <x:f>IF(D284="","",HYPERLINK("https://wa.me/"&amp;REGEXREPLACE(D284,"[^\d]","")&amp;"?text="&amp;ENCODEURL(K284),"واتساب 1"))</x:f>
      </x:c>
      <x:c r="M284" s="12" t="str">
        <x:f>IF(A284="","","مرحبًا "&amp;C284&amp;CHAR(10)&amp;CHAR(10)&amp;"بناءً على نتيجة تقييم عيادة "&amp;B284&amp;"، فإن الترشيح الأقوى لكم الآن هو: "&amp;G284&amp;"."&amp;CHAR(10)&amp;"هذا الخيار يساعدكم في معالجة أكبر فجوة حالية بشكل عملي ومباشر."&amp;IF(J284&lt;&gt;"",CHAR(10)&amp;CHAR(10)&amp;"رابط التقرير: "&amp;J284,"")&amp;CHAR(10)&amp;CHAR(10)&amp;"إذا رغبت، يمكننا توضيح لماذا هذا الكورس هو الأنسب لكم الآن.")</x:f>
      </x:c>
      <x:c r="N284" s="12" t="str">
        <x:f>IF(D284="","",HYPERLINK("https://wa.me/"&amp;REGEXREPLACE(D284,"[^\d]","")&amp;"?text="&amp;ENCODEURL(M284),"واتساب 2"))</x:f>
      </x:c>
      <x:c r="O284" s="12" t="str">
        <x:f>IF(A284="","","مرحبًا "&amp;C284&amp;CHAR(10)&amp;CHAR(10)&amp;"إذا كانت التحديات لديكم تحتاج حلًا أشمل، فالبرنامج الكامل المناسب لكم هو: "&amp;H284&amp;"."&amp;IF(I284&lt;&gt;"",CHAR(10)&amp;"كما يمكنكم أيضًا حجز: "&amp;I284&amp;".","")&amp;IF(J284&lt;&gt;"",CHAR(10)&amp;CHAR(10)&amp;"رابط التقرير: "&amp;J284,"")&amp;CHAR(10)&amp;CHAR(10)&amp;"يسعدنا مساعدتكم في اختيار المسار الأنسب حسب وضع العيادة الحالي.")</x:f>
      </x:c>
      <x:c r="P284" s="12" t="str">
        <x:f>IF(D284="","",HYPERLINK("https://wa.me/"&amp;REGEXREPLACE(D284,"[^\d]","")&amp;"?text="&amp;ENCODEURL(O284),"واتساب 3"))</x:f>
      </x:c>
    </x:row>
    <x:row r="285" ht="15" hidden="0" customHeight="1">
      <x:c r="A285" s="12" t="str">
        <x:f>IF(Leads!A285="","",Leads!A285)</x:f>
      </x:c>
      <x:c r="B285" s="12" t="str">
        <x:f>IF(Leads!F285="","",Leads!F285)</x:f>
      </x:c>
      <x:c r="C285" s="12" t="str">
        <x:f>IF(Leads!G285="","",Leads!G285)</x:f>
      </x:c>
      <x:c r="D285" s="12" t="str">
        <x:f>IF(Leads!O285="","",Leads!O285)</x:f>
      </x:c>
      <x:c r="E285" s="12" t="str">
        <x:f>IF(Leads!AV285="","",Leads!AV285)</x:f>
      </x:c>
      <x:c r="F285" s="12" t="str">
        <x:f>IF(Leads!AX285="","",Leads!AX285)</x:f>
      </x:c>
      <x:c r="G285" s="12" t="str">
        <x:f>IF(Leads!BC285="","",Leads!BC285)</x:f>
      </x:c>
      <x:c r="H285" s="12" t="str">
        <x:f>IF(Leads!BE285="","",Leads!BE285)</x:f>
      </x:c>
      <x:c r="I285" s="12" t="str">
        <x:f>IF(Leads!BG285="","",Leads!BG285)</x:f>
      </x:c>
      <x:c r="J285" s="12" t="str">
        <x:f>IF(Leads!BH285="","",Leads!BH285)</x:f>
      </x:c>
      <x:c r="K285" s="12" t="str">
        <x:f>IF(A285="","","مرحبًا "&amp;C285&amp;CHAR(10)&amp;CHAR(10)&amp;"شكرًا لإتمام تقييم DBD الخاص بعيادة "&amp;B285&amp;"."&amp;CHAR(10)&amp;"نتيجتكم الحالية: "&amp;E285&amp;"%."&amp;CHAR(10)&amp;"أولوية التحسين الأولى: "&amp;F285&amp;"."&amp;IF(J285&lt;&gt;"",CHAR(10)&amp;CHAR(10)&amp;"رابط التقرير: "&amp;J285,"")&amp;CHAR(10)&amp;CHAR(10)&amp;"إذا أحببت، يمكننا مساعدتك في فهم التقرير وتحديد أفضل خطوة تالية لعيادتكم.")</x:f>
      </x:c>
      <x:c r="L285" s="12" t="str">
        <x:f>IF(D285="","",HYPERLINK("https://wa.me/"&amp;REGEXREPLACE(D285,"[^\d]","")&amp;"?text="&amp;ENCODEURL(K285),"واتساب 1"))</x:f>
      </x:c>
      <x:c r="M285" s="12" t="str">
        <x:f>IF(A285="","","مرحبًا "&amp;C285&amp;CHAR(10)&amp;CHAR(10)&amp;"بناءً على نتيجة تقييم عيادة "&amp;B285&amp;"، فإن الترشيح الأقوى لكم الآن هو: "&amp;G285&amp;"."&amp;CHAR(10)&amp;"هذا الخيار يساعدكم في معالجة أكبر فجوة حالية بشكل عملي ومباشر."&amp;IF(J285&lt;&gt;"",CHAR(10)&amp;CHAR(10)&amp;"رابط التقرير: "&amp;J285,"")&amp;CHAR(10)&amp;CHAR(10)&amp;"إذا رغبت، يمكننا توضيح لماذا هذا الكورس هو الأنسب لكم الآن.")</x:f>
      </x:c>
      <x:c r="N285" s="12" t="str">
        <x:f>IF(D285="","",HYPERLINK("https://wa.me/"&amp;REGEXREPLACE(D285,"[^\d]","")&amp;"?text="&amp;ENCODEURL(M285),"واتساب 2"))</x:f>
      </x:c>
      <x:c r="O285" s="12" t="str">
        <x:f>IF(A285="","","مرحبًا "&amp;C285&amp;CHAR(10)&amp;CHAR(10)&amp;"إذا كانت التحديات لديكم تحتاج حلًا أشمل، فالبرنامج الكامل المناسب لكم هو: "&amp;H285&amp;"."&amp;IF(I285&lt;&gt;"",CHAR(10)&amp;"كما يمكنكم أيضًا حجز: "&amp;I285&amp;".","")&amp;IF(J285&lt;&gt;"",CHAR(10)&amp;CHAR(10)&amp;"رابط التقرير: "&amp;J285,"")&amp;CHAR(10)&amp;CHAR(10)&amp;"يسعدنا مساعدتكم في اختيار المسار الأنسب حسب وضع العيادة الحالي.")</x:f>
      </x:c>
      <x:c r="P285" s="12" t="str">
        <x:f>IF(D285="","",HYPERLINK("https://wa.me/"&amp;REGEXREPLACE(D285,"[^\d]","")&amp;"?text="&amp;ENCODEURL(O285),"واتساب 3"))</x:f>
      </x:c>
    </x:row>
    <x:row r="286" ht="15" hidden="0" customHeight="1">
      <x:c r="A286" s="12" t="str">
        <x:f>IF(Leads!A286="","",Leads!A286)</x:f>
      </x:c>
      <x:c r="B286" s="12" t="str">
        <x:f>IF(Leads!F286="","",Leads!F286)</x:f>
      </x:c>
      <x:c r="C286" s="12" t="str">
        <x:f>IF(Leads!G286="","",Leads!G286)</x:f>
      </x:c>
      <x:c r="D286" s="12" t="str">
        <x:f>IF(Leads!O286="","",Leads!O286)</x:f>
      </x:c>
      <x:c r="E286" s="12" t="str">
        <x:f>IF(Leads!AV286="","",Leads!AV286)</x:f>
      </x:c>
      <x:c r="F286" s="12" t="str">
        <x:f>IF(Leads!AX286="","",Leads!AX286)</x:f>
      </x:c>
      <x:c r="G286" s="12" t="str">
        <x:f>IF(Leads!BC286="","",Leads!BC286)</x:f>
      </x:c>
      <x:c r="H286" s="12" t="str">
        <x:f>IF(Leads!BE286="","",Leads!BE286)</x:f>
      </x:c>
      <x:c r="I286" s="12" t="str">
        <x:f>IF(Leads!BG286="","",Leads!BG286)</x:f>
      </x:c>
      <x:c r="J286" s="12" t="str">
        <x:f>IF(Leads!BH286="","",Leads!BH286)</x:f>
      </x:c>
      <x:c r="K286" s="12" t="str">
        <x:f>IF(A286="","","مرحبًا "&amp;C286&amp;CHAR(10)&amp;CHAR(10)&amp;"شكرًا لإتمام تقييم DBD الخاص بعيادة "&amp;B286&amp;"."&amp;CHAR(10)&amp;"نتيجتكم الحالية: "&amp;E286&amp;"%."&amp;CHAR(10)&amp;"أولوية التحسين الأولى: "&amp;F286&amp;"."&amp;IF(J286&lt;&gt;"",CHAR(10)&amp;CHAR(10)&amp;"رابط التقرير: "&amp;J286,"")&amp;CHAR(10)&amp;CHAR(10)&amp;"إذا أحببت، يمكننا مساعدتك في فهم التقرير وتحديد أفضل خطوة تالية لعيادتكم.")</x:f>
      </x:c>
      <x:c r="L286" s="12" t="str">
        <x:f>IF(D286="","",HYPERLINK("https://wa.me/"&amp;REGEXREPLACE(D286,"[^\d]","")&amp;"?text="&amp;ENCODEURL(K286),"واتساب 1"))</x:f>
      </x:c>
      <x:c r="M286" s="12" t="str">
        <x:f>IF(A286="","","مرحبًا "&amp;C286&amp;CHAR(10)&amp;CHAR(10)&amp;"بناءً على نتيجة تقييم عيادة "&amp;B286&amp;"، فإن الترشيح الأقوى لكم الآن هو: "&amp;G286&amp;"."&amp;CHAR(10)&amp;"هذا الخيار يساعدكم في معالجة أكبر فجوة حالية بشكل عملي ومباشر."&amp;IF(J286&lt;&gt;"",CHAR(10)&amp;CHAR(10)&amp;"رابط التقرير: "&amp;J286,"")&amp;CHAR(10)&amp;CHAR(10)&amp;"إذا رغبت، يمكننا توضيح لماذا هذا الكورس هو الأنسب لكم الآن.")</x:f>
      </x:c>
      <x:c r="N286" s="12" t="str">
        <x:f>IF(D286="","",HYPERLINK("https://wa.me/"&amp;REGEXREPLACE(D286,"[^\d]","")&amp;"?text="&amp;ENCODEURL(M286),"واتساب 2"))</x:f>
      </x:c>
      <x:c r="O286" s="12" t="str">
        <x:f>IF(A286="","","مرحبًا "&amp;C286&amp;CHAR(10)&amp;CHAR(10)&amp;"إذا كانت التحديات لديكم تحتاج حلًا أشمل، فالبرنامج الكامل المناسب لكم هو: "&amp;H286&amp;"."&amp;IF(I286&lt;&gt;"",CHAR(10)&amp;"كما يمكنكم أيضًا حجز: "&amp;I286&amp;".","")&amp;IF(J286&lt;&gt;"",CHAR(10)&amp;CHAR(10)&amp;"رابط التقرير: "&amp;J286,"")&amp;CHAR(10)&amp;CHAR(10)&amp;"يسعدنا مساعدتكم في اختيار المسار الأنسب حسب وضع العيادة الحالي.")</x:f>
      </x:c>
      <x:c r="P286" s="12" t="str">
        <x:f>IF(D286="","",HYPERLINK("https://wa.me/"&amp;REGEXREPLACE(D286,"[^\d]","")&amp;"?text="&amp;ENCODEURL(O286),"واتساب 3"))</x:f>
      </x:c>
    </x:row>
    <x:row r="287" ht="15" hidden="0" customHeight="1">
      <x:c r="A287" s="12" t="str">
        <x:f>IF(Leads!A287="","",Leads!A287)</x:f>
      </x:c>
      <x:c r="B287" s="12" t="str">
        <x:f>IF(Leads!F287="","",Leads!F287)</x:f>
      </x:c>
      <x:c r="C287" s="12" t="str">
        <x:f>IF(Leads!G287="","",Leads!G287)</x:f>
      </x:c>
      <x:c r="D287" s="12" t="str">
        <x:f>IF(Leads!O287="","",Leads!O287)</x:f>
      </x:c>
      <x:c r="E287" s="12" t="str">
        <x:f>IF(Leads!AV287="","",Leads!AV287)</x:f>
      </x:c>
      <x:c r="F287" s="12" t="str">
        <x:f>IF(Leads!AX287="","",Leads!AX287)</x:f>
      </x:c>
      <x:c r="G287" s="12" t="str">
        <x:f>IF(Leads!BC287="","",Leads!BC287)</x:f>
      </x:c>
      <x:c r="H287" s="12" t="str">
        <x:f>IF(Leads!BE287="","",Leads!BE287)</x:f>
      </x:c>
      <x:c r="I287" s="12" t="str">
        <x:f>IF(Leads!BG287="","",Leads!BG287)</x:f>
      </x:c>
      <x:c r="J287" s="12" t="str">
        <x:f>IF(Leads!BH287="","",Leads!BH287)</x:f>
      </x:c>
      <x:c r="K287" s="12" t="str">
        <x:f>IF(A287="","","مرحبًا "&amp;C287&amp;CHAR(10)&amp;CHAR(10)&amp;"شكرًا لإتمام تقييم DBD الخاص بعيادة "&amp;B287&amp;"."&amp;CHAR(10)&amp;"نتيجتكم الحالية: "&amp;E287&amp;"%."&amp;CHAR(10)&amp;"أولوية التحسين الأولى: "&amp;F287&amp;"."&amp;IF(J287&lt;&gt;"",CHAR(10)&amp;CHAR(10)&amp;"رابط التقرير: "&amp;J287,"")&amp;CHAR(10)&amp;CHAR(10)&amp;"إذا أحببت، يمكننا مساعدتك في فهم التقرير وتحديد أفضل خطوة تالية لعيادتكم.")</x:f>
      </x:c>
      <x:c r="L287" s="12" t="str">
        <x:f>IF(D287="","",HYPERLINK("https://wa.me/"&amp;REGEXREPLACE(D287,"[^\d]","")&amp;"?text="&amp;ENCODEURL(K287),"واتساب 1"))</x:f>
      </x:c>
      <x:c r="M287" s="12" t="str">
        <x:f>IF(A287="","","مرحبًا "&amp;C287&amp;CHAR(10)&amp;CHAR(10)&amp;"بناءً على نتيجة تقييم عيادة "&amp;B287&amp;"، فإن الترشيح الأقوى لكم الآن هو: "&amp;G287&amp;"."&amp;CHAR(10)&amp;"هذا الخيار يساعدكم في معالجة أكبر فجوة حالية بشكل عملي ومباشر."&amp;IF(J287&lt;&gt;"",CHAR(10)&amp;CHAR(10)&amp;"رابط التقرير: "&amp;J287,"")&amp;CHAR(10)&amp;CHAR(10)&amp;"إذا رغبت، يمكننا توضيح لماذا هذا الكورس هو الأنسب لكم الآن.")</x:f>
      </x:c>
      <x:c r="N287" s="12" t="str">
        <x:f>IF(D287="","",HYPERLINK("https://wa.me/"&amp;REGEXREPLACE(D287,"[^\d]","")&amp;"?text="&amp;ENCODEURL(M287),"واتساب 2"))</x:f>
      </x:c>
      <x:c r="O287" s="12" t="str">
        <x:f>IF(A287="","","مرحبًا "&amp;C287&amp;CHAR(10)&amp;CHAR(10)&amp;"إذا كانت التحديات لديكم تحتاج حلًا أشمل، فالبرنامج الكامل المناسب لكم هو: "&amp;H287&amp;"."&amp;IF(I287&lt;&gt;"",CHAR(10)&amp;"كما يمكنكم أيضًا حجز: "&amp;I287&amp;".","")&amp;IF(J287&lt;&gt;"",CHAR(10)&amp;CHAR(10)&amp;"رابط التقرير: "&amp;J287,"")&amp;CHAR(10)&amp;CHAR(10)&amp;"يسعدنا مساعدتكم في اختيار المسار الأنسب حسب وضع العيادة الحالي.")</x:f>
      </x:c>
      <x:c r="P287" s="12" t="str">
        <x:f>IF(D287="","",HYPERLINK("https://wa.me/"&amp;REGEXREPLACE(D287,"[^\d]","")&amp;"?text="&amp;ENCODEURL(O287),"واتساب 3"))</x:f>
      </x:c>
    </x:row>
    <x:row r="288" ht="15" hidden="0" customHeight="1">
      <x:c r="A288" s="12" t="str">
        <x:f>IF(Leads!A288="","",Leads!A288)</x:f>
      </x:c>
      <x:c r="B288" s="12" t="str">
        <x:f>IF(Leads!F288="","",Leads!F288)</x:f>
      </x:c>
      <x:c r="C288" s="12" t="str">
        <x:f>IF(Leads!G288="","",Leads!G288)</x:f>
      </x:c>
      <x:c r="D288" s="12" t="str">
        <x:f>IF(Leads!O288="","",Leads!O288)</x:f>
      </x:c>
      <x:c r="E288" s="12" t="str">
        <x:f>IF(Leads!AV288="","",Leads!AV288)</x:f>
      </x:c>
      <x:c r="F288" s="12" t="str">
        <x:f>IF(Leads!AX288="","",Leads!AX288)</x:f>
      </x:c>
      <x:c r="G288" s="12" t="str">
        <x:f>IF(Leads!BC288="","",Leads!BC288)</x:f>
      </x:c>
      <x:c r="H288" s="12" t="str">
        <x:f>IF(Leads!BE288="","",Leads!BE288)</x:f>
      </x:c>
      <x:c r="I288" s="12" t="str">
        <x:f>IF(Leads!BG288="","",Leads!BG288)</x:f>
      </x:c>
      <x:c r="J288" s="12" t="str">
        <x:f>IF(Leads!BH288="","",Leads!BH288)</x:f>
      </x:c>
      <x:c r="K288" s="12" t="str">
        <x:f>IF(A288="","","مرحبًا "&amp;C288&amp;CHAR(10)&amp;CHAR(10)&amp;"شكرًا لإتمام تقييم DBD الخاص بعيادة "&amp;B288&amp;"."&amp;CHAR(10)&amp;"نتيجتكم الحالية: "&amp;E288&amp;"%."&amp;CHAR(10)&amp;"أولوية التحسين الأولى: "&amp;F288&amp;"."&amp;IF(J288&lt;&gt;"",CHAR(10)&amp;CHAR(10)&amp;"رابط التقرير: "&amp;J288,"")&amp;CHAR(10)&amp;CHAR(10)&amp;"إذا أحببت، يمكننا مساعدتك في فهم التقرير وتحديد أفضل خطوة تالية لعيادتكم.")</x:f>
      </x:c>
      <x:c r="L288" s="12" t="str">
        <x:f>IF(D288="","",HYPERLINK("https://wa.me/"&amp;REGEXREPLACE(D288,"[^\d]","")&amp;"?text="&amp;ENCODEURL(K288),"واتساب 1"))</x:f>
      </x:c>
      <x:c r="M288" s="12" t="str">
        <x:f>IF(A288="","","مرحبًا "&amp;C288&amp;CHAR(10)&amp;CHAR(10)&amp;"بناءً على نتيجة تقييم عيادة "&amp;B288&amp;"، فإن الترشيح الأقوى لكم الآن هو: "&amp;G288&amp;"."&amp;CHAR(10)&amp;"هذا الخيار يساعدكم في معالجة أكبر فجوة حالية بشكل عملي ومباشر."&amp;IF(J288&lt;&gt;"",CHAR(10)&amp;CHAR(10)&amp;"رابط التقرير: "&amp;J288,"")&amp;CHAR(10)&amp;CHAR(10)&amp;"إذا رغبت، يمكننا توضيح لماذا هذا الكورس هو الأنسب لكم الآن.")</x:f>
      </x:c>
      <x:c r="N288" s="12" t="str">
        <x:f>IF(D288="","",HYPERLINK("https://wa.me/"&amp;REGEXREPLACE(D288,"[^\d]","")&amp;"?text="&amp;ENCODEURL(M288),"واتساب 2"))</x:f>
      </x:c>
      <x:c r="O288" s="12" t="str">
        <x:f>IF(A288="","","مرحبًا "&amp;C288&amp;CHAR(10)&amp;CHAR(10)&amp;"إذا كانت التحديات لديكم تحتاج حلًا أشمل، فالبرنامج الكامل المناسب لكم هو: "&amp;H288&amp;"."&amp;IF(I288&lt;&gt;"",CHAR(10)&amp;"كما يمكنكم أيضًا حجز: "&amp;I288&amp;".","")&amp;IF(J288&lt;&gt;"",CHAR(10)&amp;CHAR(10)&amp;"رابط التقرير: "&amp;J288,"")&amp;CHAR(10)&amp;CHAR(10)&amp;"يسعدنا مساعدتكم في اختيار المسار الأنسب حسب وضع العيادة الحالي.")</x:f>
      </x:c>
      <x:c r="P288" s="12" t="str">
        <x:f>IF(D288="","",HYPERLINK("https://wa.me/"&amp;REGEXREPLACE(D288,"[^\d]","")&amp;"?text="&amp;ENCODEURL(O288),"واتساب 3"))</x:f>
      </x:c>
    </x:row>
    <x:row r="289" ht="15" hidden="0" customHeight="1">
      <x:c r="A289" s="12" t="str">
        <x:f>IF(Leads!A289="","",Leads!A289)</x:f>
      </x:c>
      <x:c r="B289" s="12" t="str">
        <x:f>IF(Leads!F289="","",Leads!F289)</x:f>
      </x:c>
      <x:c r="C289" s="12" t="str">
        <x:f>IF(Leads!G289="","",Leads!G289)</x:f>
      </x:c>
      <x:c r="D289" s="12" t="str">
        <x:f>IF(Leads!O289="","",Leads!O289)</x:f>
      </x:c>
      <x:c r="E289" s="12" t="str">
        <x:f>IF(Leads!AV289="","",Leads!AV289)</x:f>
      </x:c>
      <x:c r="F289" s="12" t="str">
        <x:f>IF(Leads!AX289="","",Leads!AX289)</x:f>
      </x:c>
      <x:c r="G289" s="12" t="str">
        <x:f>IF(Leads!BC289="","",Leads!BC289)</x:f>
      </x:c>
      <x:c r="H289" s="12" t="str">
        <x:f>IF(Leads!BE289="","",Leads!BE289)</x:f>
      </x:c>
      <x:c r="I289" s="12" t="str">
        <x:f>IF(Leads!BG289="","",Leads!BG289)</x:f>
      </x:c>
      <x:c r="J289" s="12" t="str">
        <x:f>IF(Leads!BH289="","",Leads!BH289)</x:f>
      </x:c>
      <x:c r="K289" s="12" t="str">
        <x:f>IF(A289="","","مرحبًا "&amp;C289&amp;CHAR(10)&amp;CHAR(10)&amp;"شكرًا لإتمام تقييم DBD الخاص بعيادة "&amp;B289&amp;"."&amp;CHAR(10)&amp;"نتيجتكم الحالية: "&amp;E289&amp;"%."&amp;CHAR(10)&amp;"أولوية التحسين الأولى: "&amp;F289&amp;"."&amp;IF(J289&lt;&gt;"",CHAR(10)&amp;CHAR(10)&amp;"رابط التقرير: "&amp;J289,"")&amp;CHAR(10)&amp;CHAR(10)&amp;"إذا أحببت، يمكننا مساعدتك في فهم التقرير وتحديد أفضل خطوة تالية لعيادتكم.")</x:f>
      </x:c>
      <x:c r="L289" s="12" t="str">
        <x:f>IF(D289="","",HYPERLINK("https://wa.me/"&amp;REGEXREPLACE(D289,"[^\d]","")&amp;"?text="&amp;ENCODEURL(K289),"واتساب 1"))</x:f>
      </x:c>
      <x:c r="M289" s="12" t="str">
        <x:f>IF(A289="","","مرحبًا "&amp;C289&amp;CHAR(10)&amp;CHAR(10)&amp;"بناءً على نتيجة تقييم عيادة "&amp;B289&amp;"، فإن الترشيح الأقوى لكم الآن هو: "&amp;G289&amp;"."&amp;CHAR(10)&amp;"هذا الخيار يساعدكم في معالجة أكبر فجوة حالية بشكل عملي ومباشر."&amp;IF(J289&lt;&gt;"",CHAR(10)&amp;CHAR(10)&amp;"رابط التقرير: "&amp;J289,"")&amp;CHAR(10)&amp;CHAR(10)&amp;"إذا رغبت، يمكننا توضيح لماذا هذا الكورس هو الأنسب لكم الآن.")</x:f>
      </x:c>
      <x:c r="N289" s="12" t="str">
        <x:f>IF(D289="","",HYPERLINK("https://wa.me/"&amp;REGEXREPLACE(D289,"[^\d]","")&amp;"?text="&amp;ENCODEURL(M289),"واتساب 2"))</x:f>
      </x:c>
      <x:c r="O289" s="12" t="str">
        <x:f>IF(A289="","","مرحبًا "&amp;C289&amp;CHAR(10)&amp;CHAR(10)&amp;"إذا كانت التحديات لديكم تحتاج حلًا أشمل، فالبرنامج الكامل المناسب لكم هو: "&amp;H289&amp;"."&amp;IF(I289&lt;&gt;"",CHAR(10)&amp;"كما يمكنكم أيضًا حجز: "&amp;I289&amp;".","")&amp;IF(J289&lt;&gt;"",CHAR(10)&amp;CHAR(10)&amp;"رابط التقرير: "&amp;J289,"")&amp;CHAR(10)&amp;CHAR(10)&amp;"يسعدنا مساعدتكم في اختيار المسار الأنسب حسب وضع العيادة الحالي.")</x:f>
      </x:c>
      <x:c r="P289" s="12" t="str">
        <x:f>IF(D289="","",HYPERLINK("https://wa.me/"&amp;REGEXREPLACE(D289,"[^\d]","")&amp;"?text="&amp;ENCODEURL(O289),"واتساب 3"))</x:f>
      </x:c>
    </x:row>
    <x:row r="290" ht="15" hidden="0" customHeight="1">
      <x:c r="A290" s="12" t="str">
        <x:f>IF(Leads!A290="","",Leads!A290)</x:f>
      </x:c>
      <x:c r="B290" s="12" t="str">
        <x:f>IF(Leads!F290="","",Leads!F290)</x:f>
      </x:c>
      <x:c r="C290" s="12" t="str">
        <x:f>IF(Leads!G290="","",Leads!G290)</x:f>
      </x:c>
      <x:c r="D290" s="12" t="str">
        <x:f>IF(Leads!O290="","",Leads!O290)</x:f>
      </x:c>
      <x:c r="E290" s="12" t="str">
        <x:f>IF(Leads!AV290="","",Leads!AV290)</x:f>
      </x:c>
      <x:c r="F290" s="12" t="str">
        <x:f>IF(Leads!AX290="","",Leads!AX290)</x:f>
      </x:c>
      <x:c r="G290" s="12" t="str">
        <x:f>IF(Leads!BC290="","",Leads!BC290)</x:f>
      </x:c>
      <x:c r="H290" s="12" t="str">
        <x:f>IF(Leads!BE290="","",Leads!BE290)</x:f>
      </x:c>
      <x:c r="I290" s="12" t="str">
        <x:f>IF(Leads!BG290="","",Leads!BG290)</x:f>
      </x:c>
      <x:c r="J290" s="12" t="str">
        <x:f>IF(Leads!BH290="","",Leads!BH290)</x:f>
      </x:c>
      <x:c r="K290" s="12" t="str">
        <x:f>IF(A290="","","مرحبًا "&amp;C290&amp;CHAR(10)&amp;CHAR(10)&amp;"شكرًا لإتمام تقييم DBD الخاص بعيادة "&amp;B290&amp;"."&amp;CHAR(10)&amp;"نتيجتكم الحالية: "&amp;E290&amp;"%."&amp;CHAR(10)&amp;"أولوية التحسين الأولى: "&amp;F290&amp;"."&amp;IF(J290&lt;&gt;"",CHAR(10)&amp;CHAR(10)&amp;"رابط التقرير: "&amp;J290,"")&amp;CHAR(10)&amp;CHAR(10)&amp;"إذا أحببت، يمكننا مساعدتك في فهم التقرير وتحديد أفضل خطوة تالية لعيادتكم.")</x:f>
      </x:c>
      <x:c r="L290" s="12" t="str">
        <x:f>IF(D290="","",HYPERLINK("https://wa.me/"&amp;REGEXREPLACE(D290,"[^\d]","")&amp;"?text="&amp;ENCODEURL(K290),"واتساب 1"))</x:f>
      </x:c>
      <x:c r="M290" s="12" t="str">
        <x:f>IF(A290="","","مرحبًا "&amp;C290&amp;CHAR(10)&amp;CHAR(10)&amp;"بناءً على نتيجة تقييم عيادة "&amp;B290&amp;"، فإن الترشيح الأقوى لكم الآن هو: "&amp;G290&amp;"."&amp;CHAR(10)&amp;"هذا الخيار يساعدكم في معالجة أكبر فجوة حالية بشكل عملي ومباشر."&amp;IF(J290&lt;&gt;"",CHAR(10)&amp;CHAR(10)&amp;"رابط التقرير: "&amp;J290,"")&amp;CHAR(10)&amp;CHAR(10)&amp;"إذا رغبت، يمكننا توضيح لماذا هذا الكورس هو الأنسب لكم الآن.")</x:f>
      </x:c>
      <x:c r="N290" s="12" t="str">
        <x:f>IF(D290="","",HYPERLINK("https://wa.me/"&amp;REGEXREPLACE(D290,"[^\d]","")&amp;"?text="&amp;ENCODEURL(M290),"واتساب 2"))</x:f>
      </x:c>
      <x:c r="O290" s="12" t="str">
        <x:f>IF(A290="","","مرحبًا "&amp;C290&amp;CHAR(10)&amp;CHAR(10)&amp;"إذا كانت التحديات لديكم تحتاج حلًا أشمل، فالبرنامج الكامل المناسب لكم هو: "&amp;H290&amp;"."&amp;IF(I290&lt;&gt;"",CHAR(10)&amp;"كما يمكنكم أيضًا حجز: "&amp;I290&amp;".","")&amp;IF(J290&lt;&gt;"",CHAR(10)&amp;CHAR(10)&amp;"رابط التقرير: "&amp;J290,"")&amp;CHAR(10)&amp;CHAR(10)&amp;"يسعدنا مساعدتكم في اختيار المسار الأنسب حسب وضع العيادة الحالي.")</x:f>
      </x:c>
      <x:c r="P290" s="12" t="str">
        <x:f>IF(D290="","",HYPERLINK("https://wa.me/"&amp;REGEXREPLACE(D290,"[^\d]","")&amp;"?text="&amp;ENCODEURL(O290),"واتساب 3"))</x:f>
      </x:c>
    </x:row>
    <x:row r="291" ht="15" hidden="0" customHeight="1">
      <x:c r="A291" s="12" t="str">
        <x:f>IF(Leads!A291="","",Leads!A291)</x:f>
      </x:c>
      <x:c r="B291" s="12" t="str">
        <x:f>IF(Leads!F291="","",Leads!F291)</x:f>
      </x:c>
      <x:c r="C291" s="12" t="str">
        <x:f>IF(Leads!G291="","",Leads!G291)</x:f>
      </x:c>
      <x:c r="D291" s="12" t="str">
        <x:f>IF(Leads!O291="","",Leads!O291)</x:f>
      </x:c>
      <x:c r="E291" s="12" t="str">
        <x:f>IF(Leads!AV291="","",Leads!AV291)</x:f>
      </x:c>
      <x:c r="F291" s="12" t="str">
        <x:f>IF(Leads!AX291="","",Leads!AX291)</x:f>
      </x:c>
      <x:c r="G291" s="12" t="str">
        <x:f>IF(Leads!BC291="","",Leads!BC291)</x:f>
      </x:c>
      <x:c r="H291" s="12" t="str">
        <x:f>IF(Leads!BE291="","",Leads!BE291)</x:f>
      </x:c>
      <x:c r="I291" s="12" t="str">
        <x:f>IF(Leads!BG291="","",Leads!BG291)</x:f>
      </x:c>
      <x:c r="J291" s="12" t="str">
        <x:f>IF(Leads!BH291="","",Leads!BH291)</x:f>
      </x:c>
      <x:c r="K291" s="12" t="str">
        <x:f>IF(A291="","","مرحبًا "&amp;C291&amp;CHAR(10)&amp;CHAR(10)&amp;"شكرًا لإتمام تقييم DBD الخاص بعيادة "&amp;B291&amp;"."&amp;CHAR(10)&amp;"نتيجتكم الحالية: "&amp;E291&amp;"%."&amp;CHAR(10)&amp;"أولوية التحسين الأولى: "&amp;F291&amp;"."&amp;IF(J291&lt;&gt;"",CHAR(10)&amp;CHAR(10)&amp;"رابط التقرير: "&amp;J291,"")&amp;CHAR(10)&amp;CHAR(10)&amp;"إذا أحببت، يمكننا مساعدتك في فهم التقرير وتحديد أفضل خطوة تالية لعيادتكم.")</x:f>
      </x:c>
      <x:c r="L291" s="12" t="str">
        <x:f>IF(D291="","",HYPERLINK("https://wa.me/"&amp;REGEXREPLACE(D291,"[^\d]","")&amp;"?text="&amp;ENCODEURL(K291),"واتساب 1"))</x:f>
      </x:c>
      <x:c r="M291" s="12" t="str">
        <x:f>IF(A291="","","مرحبًا "&amp;C291&amp;CHAR(10)&amp;CHAR(10)&amp;"بناءً على نتيجة تقييم عيادة "&amp;B291&amp;"، فإن الترشيح الأقوى لكم الآن هو: "&amp;G291&amp;"."&amp;CHAR(10)&amp;"هذا الخيار يساعدكم في معالجة أكبر فجوة حالية بشكل عملي ومباشر."&amp;IF(J291&lt;&gt;"",CHAR(10)&amp;CHAR(10)&amp;"رابط التقرير: "&amp;J291,"")&amp;CHAR(10)&amp;CHAR(10)&amp;"إذا رغبت، يمكننا توضيح لماذا هذا الكورس هو الأنسب لكم الآن.")</x:f>
      </x:c>
      <x:c r="N291" s="12" t="str">
        <x:f>IF(D291="","",HYPERLINK("https://wa.me/"&amp;REGEXREPLACE(D291,"[^\d]","")&amp;"?text="&amp;ENCODEURL(M291),"واتساب 2"))</x:f>
      </x:c>
      <x:c r="O291" s="12" t="str">
        <x:f>IF(A291="","","مرحبًا "&amp;C291&amp;CHAR(10)&amp;CHAR(10)&amp;"إذا كانت التحديات لديكم تحتاج حلًا أشمل، فالبرنامج الكامل المناسب لكم هو: "&amp;H291&amp;"."&amp;IF(I291&lt;&gt;"",CHAR(10)&amp;"كما يمكنكم أيضًا حجز: "&amp;I291&amp;".","")&amp;IF(J291&lt;&gt;"",CHAR(10)&amp;CHAR(10)&amp;"رابط التقرير: "&amp;J291,"")&amp;CHAR(10)&amp;CHAR(10)&amp;"يسعدنا مساعدتكم في اختيار المسار الأنسب حسب وضع العيادة الحالي.")</x:f>
      </x:c>
      <x:c r="P291" s="12" t="str">
        <x:f>IF(D291="","",HYPERLINK("https://wa.me/"&amp;REGEXREPLACE(D291,"[^\d]","")&amp;"?text="&amp;ENCODEURL(O291),"واتساب 3"))</x:f>
      </x:c>
    </x:row>
    <x:row r="292" ht="15" hidden="0" customHeight="1">
      <x:c r="A292" s="12" t="str">
        <x:f>IF(Leads!A292="","",Leads!A292)</x:f>
      </x:c>
      <x:c r="B292" s="12" t="str">
        <x:f>IF(Leads!F292="","",Leads!F292)</x:f>
      </x:c>
      <x:c r="C292" s="12" t="str">
        <x:f>IF(Leads!G292="","",Leads!G292)</x:f>
      </x:c>
      <x:c r="D292" s="12" t="str">
        <x:f>IF(Leads!O292="","",Leads!O292)</x:f>
      </x:c>
      <x:c r="E292" s="12" t="str">
        <x:f>IF(Leads!AV292="","",Leads!AV292)</x:f>
      </x:c>
      <x:c r="F292" s="12" t="str">
        <x:f>IF(Leads!AX292="","",Leads!AX292)</x:f>
      </x:c>
      <x:c r="G292" s="12" t="str">
        <x:f>IF(Leads!BC292="","",Leads!BC292)</x:f>
      </x:c>
      <x:c r="H292" s="12" t="str">
        <x:f>IF(Leads!BE292="","",Leads!BE292)</x:f>
      </x:c>
      <x:c r="I292" s="12" t="str">
        <x:f>IF(Leads!BG292="","",Leads!BG292)</x:f>
      </x:c>
      <x:c r="J292" s="12" t="str">
        <x:f>IF(Leads!BH292="","",Leads!BH292)</x:f>
      </x:c>
      <x:c r="K292" s="12" t="str">
        <x:f>IF(A292="","","مرحبًا "&amp;C292&amp;CHAR(10)&amp;CHAR(10)&amp;"شكرًا لإتمام تقييم DBD الخاص بعيادة "&amp;B292&amp;"."&amp;CHAR(10)&amp;"نتيجتكم الحالية: "&amp;E292&amp;"%."&amp;CHAR(10)&amp;"أولوية التحسين الأولى: "&amp;F292&amp;"."&amp;IF(J292&lt;&gt;"",CHAR(10)&amp;CHAR(10)&amp;"رابط التقرير: "&amp;J292,"")&amp;CHAR(10)&amp;CHAR(10)&amp;"إذا أحببت، يمكننا مساعدتك في فهم التقرير وتحديد أفضل خطوة تالية لعيادتكم.")</x:f>
      </x:c>
      <x:c r="L292" s="12" t="str">
        <x:f>IF(D292="","",HYPERLINK("https://wa.me/"&amp;REGEXREPLACE(D292,"[^\d]","")&amp;"?text="&amp;ENCODEURL(K292),"واتساب 1"))</x:f>
      </x:c>
      <x:c r="M292" s="12" t="str">
        <x:f>IF(A292="","","مرحبًا "&amp;C292&amp;CHAR(10)&amp;CHAR(10)&amp;"بناءً على نتيجة تقييم عيادة "&amp;B292&amp;"، فإن الترشيح الأقوى لكم الآن هو: "&amp;G292&amp;"."&amp;CHAR(10)&amp;"هذا الخيار يساعدكم في معالجة أكبر فجوة حالية بشكل عملي ومباشر."&amp;IF(J292&lt;&gt;"",CHAR(10)&amp;CHAR(10)&amp;"رابط التقرير: "&amp;J292,"")&amp;CHAR(10)&amp;CHAR(10)&amp;"إذا رغبت، يمكننا توضيح لماذا هذا الكورس هو الأنسب لكم الآن.")</x:f>
      </x:c>
      <x:c r="N292" s="12" t="str">
        <x:f>IF(D292="","",HYPERLINK("https://wa.me/"&amp;REGEXREPLACE(D292,"[^\d]","")&amp;"?text="&amp;ENCODEURL(M292),"واتساب 2"))</x:f>
      </x:c>
      <x:c r="O292" s="12" t="str">
        <x:f>IF(A292="","","مرحبًا "&amp;C292&amp;CHAR(10)&amp;CHAR(10)&amp;"إذا كانت التحديات لديكم تحتاج حلًا أشمل، فالبرنامج الكامل المناسب لكم هو: "&amp;H292&amp;"."&amp;IF(I292&lt;&gt;"",CHAR(10)&amp;"كما يمكنكم أيضًا حجز: "&amp;I292&amp;".","")&amp;IF(J292&lt;&gt;"",CHAR(10)&amp;CHAR(10)&amp;"رابط التقرير: "&amp;J292,"")&amp;CHAR(10)&amp;CHAR(10)&amp;"يسعدنا مساعدتكم في اختيار المسار الأنسب حسب وضع العيادة الحالي.")</x:f>
      </x:c>
      <x:c r="P292" s="12" t="str">
        <x:f>IF(D292="","",HYPERLINK("https://wa.me/"&amp;REGEXREPLACE(D292,"[^\d]","")&amp;"?text="&amp;ENCODEURL(O292),"واتساب 3"))</x:f>
      </x:c>
    </x:row>
    <x:row r="293" ht="15" hidden="0" customHeight="1">
      <x:c r="A293" s="12" t="str">
        <x:f>IF(Leads!A293="","",Leads!A293)</x:f>
      </x:c>
      <x:c r="B293" s="12" t="str">
        <x:f>IF(Leads!F293="","",Leads!F293)</x:f>
      </x:c>
      <x:c r="C293" s="12" t="str">
        <x:f>IF(Leads!G293="","",Leads!G293)</x:f>
      </x:c>
      <x:c r="D293" s="12" t="str">
        <x:f>IF(Leads!O293="","",Leads!O293)</x:f>
      </x:c>
      <x:c r="E293" s="12" t="str">
        <x:f>IF(Leads!AV293="","",Leads!AV293)</x:f>
      </x:c>
      <x:c r="F293" s="12" t="str">
        <x:f>IF(Leads!AX293="","",Leads!AX293)</x:f>
      </x:c>
      <x:c r="G293" s="12" t="str">
        <x:f>IF(Leads!BC293="","",Leads!BC293)</x:f>
      </x:c>
      <x:c r="H293" s="12" t="str">
        <x:f>IF(Leads!BE293="","",Leads!BE293)</x:f>
      </x:c>
      <x:c r="I293" s="12" t="str">
        <x:f>IF(Leads!BG293="","",Leads!BG293)</x:f>
      </x:c>
      <x:c r="J293" s="12" t="str">
        <x:f>IF(Leads!BH293="","",Leads!BH293)</x:f>
      </x:c>
      <x:c r="K293" s="12" t="str">
        <x:f>IF(A293="","","مرحبًا "&amp;C293&amp;CHAR(10)&amp;CHAR(10)&amp;"شكرًا لإتمام تقييم DBD الخاص بعيادة "&amp;B293&amp;"."&amp;CHAR(10)&amp;"نتيجتكم الحالية: "&amp;E293&amp;"%."&amp;CHAR(10)&amp;"أولوية التحسين الأولى: "&amp;F293&amp;"."&amp;IF(J293&lt;&gt;"",CHAR(10)&amp;CHAR(10)&amp;"رابط التقرير: "&amp;J293,"")&amp;CHAR(10)&amp;CHAR(10)&amp;"إذا أحببت، يمكننا مساعدتك في فهم التقرير وتحديد أفضل خطوة تالية لعيادتكم.")</x:f>
      </x:c>
      <x:c r="L293" s="12" t="str">
        <x:f>IF(D293="","",HYPERLINK("https://wa.me/"&amp;REGEXREPLACE(D293,"[^\d]","")&amp;"?text="&amp;ENCODEURL(K293),"واتساب 1"))</x:f>
      </x:c>
      <x:c r="M293" s="12" t="str">
        <x:f>IF(A293="","","مرحبًا "&amp;C293&amp;CHAR(10)&amp;CHAR(10)&amp;"بناءً على نتيجة تقييم عيادة "&amp;B293&amp;"، فإن الترشيح الأقوى لكم الآن هو: "&amp;G293&amp;"."&amp;CHAR(10)&amp;"هذا الخيار يساعدكم في معالجة أكبر فجوة حالية بشكل عملي ومباشر."&amp;IF(J293&lt;&gt;"",CHAR(10)&amp;CHAR(10)&amp;"رابط التقرير: "&amp;J293,"")&amp;CHAR(10)&amp;CHAR(10)&amp;"إذا رغبت، يمكننا توضيح لماذا هذا الكورس هو الأنسب لكم الآن.")</x:f>
      </x:c>
      <x:c r="N293" s="12" t="str">
        <x:f>IF(D293="","",HYPERLINK("https://wa.me/"&amp;REGEXREPLACE(D293,"[^\d]","")&amp;"?text="&amp;ENCODEURL(M293),"واتساب 2"))</x:f>
      </x:c>
      <x:c r="O293" s="12" t="str">
        <x:f>IF(A293="","","مرحبًا "&amp;C293&amp;CHAR(10)&amp;CHAR(10)&amp;"إذا كانت التحديات لديكم تحتاج حلًا أشمل، فالبرنامج الكامل المناسب لكم هو: "&amp;H293&amp;"."&amp;IF(I293&lt;&gt;"",CHAR(10)&amp;"كما يمكنكم أيضًا حجز: "&amp;I293&amp;".","")&amp;IF(J293&lt;&gt;"",CHAR(10)&amp;CHAR(10)&amp;"رابط التقرير: "&amp;J293,"")&amp;CHAR(10)&amp;CHAR(10)&amp;"يسعدنا مساعدتكم في اختيار المسار الأنسب حسب وضع العيادة الحالي.")</x:f>
      </x:c>
      <x:c r="P293" s="12" t="str">
        <x:f>IF(D293="","",HYPERLINK("https://wa.me/"&amp;REGEXREPLACE(D293,"[^\d]","")&amp;"?text="&amp;ENCODEURL(O293),"واتساب 3"))</x:f>
      </x:c>
    </x:row>
    <x:row r="294" ht="15" hidden="0" customHeight="1">
      <x:c r="A294" s="12" t="str">
        <x:f>IF(Leads!A294="","",Leads!A294)</x:f>
      </x:c>
      <x:c r="B294" s="12" t="str">
        <x:f>IF(Leads!F294="","",Leads!F294)</x:f>
      </x:c>
      <x:c r="C294" s="12" t="str">
        <x:f>IF(Leads!G294="","",Leads!G294)</x:f>
      </x:c>
      <x:c r="D294" s="12" t="str">
        <x:f>IF(Leads!O294="","",Leads!O294)</x:f>
      </x:c>
      <x:c r="E294" s="12" t="str">
        <x:f>IF(Leads!AV294="","",Leads!AV294)</x:f>
      </x:c>
      <x:c r="F294" s="12" t="str">
        <x:f>IF(Leads!AX294="","",Leads!AX294)</x:f>
      </x:c>
      <x:c r="G294" s="12" t="str">
        <x:f>IF(Leads!BC294="","",Leads!BC294)</x:f>
      </x:c>
      <x:c r="H294" s="12" t="str">
        <x:f>IF(Leads!BE294="","",Leads!BE294)</x:f>
      </x:c>
      <x:c r="I294" s="12" t="str">
        <x:f>IF(Leads!BG294="","",Leads!BG294)</x:f>
      </x:c>
      <x:c r="J294" s="12" t="str">
        <x:f>IF(Leads!BH294="","",Leads!BH294)</x:f>
      </x:c>
      <x:c r="K294" s="12" t="str">
        <x:f>IF(A294="","","مرحبًا "&amp;C294&amp;CHAR(10)&amp;CHAR(10)&amp;"شكرًا لإتمام تقييم DBD الخاص بعيادة "&amp;B294&amp;"."&amp;CHAR(10)&amp;"نتيجتكم الحالية: "&amp;E294&amp;"%."&amp;CHAR(10)&amp;"أولوية التحسين الأولى: "&amp;F294&amp;"."&amp;IF(J294&lt;&gt;"",CHAR(10)&amp;CHAR(10)&amp;"رابط التقرير: "&amp;J294,"")&amp;CHAR(10)&amp;CHAR(10)&amp;"إذا أحببت، يمكننا مساعدتك في فهم التقرير وتحديد أفضل خطوة تالية لعيادتكم.")</x:f>
      </x:c>
      <x:c r="L294" s="12" t="str">
        <x:f>IF(D294="","",HYPERLINK("https://wa.me/"&amp;REGEXREPLACE(D294,"[^\d]","")&amp;"?text="&amp;ENCODEURL(K294),"واتساب 1"))</x:f>
      </x:c>
      <x:c r="M294" s="12" t="str">
        <x:f>IF(A294="","","مرحبًا "&amp;C294&amp;CHAR(10)&amp;CHAR(10)&amp;"بناءً على نتيجة تقييم عيادة "&amp;B294&amp;"، فإن الترشيح الأقوى لكم الآن هو: "&amp;G294&amp;"."&amp;CHAR(10)&amp;"هذا الخيار يساعدكم في معالجة أكبر فجوة حالية بشكل عملي ومباشر."&amp;IF(J294&lt;&gt;"",CHAR(10)&amp;CHAR(10)&amp;"رابط التقرير: "&amp;J294,"")&amp;CHAR(10)&amp;CHAR(10)&amp;"إذا رغبت، يمكننا توضيح لماذا هذا الكورس هو الأنسب لكم الآن.")</x:f>
      </x:c>
      <x:c r="N294" s="12" t="str">
        <x:f>IF(D294="","",HYPERLINK("https://wa.me/"&amp;REGEXREPLACE(D294,"[^\d]","")&amp;"?text="&amp;ENCODEURL(M294),"واتساب 2"))</x:f>
      </x:c>
      <x:c r="O294" s="12" t="str">
        <x:f>IF(A294="","","مرحبًا "&amp;C294&amp;CHAR(10)&amp;CHAR(10)&amp;"إذا كانت التحديات لديكم تحتاج حلًا أشمل، فالبرنامج الكامل المناسب لكم هو: "&amp;H294&amp;"."&amp;IF(I294&lt;&gt;"",CHAR(10)&amp;"كما يمكنكم أيضًا حجز: "&amp;I294&amp;".","")&amp;IF(J294&lt;&gt;"",CHAR(10)&amp;CHAR(10)&amp;"رابط التقرير: "&amp;J294,"")&amp;CHAR(10)&amp;CHAR(10)&amp;"يسعدنا مساعدتكم في اختيار المسار الأنسب حسب وضع العيادة الحالي.")</x:f>
      </x:c>
      <x:c r="P294" s="12" t="str">
        <x:f>IF(D294="","",HYPERLINK("https://wa.me/"&amp;REGEXREPLACE(D294,"[^\d]","")&amp;"?text="&amp;ENCODEURL(O294),"واتساب 3"))</x:f>
      </x:c>
    </x:row>
    <x:row r="295" ht="15" hidden="0" customHeight="1">
      <x:c r="A295" s="12" t="str">
        <x:f>IF(Leads!A295="","",Leads!A295)</x:f>
      </x:c>
      <x:c r="B295" s="12" t="str">
        <x:f>IF(Leads!F295="","",Leads!F295)</x:f>
      </x:c>
      <x:c r="C295" s="12" t="str">
        <x:f>IF(Leads!G295="","",Leads!G295)</x:f>
      </x:c>
      <x:c r="D295" s="12" t="str">
        <x:f>IF(Leads!O295="","",Leads!O295)</x:f>
      </x:c>
      <x:c r="E295" s="12" t="str">
        <x:f>IF(Leads!AV295="","",Leads!AV295)</x:f>
      </x:c>
      <x:c r="F295" s="12" t="str">
        <x:f>IF(Leads!AX295="","",Leads!AX295)</x:f>
      </x:c>
      <x:c r="G295" s="12" t="str">
        <x:f>IF(Leads!BC295="","",Leads!BC295)</x:f>
      </x:c>
      <x:c r="H295" s="12" t="str">
        <x:f>IF(Leads!BE295="","",Leads!BE295)</x:f>
      </x:c>
      <x:c r="I295" s="12" t="str">
        <x:f>IF(Leads!BG295="","",Leads!BG295)</x:f>
      </x:c>
      <x:c r="J295" s="12" t="str">
        <x:f>IF(Leads!BH295="","",Leads!BH295)</x:f>
      </x:c>
      <x:c r="K295" s="12" t="str">
        <x:f>IF(A295="","","مرحبًا "&amp;C295&amp;CHAR(10)&amp;CHAR(10)&amp;"شكرًا لإتمام تقييم DBD الخاص بعيادة "&amp;B295&amp;"."&amp;CHAR(10)&amp;"نتيجتكم الحالية: "&amp;E295&amp;"%."&amp;CHAR(10)&amp;"أولوية التحسين الأولى: "&amp;F295&amp;"."&amp;IF(J295&lt;&gt;"",CHAR(10)&amp;CHAR(10)&amp;"رابط التقرير: "&amp;J295,"")&amp;CHAR(10)&amp;CHAR(10)&amp;"إذا أحببت، يمكننا مساعدتك في فهم التقرير وتحديد أفضل خطوة تالية لعيادتكم.")</x:f>
      </x:c>
      <x:c r="L295" s="12" t="str">
        <x:f>IF(D295="","",HYPERLINK("https://wa.me/"&amp;REGEXREPLACE(D295,"[^\d]","")&amp;"?text="&amp;ENCODEURL(K295),"واتساب 1"))</x:f>
      </x:c>
      <x:c r="M295" s="12" t="str">
        <x:f>IF(A295="","","مرحبًا "&amp;C295&amp;CHAR(10)&amp;CHAR(10)&amp;"بناءً على نتيجة تقييم عيادة "&amp;B295&amp;"، فإن الترشيح الأقوى لكم الآن هو: "&amp;G295&amp;"."&amp;CHAR(10)&amp;"هذا الخيار يساعدكم في معالجة أكبر فجوة حالية بشكل عملي ومباشر."&amp;IF(J295&lt;&gt;"",CHAR(10)&amp;CHAR(10)&amp;"رابط التقرير: "&amp;J295,"")&amp;CHAR(10)&amp;CHAR(10)&amp;"إذا رغبت، يمكننا توضيح لماذا هذا الكورس هو الأنسب لكم الآن.")</x:f>
      </x:c>
      <x:c r="N295" s="12" t="str">
        <x:f>IF(D295="","",HYPERLINK("https://wa.me/"&amp;REGEXREPLACE(D295,"[^\d]","")&amp;"?text="&amp;ENCODEURL(M295),"واتساب 2"))</x:f>
      </x:c>
      <x:c r="O295" s="12" t="str">
        <x:f>IF(A295="","","مرحبًا "&amp;C295&amp;CHAR(10)&amp;CHAR(10)&amp;"إذا كانت التحديات لديكم تحتاج حلًا أشمل، فالبرنامج الكامل المناسب لكم هو: "&amp;H295&amp;"."&amp;IF(I295&lt;&gt;"",CHAR(10)&amp;"كما يمكنكم أيضًا حجز: "&amp;I295&amp;".","")&amp;IF(J295&lt;&gt;"",CHAR(10)&amp;CHAR(10)&amp;"رابط التقرير: "&amp;J295,"")&amp;CHAR(10)&amp;CHAR(10)&amp;"يسعدنا مساعدتكم في اختيار المسار الأنسب حسب وضع العيادة الحالي.")</x:f>
      </x:c>
      <x:c r="P295" s="12" t="str">
        <x:f>IF(D295="","",HYPERLINK("https://wa.me/"&amp;REGEXREPLACE(D295,"[^\d]","")&amp;"?text="&amp;ENCODEURL(O295),"واتساب 3"))</x:f>
      </x:c>
    </x:row>
    <x:row r="296" ht="15" hidden="0" customHeight="1">
      <x:c r="A296" s="12" t="str">
        <x:f>IF(Leads!A296="","",Leads!A296)</x:f>
      </x:c>
      <x:c r="B296" s="12" t="str">
        <x:f>IF(Leads!F296="","",Leads!F296)</x:f>
      </x:c>
      <x:c r="C296" s="12" t="str">
        <x:f>IF(Leads!G296="","",Leads!G296)</x:f>
      </x:c>
      <x:c r="D296" s="12" t="str">
        <x:f>IF(Leads!O296="","",Leads!O296)</x:f>
      </x:c>
      <x:c r="E296" s="12" t="str">
        <x:f>IF(Leads!AV296="","",Leads!AV296)</x:f>
      </x:c>
      <x:c r="F296" s="12" t="str">
        <x:f>IF(Leads!AX296="","",Leads!AX296)</x:f>
      </x:c>
      <x:c r="G296" s="12" t="str">
        <x:f>IF(Leads!BC296="","",Leads!BC296)</x:f>
      </x:c>
      <x:c r="H296" s="12" t="str">
        <x:f>IF(Leads!BE296="","",Leads!BE296)</x:f>
      </x:c>
      <x:c r="I296" s="12" t="str">
        <x:f>IF(Leads!BG296="","",Leads!BG296)</x:f>
      </x:c>
      <x:c r="J296" s="12" t="str">
        <x:f>IF(Leads!BH296="","",Leads!BH296)</x:f>
      </x:c>
      <x:c r="K296" s="12" t="str">
        <x:f>IF(A296="","","مرحبًا "&amp;C296&amp;CHAR(10)&amp;CHAR(10)&amp;"شكرًا لإتمام تقييم DBD الخاص بعيادة "&amp;B296&amp;"."&amp;CHAR(10)&amp;"نتيجتكم الحالية: "&amp;E296&amp;"%."&amp;CHAR(10)&amp;"أولوية التحسين الأولى: "&amp;F296&amp;"."&amp;IF(J296&lt;&gt;"",CHAR(10)&amp;CHAR(10)&amp;"رابط التقرير: "&amp;J296,"")&amp;CHAR(10)&amp;CHAR(10)&amp;"إذا أحببت، يمكننا مساعدتك في فهم التقرير وتحديد أفضل خطوة تالية لعيادتكم.")</x:f>
      </x:c>
      <x:c r="L296" s="12" t="str">
        <x:f>IF(D296="","",HYPERLINK("https://wa.me/"&amp;REGEXREPLACE(D296,"[^\d]","")&amp;"?text="&amp;ENCODEURL(K296),"واتساب 1"))</x:f>
      </x:c>
      <x:c r="M296" s="12" t="str">
        <x:f>IF(A296="","","مرحبًا "&amp;C296&amp;CHAR(10)&amp;CHAR(10)&amp;"بناءً على نتيجة تقييم عيادة "&amp;B296&amp;"، فإن الترشيح الأقوى لكم الآن هو: "&amp;G296&amp;"."&amp;CHAR(10)&amp;"هذا الخيار يساعدكم في معالجة أكبر فجوة حالية بشكل عملي ومباشر."&amp;IF(J296&lt;&gt;"",CHAR(10)&amp;CHAR(10)&amp;"رابط التقرير: "&amp;J296,"")&amp;CHAR(10)&amp;CHAR(10)&amp;"إذا رغبت، يمكننا توضيح لماذا هذا الكورس هو الأنسب لكم الآن.")</x:f>
      </x:c>
      <x:c r="N296" s="12" t="str">
        <x:f>IF(D296="","",HYPERLINK("https://wa.me/"&amp;REGEXREPLACE(D296,"[^\d]","")&amp;"?text="&amp;ENCODEURL(M296),"واتساب 2"))</x:f>
      </x:c>
      <x:c r="O296" s="12" t="str">
        <x:f>IF(A296="","","مرحبًا "&amp;C296&amp;CHAR(10)&amp;CHAR(10)&amp;"إذا كانت التحديات لديكم تحتاج حلًا أشمل، فالبرنامج الكامل المناسب لكم هو: "&amp;H296&amp;"."&amp;IF(I296&lt;&gt;"",CHAR(10)&amp;"كما يمكنكم أيضًا حجز: "&amp;I296&amp;".","")&amp;IF(J296&lt;&gt;"",CHAR(10)&amp;CHAR(10)&amp;"رابط التقرير: "&amp;J296,"")&amp;CHAR(10)&amp;CHAR(10)&amp;"يسعدنا مساعدتكم في اختيار المسار الأنسب حسب وضع العيادة الحالي.")</x:f>
      </x:c>
      <x:c r="P296" s="12" t="str">
        <x:f>IF(D296="","",HYPERLINK("https://wa.me/"&amp;REGEXREPLACE(D296,"[^\d]","")&amp;"?text="&amp;ENCODEURL(O296),"واتساب 3"))</x:f>
      </x:c>
    </x:row>
    <x:row r="297" ht="15" hidden="0" customHeight="1">
      <x:c r="A297" s="12" t="str">
        <x:f>IF(Leads!A297="","",Leads!A297)</x:f>
      </x:c>
      <x:c r="B297" s="12" t="str">
        <x:f>IF(Leads!F297="","",Leads!F297)</x:f>
      </x:c>
      <x:c r="C297" s="12" t="str">
        <x:f>IF(Leads!G297="","",Leads!G297)</x:f>
      </x:c>
      <x:c r="D297" s="12" t="str">
        <x:f>IF(Leads!O297="","",Leads!O297)</x:f>
      </x:c>
      <x:c r="E297" s="12" t="str">
        <x:f>IF(Leads!AV297="","",Leads!AV297)</x:f>
      </x:c>
      <x:c r="F297" s="12" t="str">
        <x:f>IF(Leads!AX297="","",Leads!AX297)</x:f>
      </x:c>
      <x:c r="G297" s="12" t="str">
        <x:f>IF(Leads!BC297="","",Leads!BC297)</x:f>
      </x:c>
      <x:c r="H297" s="12" t="str">
        <x:f>IF(Leads!BE297="","",Leads!BE297)</x:f>
      </x:c>
      <x:c r="I297" s="12" t="str">
        <x:f>IF(Leads!BG297="","",Leads!BG297)</x:f>
      </x:c>
      <x:c r="J297" s="12" t="str">
        <x:f>IF(Leads!BH297="","",Leads!BH297)</x:f>
      </x:c>
      <x:c r="K297" s="12" t="str">
        <x:f>IF(A297="","","مرحبًا "&amp;C297&amp;CHAR(10)&amp;CHAR(10)&amp;"شكرًا لإتمام تقييم DBD الخاص بعيادة "&amp;B297&amp;"."&amp;CHAR(10)&amp;"نتيجتكم الحالية: "&amp;E297&amp;"%."&amp;CHAR(10)&amp;"أولوية التحسين الأولى: "&amp;F297&amp;"."&amp;IF(J297&lt;&gt;"",CHAR(10)&amp;CHAR(10)&amp;"رابط التقرير: "&amp;J297,"")&amp;CHAR(10)&amp;CHAR(10)&amp;"إذا أحببت، يمكننا مساعدتك في فهم التقرير وتحديد أفضل خطوة تالية لعيادتكم.")</x:f>
      </x:c>
      <x:c r="L297" s="12" t="str">
        <x:f>IF(D297="","",HYPERLINK("https://wa.me/"&amp;REGEXREPLACE(D297,"[^\d]","")&amp;"?text="&amp;ENCODEURL(K297),"واتساب 1"))</x:f>
      </x:c>
      <x:c r="M297" s="12" t="str">
        <x:f>IF(A297="","","مرحبًا "&amp;C297&amp;CHAR(10)&amp;CHAR(10)&amp;"بناءً على نتيجة تقييم عيادة "&amp;B297&amp;"، فإن الترشيح الأقوى لكم الآن هو: "&amp;G297&amp;"."&amp;CHAR(10)&amp;"هذا الخيار يساعدكم في معالجة أكبر فجوة حالية بشكل عملي ومباشر."&amp;IF(J297&lt;&gt;"",CHAR(10)&amp;CHAR(10)&amp;"رابط التقرير: "&amp;J297,"")&amp;CHAR(10)&amp;CHAR(10)&amp;"إذا رغبت، يمكننا توضيح لماذا هذا الكورس هو الأنسب لكم الآن.")</x:f>
      </x:c>
      <x:c r="N297" s="12" t="str">
        <x:f>IF(D297="","",HYPERLINK("https://wa.me/"&amp;REGEXREPLACE(D297,"[^\d]","")&amp;"?text="&amp;ENCODEURL(M297),"واتساب 2"))</x:f>
      </x:c>
      <x:c r="O297" s="12" t="str">
        <x:f>IF(A297="","","مرحبًا "&amp;C297&amp;CHAR(10)&amp;CHAR(10)&amp;"إذا كانت التحديات لديكم تحتاج حلًا أشمل، فالبرنامج الكامل المناسب لكم هو: "&amp;H297&amp;"."&amp;IF(I297&lt;&gt;"",CHAR(10)&amp;"كما يمكنكم أيضًا حجز: "&amp;I297&amp;".","")&amp;IF(J297&lt;&gt;"",CHAR(10)&amp;CHAR(10)&amp;"رابط التقرير: "&amp;J297,"")&amp;CHAR(10)&amp;CHAR(10)&amp;"يسعدنا مساعدتكم في اختيار المسار الأنسب حسب وضع العيادة الحالي.")</x:f>
      </x:c>
      <x:c r="P297" s="12" t="str">
        <x:f>IF(D297="","",HYPERLINK("https://wa.me/"&amp;REGEXREPLACE(D297,"[^\d]","")&amp;"?text="&amp;ENCODEURL(O297),"واتساب 3"))</x:f>
      </x:c>
    </x:row>
    <x:row r="298" ht="15" hidden="0" customHeight="1">
      <x:c r="A298" s="12" t="str">
        <x:f>IF(Leads!A298="","",Leads!A298)</x:f>
      </x:c>
      <x:c r="B298" s="12" t="str">
        <x:f>IF(Leads!F298="","",Leads!F298)</x:f>
      </x:c>
      <x:c r="C298" s="12" t="str">
        <x:f>IF(Leads!G298="","",Leads!G298)</x:f>
      </x:c>
      <x:c r="D298" s="12" t="str">
        <x:f>IF(Leads!O298="","",Leads!O298)</x:f>
      </x:c>
      <x:c r="E298" s="12" t="str">
        <x:f>IF(Leads!AV298="","",Leads!AV298)</x:f>
      </x:c>
      <x:c r="F298" s="12" t="str">
        <x:f>IF(Leads!AX298="","",Leads!AX298)</x:f>
      </x:c>
      <x:c r="G298" s="12" t="str">
        <x:f>IF(Leads!BC298="","",Leads!BC298)</x:f>
      </x:c>
      <x:c r="H298" s="12" t="str">
        <x:f>IF(Leads!BE298="","",Leads!BE298)</x:f>
      </x:c>
      <x:c r="I298" s="12" t="str">
        <x:f>IF(Leads!BG298="","",Leads!BG298)</x:f>
      </x:c>
      <x:c r="J298" s="12" t="str">
        <x:f>IF(Leads!BH298="","",Leads!BH298)</x:f>
      </x:c>
      <x:c r="K298" s="12" t="str">
        <x:f>IF(A298="","","مرحبًا "&amp;C298&amp;CHAR(10)&amp;CHAR(10)&amp;"شكرًا لإتمام تقييم DBD الخاص بعيادة "&amp;B298&amp;"."&amp;CHAR(10)&amp;"نتيجتكم الحالية: "&amp;E298&amp;"%."&amp;CHAR(10)&amp;"أولوية التحسين الأولى: "&amp;F298&amp;"."&amp;IF(J298&lt;&gt;"",CHAR(10)&amp;CHAR(10)&amp;"رابط التقرير: "&amp;J298,"")&amp;CHAR(10)&amp;CHAR(10)&amp;"إذا أحببت، يمكننا مساعدتك في فهم التقرير وتحديد أفضل خطوة تالية لعيادتكم.")</x:f>
      </x:c>
      <x:c r="L298" s="12" t="str">
        <x:f>IF(D298="","",HYPERLINK("https://wa.me/"&amp;REGEXREPLACE(D298,"[^\d]","")&amp;"?text="&amp;ENCODEURL(K298),"واتساب 1"))</x:f>
      </x:c>
      <x:c r="M298" s="12" t="str">
        <x:f>IF(A298="","","مرحبًا "&amp;C298&amp;CHAR(10)&amp;CHAR(10)&amp;"بناءً على نتيجة تقييم عيادة "&amp;B298&amp;"، فإن الترشيح الأقوى لكم الآن هو: "&amp;G298&amp;"."&amp;CHAR(10)&amp;"هذا الخيار يساعدكم في معالجة أكبر فجوة حالية بشكل عملي ومباشر."&amp;IF(J298&lt;&gt;"",CHAR(10)&amp;CHAR(10)&amp;"رابط التقرير: "&amp;J298,"")&amp;CHAR(10)&amp;CHAR(10)&amp;"إذا رغبت، يمكننا توضيح لماذا هذا الكورس هو الأنسب لكم الآن.")</x:f>
      </x:c>
      <x:c r="N298" s="12" t="str">
        <x:f>IF(D298="","",HYPERLINK("https://wa.me/"&amp;REGEXREPLACE(D298,"[^\d]","")&amp;"?text="&amp;ENCODEURL(M298),"واتساب 2"))</x:f>
      </x:c>
      <x:c r="O298" s="12" t="str">
        <x:f>IF(A298="","","مرحبًا "&amp;C298&amp;CHAR(10)&amp;CHAR(10)&amp;"إذا كانت التحديات لديكم تحتاج حلًا أشمل، فالبرنامج الكامل المناسب لكم هو: "&amp;H298&amp;"."&amp;IF(I298&lt;&gt;"",CHAR(10)&amp;"كما يمكنكم أيضًا حجز: "&amp;I298&amp;".","")&amp;IF(J298&lt;&gt;"",CHAR(10)&amp;CHAR(10)&amp;"رابط التقرير: "&amp;J298,"")&amp;CHAR(10)&amp;CHAR(10)&amp;"يسعدنا مساعدتكم في اختيار المسار الأنسب حسب وضع العيادة الحالي.")</x:f>
      </x:c>
      <x:c r="P298" s="12" t="str">
        <x:f>IF(D298="","",HYPERLINK("https://wa.me/"&amp;REGEXREPLACE(D298,"[^\d]","")&amp;"?text="&amp;ENCODEURL(O298),"واتساب 3"))</x:f>
      </x:c>
    </x:row>
    <x:row r="299" ht="15" hidden="0" customHeight="1">
      <x:c r="A299" s="12" t="str">
        <x:f>IF(Leads!A299="","",Leads!A299)</x:f>
      </x:c>
      <x:c r="B299" s="12" t="str">
        <x:f>IF(Leads!F299="","",Leads!F299)</x:f>
      </x:c>
      <x:c r="C299" s="12" t="str">
        <x:f>IF(Leads!G299="","",Leads!G299)</x:f>
      </x:c>
      <x:c r="D299" s="12" t="str">
        <x:f>IF(Leads!O299="","",Leads!O299)</x:f>
      </x:c>
      <x:c r="E299" s="12" t="str">
        <x:f>IF(Leads!AV299="","",Leads!AV299)</x:f>
      </x:c>
      <x:c r="F299" s="12" t="str">
        <x:f>IF(Leads!AX299="","",Leads!AX299)</x:f>
      </x:c>
      <x:c r="G299" s="12" t="str">
        <x:f>IF(Leads!BC299="","",Leads!BC299)</x:f>
      </x:c>
      <x:c r="H299" s="12" t="str">
        <x:f>IF(Leads!BE299="","",Leads!BE299)</x:f>
      </x:c>
      <x:c r="I299" s="12" t="str">
        <x:f>IF(Leads!BG299="","",Leads!BG299)</x:f>
      </x:c>
      <x:c r="J299" s="12" t="str">
        <x:f>IF(Leads!BH299="","",Leads!BH299)</x:f>
      </x:c>
      <x:c r="K299" s="12" t="str">
        <x:f>IF(A299="","","مرحبًا "&amp;C299&amp;CHAR(10)&amp;CHAR(10)&amp;"شكرًا لإتمام تقييم DBD الخاص بعيادة "&amp;B299&amp;"."&amp;CHAR(10)&amp;"نتيجتكم الحالية: "&amp;E299&amp;"%."&amp;CHAR(10)&amp;"أولوية التحسين الأولى: "&amp;F299&amp;"."&amp;IF(J299&lt;&gt;"",CHAR(10)&amp;CHAR(10)&amp;"رابط التقرير: "&amp;J299,"")&amp;CHAR(10)&amp;CHAR(10)&amp;"إذا أحببت، يمكننا مساعدتك في فهم التقرير وتحديد أفضل خطوة تالية لعيادتكم.")</x:f>
      </x:c>
      <x:c r="L299" s="12" t="str">
        <x:f>IF(D299="","",HYPERLINK("https://wa.me/"&amp;REGEXREPLACE(D299,"[^\d]","")&amp;"?text="&amp;ENCODEURL(K299),"واتساب 1"))</x:f>
      </x:c>
      <x:c r="M299" s="12" t="str">
        <x:f>IF(A299="","","مرحبًا "&amp;C299&amp;CHAR(10)&amp;CHAR(10)&amp;"بناءً على نتيجة تقييم عيادة "&amp;B299&amp;"، فإن الترشيح الأقوى لكم الآن هو: "&amp;G299&amp;"."&amp;CHAR(10)&amp;"هذا الخيار يساعدكم في معالجة أكبر فجوة حالية بشكل عملي ومباشر."&amp;IF(J299&lt;&gt;"",CHAR(10)&amp;CHAR(10)&amp;"رابط التقرير: "&amp;J299,"")&amp;CHAR(10)&amp;CHAR(10)&amp;"إذا رغبت، يمكننا توضيح لماذا هذا الكورس هو الأنسب لكم الآن.")</x:f>
      </x:c>
      <x:c r="N299" s="12" t="str">
        <x:f>IF(D299="","",HYPERLINK("https://wa.me/"&amp;REGEXREPLACE(D299,"[^\d]","")&amp;"?text="&amp;ENCODEURL(M299),"واتساب 2"))</x:f>
      </x:c>
      <x:c r="O299" s="12" t="str">
        <x:f>IF(A299="","","مرحبًا "&amp;C299&amp;CHAR(10)&amp;CHAR(10)&amp;"إذا كانت التحديات لديكم تحتاج حلًا أشمل، فالبرنامج الكامل المناسب لكم هو: "&amp;H299&amp;"."&amp;IF(I299&lt;&gt;"",CHAR(10)&amp;"كما يمكنكم أيضًا حجز: "&amp;I299&amp;".","")&amp;IF(J299&lt;&gt;"",CHAR(10)&amp;CHAR(10)&amp;"رابط التقرير: "&amp;J299,"")&amp;CHAR(10)&amp;CHAR(10)&amp;"يسعدنا مساعدتكم في اختيار المسار الأنسب حسب وضع العيادة الحالي.")</x:f>
      </x:c>
      <x:c r="P299" s="12" t="str">
        <x:f>IF(D299="","",HYPERLINK("https://wa.me/"&amp;REGEXREPLACE(D299,"[^\d]","")&amp;"?text="&amp;ENCODEURL(O299),"واتساب 3"))</x:f>
      </x:c>
    </x:row>
    <x:row r="300" ht="15" hidden="0" customHeight="1">
      <x:c r="A300" s="12" t="str">
        <x:f>IF(Leads!A300="","",Leads!A300)</x:f>
      </x:c>
      <x:c r="B300" s="12" t="str">
        <x:f>IF(Leads!F300="","",Leads!F300)</x:f>
      </x:c>
      <x:c r="C300" s="12" t="str">
        <x:f>IF(Leads!G300="","",Leads!G300)</x:f>
      </x:c>
      <x:c r="D300" s="12" t="str">
        <x:f>IF(Leads!O300="","",Leads!O300)</x:f>
      </x:c>
      <x:c r="E300" s="12" t="str">
        <x:f>IF(Leads!AV300="","",Leads!AV300)</x:f>
      </x:c>
      <x:c r="F300" s="12" t="str">
        <x:f>IF(Leads!AX300="","",Leads!AX300)</x:f>
      </x:c>
      <x:c r="G300" s="12" t="str">
        <x:f>IF(Leads!BC300="","",Leads!BC300)</x:f>
      </x:c>
      <x:c r="H300" s="12" t="str">
        <x:f>IF(Leads!BE300="","",Leads!BE300)</x:f>
      </x:c>
      <x:c r="I300" s="12" t="str">
        <x:f>IF(Leads!BG300="","",Leads!BG300)</x:f>
      </x:c>
      <x:c r="J300" s="12" t="str">
        <x:f>IF(Leads!BH300="","",Leads!BH300)</x:f>
      </x:c>
      <x:c r="K300" s="12" t="str">
        <x:f>IF(A300="","","مرحبًا "&amp;C300&amp;CHAR(10)&amp;CHAR(10)&amp;"شكرًا لإتمام تقييم DBD الخاص بعيادة "&amp;B300&amp;"."&amp;CHAR(10)&amp;"نتيجتكم الحالية: "&amp;E300&amp;"%."&amp;CHAR(10)&amp;"أولوية التحسين الأولى: "&amp;F300&amp;"."&amp;IF(J300&lt;&gt;"",CHAR(10)&amp;CHAR(10)&amp;"رابط التقرير: "&amp;J300,"")&amp;CHAR(10)&amp;CHAR(10)&amp;"إذا أحببت، يمكننا مساعدتك في فهم التقرير وتحديد أفضل خطوة تالية لعيادتكم.")</x:f>
      </x:c>
      <x:c r="L300" s="12" t="str">
        <x:f>IF(D300="","",HYPERLINK("https://wa.me/"&amp;REGEXREPLACE(D300,"[^\d]","")&amp;"?text="&amp;ENCODEURL(K300),"واتساب 1"))</x:f>
      </x:c>
      <x:c r="M300" s="12" t="str">
        <x:f>IF(A300="","","مرحبًا "&amp;C300&amp;CHAR(10)&amp;CHAR(10)&amp;"بناءً على نتيجة تقييم عيادة "&amp;B300&amp;"، فإن الترشيح الأقوى لكم الآن هو: "&amp;G300&amp;"."&amp;CHAR(10)&amp;"هذا الخيار يساعدكم في معالجة أكبر فجوة حالية بشكل عملي ومباشر."&amp;IF(J300&lt;&gt;"",CHAR(10)&amp;CHAR(10)&amp;"رابط التقرير: "&amp;J300,"")&amp;CHAR(10)&amp;CHAR(10)&amp;"إذا رغبت، يمكننا توضيح لماذا هذا الكورس هو الأنسب لكم الآن.")</x:f>
      </x:c>
      <x:c r="N300" s="12" t="str">
        <x:f>IF(D300="","",HYPERLINK("https://wa.me/"&amp;REGEXREPLACE(D300,"[^\d]","")&amp;"?text="&amp;ENCODEURL(M300),"واتساب 2"))</x:f>
      </x:c>
      <x:c r="O300" s="12" t="str">
        <x:f>IF(A300="","","مرحبًا "&amp;C300&amp;CHAR(10)&amp;CHAR(10)&amp;"إذا كانت التحديات لديكم تحتاج حلًا أشمل، فالبرنامج الكامل المناسب لكم هو: "&amp;H300&amp;"."&amp;IF(I300&lt;&gt;"",CHAR(10)&amp;"كما يمكنكم أيضًا حجز: "&amp;I300&amp;".","")&amp;IF(J300&lt;&gt;"",CHAR(10)&amp;CHAR(10)&amp;"رابط التقرير: "&amp;J300,"")&amp;CHAR(10)&amp;CHAR(10)&amp;"يسعدنا مساعدتكم في اختيار المسار الأنسب حسب وضع العيادة الحالي.")</x:f>
      </x:c>
      <x:c r="P300" s="12" t="str">
        <x:f>IF(D300="","",HYPERLINK("https://wa.me/"&amp;REGEXREPLACE(D300,"[^\d]","")&amp;"?text="&amp;ENCODEURL(O300),"واتساب 3"))</x:f>
      </x:c>
    </x:row>
    <x:row r="301" ht="15" hidden="0" customHeight="1">
      <x:c r="A301" s="12" t="str">
        <x:f>IF(Leads!A301="","",Leads!A301)</x:f>
      </x:c>
      <x:c r="B301" s="12" t="str">
        <x:f>IF(Leads!F301="","",Leads!F301)</x:f>
      </x:c>
      <x:c r="C301" s="12" t="str">
        <x:f>IF(Leads!G301="","",Leads!G301)</x:f>
      </x:c>
      <x:c r="D301" s="12" t="str">
        <x:f>IF(Leads!O301="","",Leads!O301)</x:f>
      </x:c>
      <x:c r="E301" s="12" t="str">
        <x:f>IF(Leads!AV301="","",Leads!AV301)</x:f>
      </x:c>
      <x:c r="F301" s="12" t="str">
        <x:f>IF(Leads!AX301="","",Leads!AX301)</x:f>
      </x:c>
      <x:c r="G301" s="12" t="str">
        <x:f>IF(Leads!BC301="","",Leads!BC301)</x:f>
      </x:c>
      <x:c r="H301" s="12" t="str">
        <x:f>IF(Leads!BE301="","",Leads!BE301)</x:f>
      </x:c>
      <x:c r="I301" s="12" t="str">
        <x:f>IF(Leads!BG301="","",Leads!BG301)</x:f>
      </x:c>
      <x:c r="J301" s="12" t="str">
        <x:f>IF(Leads!BH301="","",Leads!BH301)</x:f>
      </x:c>
      <x:c r="K301" s="12" t="str">
        <x:f>IF(A301="","","مرحبًا "&amp;C301&amp;CHAR(10)&amp;CHAR(10)&amp;"شكرًا لإتمام تقييم DBD الخاص بعيادة "&amp;B301&amp;"."&amp;CHAR(10)&amp;"نتيجتكم الحالية: "&amp;E301&amp;"%."&amp;CHAR(10)&amp;"أولوية التحسين الأولى: "&amp;F301&amp;"."&amp;IF(J301&lt;&gt;"",CHAR(10)&amp;CHAR(10)&amp;"رابط التقرير: "&amp;J301,"")&amp;CHAR(10)&amp;CHAR(10)&amp;"إذا أحببت، يمكننا مساعدتك في فهم التقرير وتحديد أفضل خطوة تالية لعيادتكم.")</x:f>
      </x:c>
      <x:c r="L301" s="12" t="str">
        <x:f>IF(D301="","",HYPERLINK("https://wa.me/"&amp;REGEXREPLACE(D301,"[^\d]","")&amp;"?text="&amp;ENCODEURL(K301),"واتساب 1"))</x:f>
      </x:c>
      <x:c r="M301" s="12" t="str">
        <x:f>IF(A301="","","مرحبًا "&amp;C301&amp;CHAR(10)&amp;CHAR(10)&amp;"بناءً على نتيجة تقييم عيادة "&amp;B301&amp;"، فإن الترشيح الأقوى لكم الآن هو: "&amp;G301&amp;"."&amp;CHAR(10)&amp;"هذا الخيار يساعدكم في معالجة أكبر فجوة حالية بشكل عملي ومباشر."&amp;IF(J301&lt;&gt;"",CHAR(10)&amp;CHAR(10)&amp;"رابط التقرير: "&amp;J301,"")&amp;CHAR(10)&amp;CHAR(10)&amp;"إذا رغبت، يمكننا توضيح لماذا هذا الكورس هو الأنسب لكم الآن.")</x:f>
      </x:c>
      <x:c r="N301" s="12" t="str">
        <x:f>IF(D301="","",HYPERLINK("https://wa.me/"&amp;REGEXREPLACE(D301,"[^\d]","")&amp;"?text="&amp;ENCODEURL(M301),"واتساب 2"))</x:f>
      </x:c>
      <x:c r="O301" s="12" t="str">
        <x:f>IF(A301="","","مرحبًا "&amp;C301&amp;CHAR(10)&amp;CHAR(10)&amp;"إذا كانت التحديات لديكم تحتاج حلًا أشمل، فالبرنامج الكامل المناسب لكم هو: "&amp;H301&amp;"."&amp;IF(I301&lt;&gt;"",CHAR(10)&amp;"كما يمكنكم أيضًا حجز: "&amp;I301&amp;".","")&amp;IF(J301&lt;&gt;"",CHAR(10)&amp;CHAR(10)&amp;"رابط التقرير: "&amp;J301,"")&amp;CHAR(10)&amp;CHAR(10)&amp;"يسعدنا مساعدتكم في اختيار المسار الأنسب حسب وضع العيادة الحالي.")</x:f>
      </x:c>
      <x:c r="P301" s="12" t="str">
        <x:f>IF(D301="","",HYPERLINK("https://wa.me/"&amp;REGEXREPLACE(D301,"[^\d]","")&amp;"?text="&amp;ENCODEURL(O301),"واتساب 3"))</x:f>
      </x:c>
    </x:row>
    <x:row r="302" ht="15" hidden="0" customHeight="1">
      <x:c r="A302" s="12" t="str">
        <x:f>IF(Leads!A302="","",Leads!A302)</x:f>
      </x:c>
      <x:c r="B302" s="12" t="str">
        <x:f>IF(Leads!F302="","",Leads!F302)</x:f>
      </x:c>
      <x:c r="C302" s="12" t="str">
        <x:f>IF(Leads!G302="","",Leads!G302)</x:f>
      </x:c>
      <x:c r="D302" s="12" t="str">
        <x:f>IF(Leads!O302="","",Leads!O302)</x:f>
      </x:c>
      <x:c r="E302" s="12" t="str">
        <x:f>IF(Leads!AV302="","",Leads!AV302)</x:f>
      </x:c>
      <x:c r="F302" s="12" t="str">
        <x:f>IF(Leads!AX302="","",Leads!AX302)</x:f>
      </x:c>
      <x:c r="G302" s="12" t="str">
        <x:f>IF(Leads!BC302="","",Leads!BC302)</x:f>
      </x:c>
      <x:c r="H302" s="12" t="str">
        <x:f>IF(Leads!BE302="","",Leads!BE302)</x:f>
      </x:c>
      <x:c r="I302" s="12" t="str">
        <x:f>IF(Leads!BG302="","",Leads!BG302)</x:f>
      </x:c>
      <x:c r="J302" s="12" t="str">
        <x:f>IF(Leads!BH302="","",Leads!BH302)</x:f>
      </x:c>
      <x:c r="K302" s="12" t="str">
        <x:f>IF(A302="","","مرحبًا "&amp;C302&amp;CHAR(10)&amp;CHAR(10)&amp;"شكرًا لإتمام تقييم DBD الخاص بعيادة "&amp;B302&amp;"."&amp;CHAR(10)&amp;"نتيجتكم الحالية: "&amp;E302&amp;"%."&amp;CHAR(10)&amp;"أولوية التحسين الأولى: "&amp;F302&amp;"."&amp;IF(J302&lt;&gt;"",CHAR(10)&amp;CHAR(10)&amp;"رابط التقرير: "&amp;J302,"")&amp;CHAR(10)&amp;CHAR(10)&amp;"إذا أحببت، يمكننا مساعدتك في فهم التقرير وتحديد أفضل خطوة تالية لعيادتكم.")</x:f>
      </x:c>
      <x:c r="L302" s="12" t="str">
        <x:f>IF(D302="","",HYPERLINK("https://wa.me/"&amp;REGEXREPLACE(D302,"[^\d]","")&amp;"?text="&amp;ENCODEURL(K302),"واتساب 1"))</x:f>
      </x:c>
      <x:c r="M302" s="12" t="str">
        <x:f>IF(A302="","","مرحبًا "&amp;C302&amp;CHAR(10)&amp;CHAR(10)&amp;"بناءً على نتيجة تقييم عيادة "&amp;B302&amp;"، فإن الترشيح الأقوى لكم الآن هو: "&amp;G302&amp;"."&amp;CHAR(10)&amp;"هذا الخيار يساعدكم في معالجة أكبر فجوة حالية بشكل عملي ومباشر."&amp;IF(J302&lt;&gt;"",CHAR(10)&amp;CHAR(10)&amp;"رابط التقرير: "&amp;J302,"")&amp;CHAR(10)&amp;CHAR(10)&amp;"إذا رغبت، يمكننا توضيح لماذا هذا الكورس هو الأنسب لكم الآن.")</x:f>
      </x:c>
      <x:c r="N302" s="12" t="str">
        <x:f>IF(D302="","",HYPERLINK("https://wa.me/"&amp;REGEXREPLACE(D302,"[^\d]","")&amp;"?text="&amp;ENCODEURL(M302),"واتساب 2"))</x:f>
      </x:c>
      <x:c r="O302" s="12" t="str">
        <x:f>IF(A302="","","مرحبًا "&amp;C302&amp;CHAR(10)&amp;CHAR(10)&amp;"إذا كانت التحديات لديكم تحتاج حلًا أشمل، فالبرنامج الكامل المناسب لكم هو: "&amp;H302&amp;"."&amp;IF(I302&lt;&gt;"",CHAR(10)&amp;"كما يمكنكم أيضًا حجز: "&amp;I302&amp;".","")&amp;IF(J302&lt;&gt;"",CHAR(10)&amp;CHAR(10)&amp;"رابط التقرير: "&amp;J302,"")&amp;CHAR(10)&amp;CHAR(10)&amp;"يسعدنا مساعدتكم في اختيار المسار الأنسب حسب وضع العيادة الحالي.")</x:f>
      </x:c>
      <x:c r="P302" s="12" t="str">
        <x:f>IF(D302="","",HYPERLINK("https://wa.me/"&amp;REGEXREPLACE(D302,"[^\d]","")&amp;"?text="&amp;ENCODEURL(O302),"واتساب 3"))</x:f>
      </x:c>
    </x:row>
    <x:row r="303" ht="15" hidden="0" customHeight="1">
      <x:c r="A303" s="12" t="str">
        <x:f>IF(Leads!A303="","",Leads!A303)</x:f>
      </x:c>
      <x:c r="B303" s="12" t="str">
        <x:f>IF(Leads!F303="","",Leads!F303)</x:f>
      </x:c>
      <x:c r="C303" s="12" t="str">
        <x:f>IF(Leads!G303="","",Leads!G303)</x:f>
      </x:c>
      <x:c r="D303" s="12" t="str">
        <x:f>IF(Leads!O303="","",Leads!O303)</x:f>
      </x:c>
      <x:c r="E303" s="12" t="str">
        <x:f>IF(Leads!AV303="","",Leads!AV303)</x:f>
      </x:c>
      <x:c r="F303" s="12" t="str">
        <x:f>IF(Leads!AX303="","",Leads!AX303)</x:f>
      </x:c>
      <x:c r="G303" s="12" t="str">
        <x:f>IF(Leads!BC303="","",Leads!BC303)</x:f>
      </x:c>
      <x:c r="H303" s="12" t="str">
        <x:f>IF(Leads!BE303="","",Leads!BE303)</x:f>
      </x:c>
      <x:c r="I303" s="12" t="str">
        <x:f>IF(Leads!BG303="","",Leads!BG303)</x:f>
      </x:c>
      <x:c r="J303" s="12" t="str">
        <x:f>IF(Leads!BH303="","",Leads!BH303)</x:f>
      </x:c>
      <x:c r="K303" s="12" t="str">
        <x:f>IF(A303="","","مرحبًا "&amp;C303&amp;CHAR(10)&amp;CHAR(10)&amp;"شكرًا لإتمام تقييم DBD الخاص بعيادة "&amp;B303&amp;"."&amp;CHAR(10)&amp;"نتيجتكم الحالية: "&amp;E303&amp;"%."&amp;CHAR(10)&amp;"أولوية التحسين الأولى: "&amp;F303&amp;"."&amp;IF(J303&lt;&gt;"",CHAR(10)&amp;CHAR(10)&amp;"رابط التقرير: "&amp;J303,"")&amp;CHAR(10)&amp;CHAR(10)&amp;"إذا أحببت، يمكننا مساعدتك في فهم التقرير وتحديد أفضل خطوة تالية لعيادتكم.")</x:f>
      </x:c>
      <x:c r="L303" s="12" t="str">
        <x:f>IF(D303="","",HYPERLINK("https://wa.me/"&amp;REGEXREPLACE(D303,"[^\d]","")&amp;"?text="&amp;ENCODEURL(K303),"واتساب 1"))</x:f>
      </x:c>
      <x:c r="M303" s="12" t="str">
        <x:f>IF(A303="","","مرحبًا "&amp;C303&amp;CHAR(10)&amp;CHAR(10)&amp;"بناءً على نتيجة تقييم عيادة "&amp;B303&amp;"، فإن الترشيح الأقوى لكم الآن هو: "&amp;G303&amp;"."&amp;CHAR(10)&amp;"هذا الخيار يساعدكم في معالجة أكبر فجوة حالية بشكل عملي ومباشر."&amp;IF(J303&lt;&gt;"",CHAR(10)&amp;CHAR(10)&amp;"رابط التقرير: "&amp;J303,"")&amp;CHAR(10)&amp;CHAR(10)&amp;"إذا رغبت، يمكننا توضيح لماذا هذا الكورس هو الأنسب لكم الآن.")</x:f>
      </x:c>
      <x:c r="N303" s="12" t="str">
        <x:f>IF(D303="","",HYPERLINK("https://wa.me/"&amp;REGEXREPLACE(D303,"[^\d]","")&amp;"?text="&amp;ENCODEURL(M303),"واتساب 2"))</x:f>
      </x:c>
      <x:c r="O303" s="12" t="str">
        <x:f>IF(A303="","","مرحبًا "&amp;C303&amp;CHAR(10)&amp;CHAR(10)&amp;"إذا كانت التحديات لديكم تحتاج حلًا أشمل، فالبرنامج الكامل المناسب لكم هو: "&amp;H303&amp;"."&amp;IF(I303&lt;&gt;"",CHAR(10)&amp;"كما يمكنكم أيضًا حجز: "&amp;I303&amp;".","")&amp;IF(J303&lt;&gt;"",CHAR(10)&amp;CHAR(10)&amp;"رابط التقرير: "&amp;J303,"")&amp;CHAR(10)&amp;CHAR(10)&amp;"يسعدنا مساعدتكم في اختيار المسار الأنسب حسب وضع العيادة الحالي.")</x:f>
      </x:c>
      <x:c r="P303" s="12" t="str">
        <x:f>IF(D303="","",HYPERLINK("https://wa.me/"&amp;REGEXREPLACE(D303,"[^\d]","")&amp;"?text="&amp;ENCODEURL(O303),"واتساب 3"))</x:f>
      </x:c>
    </x:row>
    <x:row r="304" ht="15" hidden="0" customHeight="1">
      <x:c r="A304" s="12" t="str">
        <x:f>IF(Leads!A304="","",Leads!A304)</x:f>
      </x:c>
      <x:c r="B304" s="12" t="str">
        <x:f>IF(Leads!F304="","",Leads!F304)</x:f>
      </x:c>
      <x:c r="C304" s="12" t="str">
        <x:f>IF(Leads!G304="","",Leads!G304)</x:f>
      </x:c>
      <x:c r="D304" s="12" t="str">
        <x:f>IF(Leads!O304="","",Leads!O304)</x:f>
      </x:c>
      <x:c r="E304" s="12" t="str">
        <x:f>IF(Leads!AV304="","",Leads!AV304)</x:f>
      </x:c>
      <x:c r="F304" s="12" t="str">
        <x:f>IF(Leads!AX304="","",Leads!AX304)</x:f>
      </x:c>
      <x:c r="G304" s="12" t="str">
        <x:f>IF(Leads!BC304="","",Leads!BC304)</x:f>
      </x:c>
      <x:c r="H304" s="12" t="str">
        <x:f>IF(Leads!BE304="","",Leads!BE304)</x:f>
      </x:c>
      <x:c r="I304" s="12" t="str">
        <x:f>IF(Leads!BG304="","",Leads!BG304)</x:f>
      </x:c>
      <x:c r="J304" s="12" t="str">
        <x:f>IF(Leads!BH304="","",Leads!BH304)</x:f>
      </x:c>
      <x:c r="K304" s="12" t="str">
        <x:f>IF(A304="","","مرحبًا "&amp;C304&amp;CHAR(10)&amp;CHAR(10)&amp;"شكرًا لإتمام تقييم DBD الخاص بعيادة "&amp;B304&amp;"."&amp;CHAR(10)&amp;"نتيجتكم الحالية: "&amp;E304&amp;"%."&amp;CHAR(10)&amp;"أولوية التحسين الأولى: "&amp;F304&amp;"."&amp;IF(J304&lt;&gt;"",CHAR(10)&amp;CHAR(10)&amp;"رابط التقرير: "&amp;J304,"")&amp;CHAR(10)&amp;CHAR(10)&amp;"إذا أحببت، يمكننا مساعدتك في فهم التقرير وتحديد أفضل خطوة تالية لعيادتكم.")</x:f>
      </x:c>
      <x:c r="L304" s="12" t="str">
        <x:f>IF(D304="","",HYPERLINK("https://wa.me/"&amp;REGEXREPLACE(D304,"[^\d]","")&amp;"?text="&amp;ENCODEURL(K304),"واتساب 1"))</x:f>
      </x:c>
      <x:c r="M304" s="12" t="str">
        <x:f>IF(A304="","","مرحبًا "&amp;C304&amp;CHAR(10)&amp;CHAR(10)&amp;"بناءً على نتيجة تقييم عيادة "&amp;B304&amp;"، فإن الترشيح الأقوى لكم الآن هو: "&amp;G304&amp;"."&amp;CHAR(10)&amp;"هذا الخيار يساعدكم في معالجة أكبر فجوة حالية بشكل عملي ومباشر."&amp;IF(J304&lt;&gt;"",CHAR(10)&amp;CHAR(10)&amp;"رابط التقرير: "&amp;J304,"")&amp;CHAR(10)&amp;CHAR(10)&amp;"إذا رغبت، يمكننا توضيح لماذا هذا الكورس هو الأنسب لكم الآن.")</x:f>
      </x:c>
      <x:c r="N304" s="12" t="str">
        <x:f>IF(D304="","",HYPERLINK("https://wa.me/"&amp;REGEXREPLACE(D304,"[^\d]","")&amp;"?text="&amp;ENCODEURL(M304),"واتساب 2"))</x:f>
      </x:c>
      <x:c r="O304" s="12" t="str">
        <x:f>IF(A304="","","مرحبًا "&amp;C304&amp;CHAR(10)&amp;CHAR(10)&amp;"إذا كانت التحديات لديكم تحتاج حلًا أشمل، فالبرنامج الكامل المناسب لكم هو: "&amp;H304&amp;"."&amp;IF(I304&lt;&gt;"",CHAR(10)&amp;"كما يمكنكم أيضًا حجز: "&amp;I304&amp;".","")&amp;IF(J304&lt;&gt;"",CHAR(10)&amp;CHAR(10)&amp;"رابط التقرير: "&amp;J304,"")&amp;CHAR(10)&amp;CHAR(10)&amp;"يسعدنا مساعدتكم في اختيار المسار الأنسب حسب وضع العيادة الحالي.")</x:f>
      </x:c>
      <x:c r="P304" s="12" t="str">
        <x:f>IF(D304="","",HYPERLINK("https://wa.me/"&amp;REGEXREPLACE(D304,"[^\d]","")&amp;"?text="&amp;ENCODEURL(O304),"واتساب 3"))</x:f>
      </x:c>
    </x:row>
    <x:row r="305" ht="15" hidden="0" customHeight="1">
      <x:c r="A305" s="12" t="str">
        <x:f>IF(Leads!A305="","",Leads!A305)</x:f>
      </x:c>
      <x:c r="B305" s="12" t="str">
        <x:f>IF(Leads!F305="","",Leads!F305)</x:f>
      </x:c>
      <x:c r="C305" s="12" t="str">
        <x:f>IF(Leads!G305="","",Leads!G305)</x:f>
      </x:c>
      <x:c r="D305" s="12" t="str">
        <x:f>IF(Leads!O305="","",Leads!O305)</x:f>
      </x:c>
      <x:c r="E305" s="12" t="str">
        <x:f>IF(Leads!AV305="","",Leads!AV305)</x:f>
      </x:c>
      <x:c r="F305" s="12" t="str">
        <x:f>IF(Leads!AX305="","",Leads!AX305)</x:f>
      </x:c>
      <x:c r="G305" s="12" t="str">
        <x:f>IF(Leads!BC305="","",Leads!BC305)</x:f>
      </x:c>
      <x:c r="H305" s="12" t="str">
        <x:f>IF(Leads!BE305="","",Leads!BE305)</x:f>
      </x:c>
      <x:c r="I305" s="12" t="str">
        <x:f>IF(Leads!BG305="","",Leads!BG305)</x:f>
      </x:c>
      <x:c r="J305" s="12" t="str">
        <x:f>IF(Leads!BH305="","",Leads!BH305)</x:f>
      </x:c>
      <x:c r="K305" s="12" t="str">
        <x:f>IF(A305="","","مرحبًا "&amp;C305&amp;CHAR(10)&amp;CHAR(10)&amp;"شكرًا لإتمام تقييم DBD الخاص بعيادة "&amp;B305&amp;"."&amp;CHAR(10)&amp;"نتيجتكم الحالية: "&amp;E305&amp;"%."&amp;CHAR(10)&amp;"أولوية التحسين الأولى: "&amp;F305&amp;"."&amp;IF(J305&lt;&gt;"",CHAR(10)&amp;CHAR(10)&amp;"رابط التقرير: "&amp;J305,"")&amp;CHAR(10)&amp;CHAR(10)&amp;"إذا أحببت، يمكننا مساعدتك في فهم التقرير وتحديد أفضل خطوة تالية لعيادتكم.")</x:f>
      </x:c>
      <x:c r="L305" s="12" t="str">
        <x:f>IF(D305="","",HYPERLINK("https://wa.me/"&amp;REGEXREPLACE(D305,"[^\d]","")&amp;"?text="&amp;ENCODEURL(K305),"واتساب 1"))</x:f>
      </x:c>
      <x:c r="M305" s="12" t="str">
        <x:f>IF(A305="","","مرحبًا "&amp;C305&amp;CHAR(10)&amp;CHAR(10)&amp;"بناءً على نتيجة تقييم عيادة "&amp;B305&amp;"، فإن الترشيح الأقوى لكم الآن هو: "&amp;G305&amp;"."&amp;CHAR(10)&amp;"هذا الخيار يساعدكم في معالجة أكبر فجوة حالية بشكل عملي ومباشر."&amp;IF(J305&lt;&gt;"",CHAR(10)&amp;CHAR(10)&amp;"رابط التقرير: "&amp;J305,"")&amp;CHAR(10)&amp;CHAR(10)&amp;"إذا رغبت، يمكننا توضيح لماذا هذا الكورس هو الأنسب لكم الآن.")</x:f>
      </x:c>
      <x:c r="N305" s="12" t="str">
        <x:f>IF(D305="","",HYPERLINK("https://wa.me/"&amp;REGEXREPLACE(D305,"[^\d]","")&amp;"?text="&amp;ENCODEURL(M305),"واتساب 2"))</x:f>
      </x:c>
      <x:c r="O305" s="12" t="str">
        <x:f>IF(A305="","","مرحبًا "&amp;C305&amp;CHAR(10)&amp;CHAR(10)&amp;"إذا كانت التحديات لديكم تحتاج حلًا أشمل، فالبرنامج الكامل المناسب لكم هو: "&amp;H305&amp;"."&amp;IF(I305&lt;&gt;"",CHAR(10)&amp;"كما يمكنكم أيضًا حجز: "&amp;I305&amp;".","")&amp;IF(J305&lt;&gt;"",CHAR(10)&amp;CHAR(10)&amp;"رابط التقرير: "&amp;J305,"")&amp;CHAR(10)&amp;CHAR(10)&amp;"يسعدنا مساعدتكم في اختيار المسار الأنسب حسب وضع العيادة الحالي.")</x:f>
      </x:c>
      <x:c r="P305" s="12" t="str">
        <x:f>IF(D305="","",HYPERLINK("https://wa.me/"&amp;REGEXREPLACE(D305,"[^\d]","")&amp;"?text="&amp;ENCODEURL(O305),"واتساب 3"))</x:f>
      </x:c>
    </x:row>
    <x:row r="306" ht="15" hidden="0" customHeight="1">
      <x:c r="A306" s="12" t="str">
        <x:f>IF(Leads!A306="","",Leads!A306)</x:f>
      </x:c>
      <x:c r="B306" s="12" t="str">
        <x:f>IF(Leads!F306="","",Leads!F306)</x:f>
      </x:c>
      <x:c r="C306" s="12" t="str">
        <x:f>IF(Leads!G306="","",Leads!G306)</x:f>
      </x:c>
      <x:c r="D306" s="12" t="str">
        <x:f>IF(Leads!O306="","",Leads!O306)</x:f>
      </x:c>
      <x:c r="E306" s="12" t="str">
        <x:f>IF(Leads!AV306="","",Leads!AV306)</x:f>
      </x:c>
      <x:c r="F306" s="12" t="str">
        <x:f>IF(Leads!AX306="","",Leads!AX306)</x:f>
      </x:c>
      <x:c r="G306" s="12" t="str">
        <x:f>IF(Leads!BC306="","",Leads!BC306)</x:f>
      </x:c>
      <x:c r="H306" s="12" t="str">
        <x:f>IF(Leads!BE306="","",Leads!BE306)</x:f>
      </x:c>
      <x:c r="I306" s="12" t="str">
        <x:f>IF(Leads!BG306="","",Leads!BG306)</x:f>
      </x:c>
      <x:c r="J306" s="12" t="str">
        <x:f>IF(Leads!BH306="","",Leads!BH306)</x:f>
      </x:c>
      <x:c r="K306" s="12" t="str">
        <x:f>IF(A306="","","مرحبًا "&amp;C306&amp;CHAR(10)&amp;CHAR(10)&amp;"شكرًا لإتمام تقييم DBD الخاص بعيادة "&amp;B306&amp;"."&amp;CHAR(10)&amp;"نتيجتكم الحالية: "&amp;E306&amp;"%."&amp;CHAR(10)&amp;"أولوية التحسين الأولى: "&amp;F306&amp;"."&amp;IF(J306&lt;&gt;"",CHAR(10)&amp;CHAR(10)&amp;"رابط التقرير: "&amp;J306,"")&amp;CHAR(10)&amp;CHAR(10)&amp;"إذا أحببت، يمكننا مساعدتك في فهم التقرير وتحديد أفضل خطوة تالية لعيادتكم.")</x:f>
      </x:c>
      <x:c r="L306" s="12" t="str">
        <x:f>IF(D306="","",HYPERLINK("https://wa.me/"&amp;REGEXREPLACE(D306,"[^\d]","")&amp;"?text="&amp;ENCODEURL(K306),"واتساب 1"))</x:f>
      </x:c>
      <x:c r="M306" s="12" t="str">
        <x:f>IF(A306="","","مرحبًا "&amp;C306&amp;CHAR(10)&amp;CHAR(10)&amp;"بناءً على نتيجة تقييم عيادة "&amp;B306&amp;"، فإن الترشيح الأقوى لكم الآن هو: "&amp;G306&amp;"."&amp;CHAR(10)&amp;"هذا الخيار يساعدكم في معالجة أكبر فجوة حالية بشكل عملي ومباشر."&amp;IF(J306&lt;&gt;"",CHAR(10)&amp;CHAR(10)&amp;"رابط التقرير: "&amp;J306,"")&amp;CHAR(10)&amp;CHAR(10)&amp;"إذا رغبت، يمكننا توضيح لماذا هذا الكورس هو الأنسب لكم الآن.")</x:f>
      </x:c>
      <x:c r="N306" s="12" t="str">
        <x:f>IF(D306="","",HYPERLINK("https://wa.me/"&amp;REGEXREPLACE(D306,"[^\d]","")&amp;"?text="&amp;ENCODEURL(M306),"واتساب 2"))</x:f>
      </x:c>
      <x:c r="O306" s="12" t="str">
        <x:f>IF(A306="","","مرحبًا "&amp;C306&amp;CHAR(10)&amp;CHAR(10)&amp;"إذا كانت التحديات لديكم تحتاج حلًا أشمل، فالبرنامج الكامل المناسب لكم هو: "&amp;H306&amp;"."&amp;IF(I306&lt;&gt;"",CHAR(10)&amp;"كما يمكنكم أيضًا حجز: "&amp;I306&amp;".","")&amp;IF(J306&lt;&gt;"",CHAR(10)&amp;CHAR(10)&amp;"رابط التقرير: "&amp;J306,"")&amp;CHAR(10)&amp;CHAR(10)&amp;"يسعدنا مساعدتكم في اختيار المسار الأنسب حسب وضع العيادة الحالي.")</x:f>
      </x:c>
      <x:c r="P306" s="12" t="str">
        <x:f>IF(D306="","",HYPERLINK("https://wa.me/"&amp;REGEXREPLACE(D306,"[^\d]","")&amp;"?text="&amp;ENCODEURL(O306),"واتساب 3"))</x:f>
      </x:c>
    </x:row>
    <x:row r="307" ht="15" hidden="0" customHeight="1">
      <x:c r="A307" s="12" t="str">
        <x:f>IF(Leads!A307="","",Leads!A307)</x:f>
      </x:c>
      <x:c r="B307" s="12" t="str">
        <x:f>IF(Leads!F307="","",Leads!F307)</x:f>
      </x:c>
      <x:c r="C307" s="12" t="str">
        <x:f>IF(Leads!G307="","",Leads!G307)</x:f>
      </x:c>
      <x:c r="D307" s="12" t="str">
        <x:f>IF(Leads!O307="","",Leads!O307)</x:f>
      </x:c>
      <x:c r="E307" s="12" t="str">
        <x:f>IF(Leads!AV307="","",Leads!AV307)</x:f>
      </x:c>
      <x:c r="F307" s="12" t="str">
        <x:f>IF(Leads!AX307="","",Leads!AX307)</x:f>
      </x:c>
      <x:c r="G307" s="12" t="str">
        <x:f>IF(Leads!BC307="","",Leads!BC307)</x:f>
      </x:c>
      <x:c r="H307" s="12" t="str">
        <x:f>IF(Leads!BE307="","",Leads!BE307)</x:f>
      </x:c>
      <x:c r="I307" s="12" t="str">
        <x:f>IF(Leads!BG307="","",Leads!BG307)</x:f>
      </x:c>
      <x:c r="J307" s="12" t="str">
        <x:f>IF(Leads!BH307="","",Leads!BH307)</x:f>
      </x:c>
      <x:c r="K307" s="12" t="str">
        <x:f>IF(A307="","","مرحبًا "&amp;C307&amp;CHAR(10)&amp;CHAR(10)&amp;"شكرًا لإتمام تقييم DBD الخاص بعيادة "&amp;B307&amp;"."&amp;CHAR(10)&amp;"نتيجتكم الحالية: "&amp;E307&amp;"%."&amp;CHAR(10)&amp;"أولوية التحسين الأولى: "&amp;F307&amp;"."&amp;IF(J307&lt;&gt;"",CHAR(10)&amp;CHAR(10)&amp;"رابط التقرير: "&amp;J307,"")&amp;CHAR(10)&amp;CHAR(10)&amp;"إذا أحببت، يمكننا مساعدتك في فهم التقرير وتحديد أفضل خطوة تالية لعيادتكم.")</x:f>
      </x:c>
      <x:c r="L307" s="12" t="str">
        <x:f>IF(D307="","",HYPERLINK("https://wa.me/"&amp;REGEXREPLACE(D307,"[^\d]","")&amp;"?text="&amp;ENCODEURL(K307),"واتساب 1"))</x:f>
      </x:c>
      <x:c r="M307" s="12" t="str">
        <x:f>IF(A307="","","مرحبًا "&amp;C307&amp;CHAR(10)&amp;CHAR(10)&amp;"بناءً على نتيجة تقييم عيادة "&amp;B307&amp;"، فإن الترشيح الأقوى لكم الآن هو: "&amp;G307&amp;"."&amp;CHAR(10)&amp;"هذا الخيار يساعدكم في معالجة أكبر فجوة حالية بشكل عملي ومباشر."&amp;IF(J307&lt;&gt;"",CHAR(10)&amp;CHAR(10)&amp;"رابط التقرير: "&amp;J307,"")&amp;CHAR(10)&amp;CHAR(10)&amp;"إذا رغبت، يمكننا توضيح لماذا هذا الكورس هو الأنسب لكم الآن.")</x:f>
      </x:c>
      <x:c r="N307" s="12" t="str">
        <x:f>IF(D307="","",HYPERLINK("https://wa.me/"&amp;REGEXREPLACE(D307,"[^\d]","")&amp;"?text="&amp;ENCODEURL(M307),"واتساب 2"))</x:f>
      </x:c>
      <x:c r="O307" s="12" t="str">
        <x:f>IF(A307="","","مرحبًا "&amp;C307&amp;CHAR(10)&amp;CHAR(10)&amp;"إذا كانت التحديات لديكم تحتاج حلًا أشمل، فالبرنامج الكامل المناسب لكم هو: "&amp;H307&amp;"."&amp;IF(I307&lt;&gt;"",CHAR(10)&amp;"كما يمكنكم أيضًا حجز: "&amp;I307&amp;".","")&amp;IF(J307&lt;&gt;"",CHAR(10)&amp;CHAR(10)&amp;"رابط التقرير: "&amp;J307,"")&amp;CHAR(10)&amp;CHAR(10)&amp;"يسعدنا مساعدتكم في اختيار المسار الأنسب حسب وضع العيادة الحالي.")</x:f>
      </x:c>
      <x:c r="P307" s="12" t="str">
        <x:f>IF(D307="","",HYPERLINK("https://wa.me/"&amp;REGEXREPLACE(D307,"[^\d]","")&amp;"?text="&amp;ENCODEURL(O307),"واتساب 3"))</x:f>
      </x:c>
    </x:row>
    <x:row r="308" ht="15" hidden="0" customHeight="1">
      <x:c r="A308" s="12" t="str">
        <x:f>IF(Leads!A308="","",Leads!A308)</x:f>
      </x:c>
      <x:c r="B308" s="12" t="str">
        <x:f>IF(Leads!F308="","",Leads!F308)</x:f>
      </x:c>
      <x:c r="C308" s="12" t="str">
        <x:f>IF(Leads!G308="","",Leads!G308)</x:f>
      </x:c>
      <x:c r="D308" s="12" t="str">
        <x:f>IF(Leads!O308="","",Leads!O308)</x:f>
      </x:c>
      <x:c r="E308" s="12" t="str">
        <x:f>IF(Leads!AV308="","",Leads!AV308)</x:f>
      </x:c>
      <x:c r="F308" s="12" t="str">
        <x:f>IF(Leads!AX308="","",Leads!AX308)</x:f>
      </x:c>
      <x:c r="G308" s="12" t="str">
        <x:f>IF(Leads!BC308="","",Leads!BC308)</x:f>
      </x:c>
      <x:c r="H308" s="12" t="str">
        <x:f>IF(Leads!BE308="","",Leads!BE308)</x:f>
      </x:c>
      <x:c r="I308" s="12" t="str">
        <x:f>IF(Leads!BG308="","",Leads!BG308)</x:f>
      </x:c>
      <x:c r="J308" s="12" t="str">
        <x:f>IF(Leads!BH308="","",Leads!BH308)</x:f>
      </x:c>
      <x:c r="K308" s="12" t="str">
        <x:f>IF(A308="","","مرحبًا "&amp;C308&amp;CHAR(10)&amp;CHAR(10)&amp;"شكرًا لإتمام تقييم DBD الخاص بعيادة "&amp;B308&amp;"."&amp;CHAR(10)&amp;"نتيجتكم الحالية: "&amp;E308&amp;"%."&amp;CHAR(10)&amp;"أولوية التحسين الأولى: "&amp;F308&amp;"."&amp;IF(J308&lt;&gt;"",CHAR(10)&amp;CHAR(10)&amp;"رابط التقرير: "&amp;J308,"")&amp;CHAR(10)&amp;CHAR(10)&amp;"إذا أحببت، يمكننا مساعدتك في فهم التقرير وتحديد أفضل خطوة تالية لعيادتكم.")</x:f>
      </x:c>
      <x:c r="L308" s="12" t="str">
        <x:f>IF(D308="","",HYPERLINK("https://wa.me/"&amp;REGEXREPLACE(D308,"[^\d]","")&amp;"?text="&amp;ENCODEURL(K308),"واتساب 1"))</x:f>
      </x:c>
      <x:c r="M308" s="12" t="str">
        <x:f>IF(A308="","","مرحبًا "&amp;C308&amp;CHAR(10)&amp;CHAR(10)&amp;"بناءً على نتيجة تقييم عيادة "&amp;B308&amp;"، فإن الترشيح الأقوى لكم الآن هو: "&amp;G308&amp;"."&amp;CHAR(10)&amp;"هذا الخيار يساعدكم في معالجة أكبر فجوة حالية بشكل عملي ومباشر."&amp;IF(J308&lt;&gt;"",CHAR(10)&amp;CHAR(10)&amp;"رابط التقرير: "&amp;J308,"")&amp;CHAR(10)&amp;CHAR(10)&amp;"إذا رغبت، يمكننا توضيح لماذا هذا الكورس هو الأنسب لكم الآن.")</x:f>
      </x:c>
      <x:c r="N308" s="12" t="str">
        <x:f>IF(D308="","",HYPERLINK("https://wa.me/"&amp;REGEXREPLACE(D308,"[^\d]","")&amp;"?text="&amp;ENCODEURL(M308),"واتساب 2"))</x:f>
      </x:c>
      <x:c r="O308" s="12" t="str">
        <x:f>IF(A308="","","مرحبًا "&amp;C308&amp;CHAR(10)&amp;CHAR(10)&amp;"إذا كانت التحديات لديكم تحتاج حلًا أشمل، فالبرنامج الكامل المناسب لكم هو: "&amp;H308&amp;"."&amp;IF(I308&lt;&gt;"",CHAR(10)&amp;"كما يمكنكم أيضًا حجز: "&amp;I308&amp;".","")&amp;IF(J308&lt;&gt;"",CHAR(10)&amp;CHAR(10)&amp;"رابط التقرير: "&amp;J308,"")&amp;CHAR(10)&amp;CHAR(10)&amp;"يسعدنا مساعدتكم في اختيار المسار الأنسب حسب وضع العيادة الحالي.")</x:f>
      </x:c>
      <x:c r="P308" s="12" t="str">
        <x:f>IF(D308="","",HYPERLINK("https://wa.me/"&amp;REGEXREPLACE(D308,"[^\d]","")&amp;"?text="&amp;ENCODEURL(O308),"واتساب 3"))</x:f>
      </x:c>
    </x:row>
    <x:row r="309" ht="15" hidden="0" customHeight="1">
      <x:c r="A309" s="12" t="str">
        <x:f>IF(Leads!A309="","",Leads!A309)</x:f>
      </x:c>
      <x:c r="B309" s="12" t="str">
        <x:f>IF(Leads!F309="","",Leads!F309)</x:f>
      </x:c>
      <x:c r="C309" s="12" t="str">
        <x:f>IF(Leads!G309="","",Leads!G309)</x:f>
      </x:c>
      <x:c r="D309" s="12" t="str">
        <x:f>IF(Leads!O309="","",Leads!O309)</x:f>
      </x:c>
      <x:c r="E309" s="12" t="str">
        <x:f>IF(Leads!AV309="","",Leads!AV309)</x:f>
      </x:c>
      <x:c r="F309" s="12" t="str">
        <x:f>IF(Leads!AX309="","",Leads!AX309)</x:f>
      </x:c>
      <x:c r="G309" s="12" t="str">
        <x:f>IF(Leads!BC309="","",Leads!BC309)</x:f>
      </x:c>
      <x:c r="H309" s="12" t="str">
        <x:f>IF(Leads!BE309="","",Leads!BE309)</x:f>
      </x:c>
      <x:c r="I309" s="12" t="str">
        <x:f>IF(Leads!BG309="","",Leads!BG309)</x:f>
      </x:c>
      <x:c r="J309" s="12" t="str">
        <x:f>IF(Leads!BH309="","",Leads!BH309)</x:f>
      </x:c>
      <x:c r="K309" s="12" t="str">
        <x:f>IF(A309="","","مرحبًا "&amp;C309&amp;CHAR(10)&amp;CHAR(10)&amp;"شكرًا لإتمام تقييم DBD الخاص بعيادة "&amp;B309&amp;"."&amp;CHAR(10)&amp;"نتيجتكم الحالية: "&amp;E309&amp;"%."&amp;CHAR(10)&amp;"أولوية التحسين الأولى: "&amp;F309&amp;"."&amp;IF(J309&lt;&gt;"",CHAR(10)&amp;CHAR(10)&amp;"رابط التقرير: "&amp;J309,"")&amp;CHAR(10)&amp;CHAR(10)&amp;"إذا أحببت، يمكننا مساعدتك في فهم التقرير وتحديد أفضل خطوة تالية لعيادتكم.")</x:f>
      </x:c>
      <x:c r="L309" s="12" t="str">
        <x:f>IF(D309="","",HYPERLINK("https://wa.me/"&amp;REGEXREPLACE(D309,"[^\d]","")&amp;"?text="&amp;ENCODEURL(K309),"واتساب 1"))</x:f>
      </x:c>
      <x:c r="M309" s="12" t="str">
        <x:f>IF(A309="","","مرحبًا "&amp;C309&amp;CHAR(10)&amp;CHAR(10)&amp;"بناءً على نتيجة تقييم عيادة "&amp;B309&amp;"، فإن الترشيح الأقوى لكم الآن هو: "&amp;G309&amp;"."&amp;CHAR(10)&amp;"هذا الخيار يساعدكم في معالجة أكبر فجوة حالية بشكل عملي ومباشر."&amp;IF(J309&lt;&gt;"",CHAR(10)&amp;CHAR(10)&amp;"رابط التقرير: "&amp;J309,"")&amp;CHAR(10)&amp;CHAR(10)&amp;"إذا رغبت، يمكننا توضيح لماذا هذا الكورس هو الأنسب لكم الآن.")</x:f>
      </x:c>
      <x:c r="N309" s="12" t="str">
        <x:f>IF(D309="","",HYPERLINK("https://wa.me/"&amp;REGEXREPLACE(D309,"[^\d]","")&amp;"?text="&amp;ENCODEURL(M309),"واتساب 2"))</x:f>
      </x:c>
      <x:c r="O309" s="12" t="str">
        <x:f>IF(A309="","","مرحبًا "&amp;C309&amp;CHAR(10)&amp;CHAR(10)&amp;"إذا كانت التحديات لديكم تحتاج حلًا أشمل، فالبرنامج الكامل المناسب لكم هو: "&amp;H309&amp;"."&amp;IF(I309&lt;&gt;"",CHAR(10)&amp;"كما يمكنكم أيضًا حجز: "&amp;I309&amp;".","")&amp;IF(J309&lt;&gt;"",CHAR(10)&amp;CHAR(10)&amp;"رابط التقرير: "&amp;J309,"")&amp;CHAR(10)&amp;CHAR(10)&amp;"يسعدنا مساعدتكم في اختيار المسار الأنسب حسب وضع العيادة الحالي.")</x:f>
      </x:c>
      <x:c r="P309" s="12" t="str">
        <x:f>IF(D309="","",HYPERLINK("https://wa.me/"&amp;REGEXREPLACE(D309,"[^\d]","")&amp;"?text="&amp;ENCODEURL(O309),"واتساب 3"))</x:f>
      </x:c>
    </x:row>
    <x:row r="310" ht="15" hidden="0" customHeight="1">
      <x:c r="A310" s="12" t="str">
        <x:f>IF(Leads!A310="","",Leads!A310)</x:f>
      </x:c>
      <x:c r="B310" s="12" t="str">
        <x:f>IF(Leads!F310="","",Leads!F310)</x:f>
      </x:c>
      <x:c r="C310" s="12" t="str">
        <x:f>IF(Leads!G310="","",Leads!G310)</x:f>
      </x:c>
      <x:c r="D310" s="12" t="str">
        <x:f>IF(Leads!O310="","",Leads!O310)</x:f>
      </x:c>
      <x:c r="E310" s="12" t="str">
        <x:f>IF(Leads!AV310="","",Leads!AV310)</x:f>
      </x:c>
      <x:c r="F310" s="12" t="str">
        <x:f>IF(Leads!AX310="","",Leads!AX310)</x:f>
      </x:c>
      <x:c r="G310" s="12" t="str">
        <x:f>IF(Leads!BC310="","",Leads!BC310)</x:f>
      </x:c>
      <x:c r="H310" s="12" t="str">
        <x:f>IF(Leads!BE310="","",Leads!BE310)</x:f>
      </x:c>
      <x:c r="I310" s="12" t="str">
        <x:f>IF(Leads!BG310="","",Leads!BG310)</x:f>
      </x:c>
      <x:c r="J310" s="12" t="str">
        <x:f>IF(Leads!BH310="","",Leads!BH310)</x:f>
      </x:c>
      <x:c r="K310" s="12" t="str">
        <x:f>IF(A310="","","مرحبًا "&amp;C310&amp;CHAR(10)&amp;CHAR(10)&amp;"شكرًا لإتمام تقييم DBD الخاص بعيادة "&amp;B310&amp;"."&amp;CHAR(10)&amp;"نتيجتكم الحالية: "&amp;E310&amp;"%."&amp;CHAR(10)&amp;"أولوية التحسين الأولى: "&amp;F310&amp;"."&amp;IF(J310&lt;&gt;"",CHAR(10)&amp;CHAR(10)&amp;"رابط التقرير: "&amp;J310,"")&amp;CHAR(10)&amp;CHAR(10)&amp;"إذا أحببت، يمكننا مساعدتك في فهم التقرير وتحديد أفضل خطوة تالية لعيادتكم.")</x:f>
      </x:c>
      <x:c r="L310" s="12" t="str">
        <x:f>IF(D310="","",HYPERLINK("https://wa.me/"&amp;REGEXREPLACE(D310,"[^\d]","")&amp;"?text="&amp;ENCODEURL(K310),"واتساب 1"))</x:f>
      </x:c>
      <x:c r="M310" s="12" t="str">
        <x:f>IF(A310="","","مرحبًا "&amp;C310&amp;CHAR(10)&amp;CHAR(10)&amp;"بناءً على نتيجة تقييم عيادة "&amp;B310&amp;"، فإن الترشيح الأقوى لكم الآن هو: "&amp;G310&amp;"."&amp;CHAR(10)&amp;"هذا الخيار يساعدكم في معالجة أكبر فجوة حالية بشكل عملي ومباشر."&amp;IF(J310&lt;&gt;"",CHAR(10)&amp;CHAR(10)&amp;"رابط التقرير: "&amp;J310,"")&amp;CHAR(10)&amp;CHAR(10)&amp;"إذا رغبت، يمكننا توضيح لماذا هذا الكورس هو الأنسب لكم الآن.")</x:f>
      </x:c>
      <x:c r="N310" s="12" t="str">
        <x:f>IF(D310="","",HYPERLINK("https://wa.me/"&amp;REGEXREPLACE(D310,"[^\d]","")&amp;"?text="&amp;ENCODEURL(M310),"واتساب 2"))</x:f>
      </x:c>
      <x:c r="O310" s="12" t="str">
        <x:f>IF(A310="","","مرحبًا "&amp;C310&amp;CHAR(10)&amp;CHAR(10)&amp;"إذا كانت التحديات لديكم تحتاج حلًا أشمل، فالبرنامج الكامل المناسب لكم هو: "&amp;H310&amp;"."&amp;IF(I310&lt;&gt;"",CHAR(10)&amp;"كما يمكنكم أيضًا حجز: "&amp;I310&amp;".","")&amp;IF(J310&lt;&gt;"",CHAR(10)&amp;CHAR(10)&amp;"رابط التقرير: "&amp;J310,"")&amp;CHAR(10)&amp;CHAR(10)&amp;"يسعدنا مساعدتكم في اختيار المسار الأنسب حسب وضع العيادة الحالي.")</x:f>
      </x:c>
      <x:c r="P310" s="12" t="str">
        <x:f>IF(D310="","",HYPERLINK("https://wa.me/"&amp;REGEXREPLACE(D310,"[^\d]","")&amp;"?text="&amp;ENCODEURL(O310),"واتساب 3"))</x:f>
      </x:c>
    </x:row>
    <x:row r="311" ht="15" hidden="0" customHeight="1">
      <x:c r="A311" s="12" t="str">
        <x:f>IF(Leads!A311="","",Leads!A311)</x:f>
      </x:c>
      <x:c r="B311" s="12" t="str">
        <x:f>IF(Leads!F311="","",Leads!F311)</x:f>
      </x:c>
      <x:c r="C311" s="12" t="str">
        <x:f>IF(Leads!G311="","",Leads!G311)</x:f>
      </x:c>
      <x:c r="D311" s="12" t="str">
        <x:f>IF(Leads!O311="","",Leads!O311)</x:f>
      </x:c>
      <x:c r="E311" s="12" t="str">
        <x:f>IF(Leads!AV311="","",Leads!AV311)</x:f>
      </x:c>
      <x:c r="F311" s="12" t="str">
        <x:f>IF(Leads!AX311="","",Leads!AX311)</x:f>
      </x:c>
      <x:c r="G311" s="12" t="str">
        <x:f>IF(Leads!BC311="","",Leads!BC311)</x:f>
      </x:c>
      <x:c r="H311" s="12" t="str">
        <x:f>IF(Leads!BE311="","",Leads!BE311)</x:f>
      </x:c>
      <x:c r="I311" s="12" t="str">
        <x:f>IF(Leads!BG311="","",Leads!BG311)</x:f>
      </x:c>
      <x:c r="J311" s="12" t="str">
        <x:f>IF(Leads!BH311="","",Leads!BH311)</x:f>
      </x:c>
      <x:c r="K311" s="12" t="str">
        <x:f>IF(A311="","","مرحبًا "&amp;C311&amp;CHAR(10)&amp;CHAR(10)&amp;"شكرًا لإتمام تقييم DBD الخاص بعيادة "&amp;B311&amp;"."&amp;CHAR(10)&amp;"نتيجتكم الحالية: "&amp;E311&amp;"%."&amp;CHAR(10)&amp;"أولوية التحسين الأولى: "&amp;F311&amp;"."&amp;IF(J311&lt;&gt;"",CHAR(10)&amp;CHAR(10)&amp;"رابط التقرير: "&amp;J311,"")&amp;CHAR(10)&amp;CHAR(10)&amp;"إذا أحببت، يمكننا مساعدتك في فهم التقرير وتحديد أفضل خطوة تالية لعيادتكم.")</x:f>
      </x:c>
      <x:c r="L311" s="12" t="str">
        <x:f>IF(D311="","",HYPERLINK("https://wa.me/"&amp;REGEXREPLACE(D311,"[^\d]","")&amp;"?text="&amp;ENCODEURL(K311),"واتساب 1"))</x:f>
      </x:c>
      <x:c r="M311" s="12" t="str">
        <x:f>IF(A311="","","مرحبًا "&amp;C311&amp;CHAR(10)&amp;CHAR(10)&amp;"بناءً على نتيجة تقييم عيادة "&amp;B311&amp;"، فإن الترشيح الأقوى لكم الآن هو: "&amp;G311&amp;"."&amp;CHAR(10)&amp;"هذا الخيار يساعدكم في معالجة أكبر فجوة حالية بشكل عملي ومباشر."&amp;IF(J311&lt;&gt;"",CHAR(10)&amp;CHAR(10)&amp;"رابط التقرير: "&amp;J311,"")&amp;CHAR(10)&amp;CHAR(10)&amp;"إذا رغبت، يمكننا توضيح لماذا هذا الكورس هو الأنسب لكم الآن.")</x:f>
      </x:c>
      <x:c r="N311" s="12" t="str">
        <x:f>IF(D311="","",HYPERLINK("https://wa.me/"&amp;REGEXREPLACE(D311,"[^\d]","")&amp;"?text="&amp;ENCODEURL(M311),"واتساب 2"))</x:f>
      </x:c>
      <x:c r="O311" s="12" t="str">
        <x:f>IF(A311="","","مرحبًا "&amp;C311&amp;CHAR(10)&amp;CHAR(10)&amp;"إذا كانت التحديات لديكم تحتاج حلًا أشمل، فالبرنامج الكامل المناسب لكم هو: "&amp;H311&amp;"."&amp;IF(I311&lt;&gt;"",CHAR(10)&amp;"كما يمكنكم أيضًا حجز: "&amp;I311&amp;".","")&amp;IF(J311&lt;&gt;"",CHAR(10)&amp;CHAR(10)&amp;"رابط التقرير: "&amp;J311,"")&amp;CHAR(10)&amp;CHAR(10)&amp;"يسعدنا مساعدتكم في اختيار المسار الأنسب حسب وضع العيادة الحالي.")</x:f>
      </x:c>
      <x:c r="P311" s="12" t="str">
        <x:f>IF(D311="","",HYPERLINK("https://wa.me/"&amp;REGEXREPLACE(D311,"[^\d]","")&amp;"?text="&amp;ENCODEURL(O311),"واتساب 3"))</x:f>
      </x:c>
    </x:row>
    <x:row r="312" ht="15" hidden="0" customHeight="1">
      <x:c r="A312" s="12" t="str">
        <x:f>IF(Leads!A312="","",Leads!A312)</x:f>
      </x:c>
      <x:c r="B312" s="12" t="str">
        <x:f>IF(Leads!F312="","",Leads!F312)</x:f>
      </x:c>
      <x:c r="C312" s="12" t="str">
        <x:f>IF(Leads!G312="","",Leads!G312)</x:f>
      </x:c>
      <x:c r="D312" s="12" t="str">
        <x:f>IF(Leads!O312="","",Leads!O312)</x:f>
      </x:c>
      <x:c r="E312" s="12" t="str">
        <x:f>IF(Leads!AV312="","",Leads!AV312)</x:f>
      </x:c>
      <x:c r="F312" s="12" t="str">
        <x:f>IF(Leads!AX312="","",Leads!AX312)</x:f>
      </x:c>
      <x:c r="G312" s="12" t="str">
        <x:f>IF(Leads!BC312="","",Leads!BC312)</x:f>
      </x:c>
      <x:c r="H312" s="12" t="str">
        <x:f>IF(Leads!BE312="","",Leads!BE312)</x:f>
      </x:c>
      <x:c r="I312" s="12" t="str">
        <x:f>IF(Leads!BG312="","",Leads!BG312)</x:f>
      </x:c>
      <x:c r="J312" s="12" t="str">
        <x:f>IF(Leads!BH312="","",Leads!BH312)</x:f>
      </x:c>
      <x:c r="K312" s="12" t="str">
        <x:f>IF(A312="","","مرحبًا "&amp;C312&amp;CHAR(10)&amp;CHAR(10)&amp;"شكرًا لإتمام تقييم DBD الخاص بعيادة "&amp;B312&amp;"."&amp;CHAR(10)&amp;"نتيجتكم الحالية: "&amp;E312&amp;"%."&amp;CHAR(10)&amp;"أولوية التحسين الأولى: "&amp;F312&amp;"."&amp;IF(J312&lt;&gt;"",CHAR(10)&amp;CHAR(10)&amp;"رابط التقرير: "&amp;J312,"")&amp;CHAR(10)&amp;CHAR(10)&amp;"إذا أحببت، يمكننا مساعدتك في فهم التقرير وتحديد أفضل خطوة تالية لعيادتكم.")</x:f>
      </x:c>
      <x:c r="L312" s="12" t="str">
        <x:f>IF(D312="","",HYPERLINK("https://wa.me/"&amp;REGEXREPLACE(D312,"[^\d]","")&amp;"?text="&amp;ENCODEURL(K312),"واتساب 1"))</x:f>
      </x:c>
      <x:c r="M312" s="12" t="str">
        <x:f>IF(A312="","","مرحبًا "&amp;C312&amp;CHAR(10)&amp;CHAR(10)&amp;"بناءً على نتيجة تقييم عيادة "&amp;B312&amp;"، فإن الترشيح الأقوى لكم الآن هو: "&amp;G312&amp;"."&amp;CHAR(10)&amp;"هذا الخيار يساعدكم في معالجة أكبر فجوة حالية بشكل عملي ومباشر."&amp;IF(J312&lt;&gt;"",CHAR(10)&amp;CHAR(10)&amp;"رابط التقرير: "&amp;J312,"")&amp;CHAR(10)&amp;CHAR(10)&amp;"إذا رغبت، يمكننا توضيح لماذا هذا الكورس هو الأنسب لكم الآن.")</x:f>
      </x:c>
      <x:c r="N312" s="12" t="str">
        <x:f>IF(D312="","",HYPERLINK("https://wa.me/"&amp;REGEXREPLACE(D312,"[^\d]","")&amp;"?text="&amp;ENCODEURL(M312),"واتساب 2"))</x:f>
      </x:c>
      <x:c r="O312" s="12" t="str">
        <x:f>IF(A312="","","مرحبًا "&amp;C312&amp;CHAR(10)&amp;CHAR(10)&amp;"إذا كانت التحديات لديكم تحتاج حلًا أشمل، فالبرنامج الكامل المناسب لكم هو: "&amp;H312&amp;"."&amp;IF(I312&lt;&gt;"",CHAR(10)&amp;"كما يمكنكم أيضًا حجز: "&amp;I312&amp;".","")&amp;IF(J312&lt;&gt;"",CHAR(10)&amp;CHAR(10)&amp;"رابط التقرير: "&amp;J312,"")&amp;CHAR(10)&amp;CHAR(10)&amp;"يسعدنا مساعدتكم في اختيار المسار الأنسب حسب وضع العيادة الحالي.")</x:f>
      </x:c>
      <x:c r="P312" s="12" t="str">
        <x:f>IF(D312="","",HYPERLINK("https://wa.me/"&amp;REGEXREPLACE(D312,"[^\d]","")&amp;"?text="&amp;ENCODEURL(O312),"واتساب 3"))</x:f>
      </x:c>
    </x:row>
    <x:row r="313" ht="15" hidden="0" customHeight="1">
      <x:c r="A313" s="12" t="str">
        <x:f>IF(Leads!A313="","",Leads!A313)</x:f>
      </x:c>
      <x:c r="B313" s="12" t="str">
        <x:f>IF(Leads!F313="","",Leads!F313)</x:f>
      </x:c>
      <x:c r="C313" s="12" t="str">
        <x:f>IF(Leads!G313="","",Leads!G313)</x:f>
      </x:c>
      <x:c r="D313" s="12" t="str">
        <x:f>IF(Leads!O313="","",Leads!O313)</x:f>
      </x:c>
      <x:c r="E313" s="12" t="str">
        <x:f>IF(Leads!AV313="","",Leads!AV313)</x:f>
      </x:c>
      <x:c r="F313" s="12" t="str">
        <x:f>IF(Leads!AX313="","",Leads!AX313)</x:f>
      </x:c>
      <x:c r="G313" s="12" t="str">
        <x:f>IF(Leads!BC313="","",Leads!BC313)</x:f>
      </x:c>
      <x:c r="H313" s="12" t="str">
        <x:f>IF(Leads!BE313="","",Leads!BE313)</x:f>
      </x:c>
      <x:c r="I313" s="12" t="str">
        <x:f>IF(Leads!BG313="","",Leads!BG313)</x:f>
      </x:c>
      <x:c r="J313" s="12" t="str">
        <x:f>IF(Leads!BH313="","",Leads!BH313)</x:f>
      </x:c>
      <x:c r="K313" s="12" t="str">
        <x:f>IF(A313="","","مرحبًا "&amp;C313&amp;CHAR(10)&amp;CHAR(10)&amp;"شكرًا لإتمام تقييم DBD الخاص بعيادة "&amp;B313&amp;"."&amp;CHAR(10)&amp;"نتيجتكم الحالية: "&amp;E313&amp;"%."&amp;CHAR(10)&amp;"أولوية التحسين الأولى: "&amp;F313&amp;"."&amp;IF(J313&lt;&gt;"",CHAR(10)&amp;CHAR(10)&amp;"رابط التقرير: "&amp;J313,"")&amp;CHAR(10)&amp;CHAR(10)&amp;"إذا أحببت، يمكننا مساعدتك في فهم التقرير وتحديد أفضل خطوة تالية لعيادتكم.")</x:f>
      </x:c>
      <x:c r="L313" s="12" t="str">
        <x:f>IF(D313="","",HYPERLINK("https://wa.me/"&amp;REGEXREPLACE(D313,"[^\d]","")&amp;"?text="&amp;ENCODEURL(K313),"واتساب 1"))</x:f>
      </x:c>
      <x:c r="M313" s="12" t="str">
        <x:f>IF(A313="","","مرحبًا "&amp;C313&amp;CHAR(10)&amp;CHAR(10)&amp;"بناءً على نتيجة تقييم عيادة "&amp;B313&amp;"، فإن الترشيح الأقوى لكم الآن هو: "&amp;G313&amp;"."&amp;CHAR(10)&amp;"هذا الخيار يساعدكم في معالجة أكبر فجوة حالية بشكل عملي ومباشر."&amp;IF(J313&lt;&gt;"",CHAR(10)&amp;CHAR(10)&amp;"رابط التقرير: "&amp;J313,"")&amp;CHAR(10)&amp;CHAR(10)&amp;"إذا رغبت، يمكننا توضيح لماذا هذا الكورس هو الأنسب لكم الآن.")</x:f>
      </x:c>
      <x:c r="N313" s="12" t="str">
        <x:f>IF(D313="","",HYPERLINK("https://wa.me/"&amp;REGEXREPLACE(D313,"[^\d]","")&amp;"?text="&amp;ENCODEURL(M313),"واتساب 2"))</x:f>
      </x:c>
      <x:c r="O313" s="12" t="str">
        <x:f>IF(A313="","","مرحبًا "&amp;C313&amp;CHAR(10)&amp;CHAR(10)&amp;"إذا كانت التحديات لديكم تحتاج حلًا أشمل، فالبرنامج الكامل المناسب لكم هو: "&amp;H313&amp;"."&amp;IF(I313&lt;&gt;"",CHAR(10)&amp;"كما يمكنكم أيضًا حجز: "&amp;I313&amp;".","")&amp;IF(J313&lt;&gt;"",CHAR(10)&amp;CHAR(10)&amp;"رابط التقرير: "&amp;J313,"")&amp;CHAR(10)&amp;CHAR(10)&amp;"يسعدنا مساعدتكم في اختيار المسار الأنسب حسب وضع العيادة الحالي.")</x:f>
      </x:c>
      <x:c r="P313" s="12" t="str">
        <x:f>IF(D313="","",HYPERLINK("https://wa.me/"&amp;REGEXREPLACE(D313,"[^\d]","")&amp;"?text="&amp;ENCODEURL(O313),"واتساب 3"))</x:f>
      </x:c>
    </x:row>
    <x:row r="314" ht="15" hidden="0" customHeight="1">
      <x:c r="A314" s="12" t="str">
        <x:f>IF(Leads!A314="","",Leads!A314)</x:f>
      </x:c>
      <x:c r="B314" s="12" t="str">
        <x:f>IF(Leads!F314="","",Leads!F314)</x:f>
      </x:c>
      <x:c r="C314" s="12" t="str">
        <x:f>IF(Leads!G314="","",Leads!G314)</x:f>
      </x:c>
      <x:c r="D314" s="12" t="str">
        <x:f>IF(Leads!O314="","",Leads!O314)</x:f>
      </x:c>
      <x:c r="E314" s="12" t="str">
        <x:f>IF(Leads!AV314="","",Leads!AV314)</x:f>
      </x:c>
      <x:c r="F314" s="12" t="str">
        <x:f>IF(Leads!AX314="","",Leads!AX314)</x:f>
      </x:c>
      <x:c r="G314" s="12" t="str">
        <x:f>IF(Leads!BC314="","",Leads!BC314)</x:f>
      </x:c>
      <x:c r="H314" s="12" t="str">
        <x:f>IF(Leads!BE314="","",Leads!BE314)</x:f>
      </x:c>
      <x:c r="I314" s="12" t="str">
        <x:f>IF(Leads!BG314="","",Leads!BG314)</x:f>
      </x:c>
      <x:c r="J314" s="12" t="str">
        <x:f>IF(Leads!BH314="","",Leads!BH314)</x:f>
      </x:c>
      <x:c r="K314" s="12" t="str">
        <x:f>IF(A314="","","مرحبًا "&amp;C314&amp;CHAR(10)&amp;CHAR(10)&amp;"شكرًا لإتمام تقييم DBD الخاص بعيادة "&amp;B314&amp;"."&amp;CHAR(10)&amp;"نتيجتكم الحالية: "&amp;E314&amp;"%."&amp;CHAR(10)&amp;"أولوية التحسين الأولى: "&amp;F314&amp;"."&amp;IF(J314&lt;&gt;"",CHAR(10)&amp;CHAR(10)&amp;"رابط التقرير: "&amp;J314,"")&amp;CHAR(10)&amp;CHAR(10)&amp;"إذا أحببت، يمكننا مساعدتك في فهم التقرير وتحديد أفضل خطوة تالية لعيادتكم.")</x:f>
      </x:c>
      <x:c r="L314" s="12" t="str">
        <x:f>IF(D314="","",HYPERLINK("https://wa.me/"&amp;REGEXREPLACE(D314,"[^\d]","")&amp;"?text="&amp;ENCODEURL(K314),"واتساب 1"))</x:f>
      </x:c>
      <x:c r="M314" s="12" t="str">
        <x:f>IF(A314="","","مرحبًا "&amp;C314&amp;CHAR(10)&amp;CHAR(10)&amp;"بناءً على نتيجة تقييم عيادة "&amp;B314&amp;"، فإن الترشيح الأقوى لكم الآن هو: "&amp;G314&amp;"."&amp;CHAR(10)&amp;"هذا الخيار يساعدكم في معالجة أكبر فجوة حالية بشكل عملي ومباشر."&amp;IF(J314&lt;&gt;"",CHAR(10)&amp;CHAR(10)&amp;"رابط التقرير: "&amp;J314,"")&amp;CHAR(10)&amp;CHAR(10)&amp;"إذا رغبت، يمكننا توضيح لماذا هذا الكورس هو الأنسب لكم الآن.")</x:f>
      </x:c>
      <x:c r="N314" s="12" t="str">
        <x:f>IF(D314="","",HYPERLINK("https://wa.me/"&amp;REGEXREPLACE(D314,"[^\d]","")&amp;"?text="&amp;ENCODEURL(M314),"واتساب 2"))</x:f>
      </x:c>
      <x:c r="O314" s="12" t="str">
        <x:f>IF(A314="","","مرحبًا "&amp;C314&amp;CHAR(10)&amp;CHAR(10)&amp;"إذا كانت التحديات لديكم تحتاج حلًا أشمل، فالبرنامج الكامل المناسب لكم هو: "&amp;H314&amp;"."&amp;IF(I314&lt;&gt;"",CHAR(10)&amp;"كما يمكنكم أيضًا حجز: "&amp;I314&amp;".","")&amp;IF(J314&lt;&gt;"",CHAR(10)&amp;CHAR(10)&amp;"رابط التقرير: "&amp;J314,"")&amp;CHAR(10)&amp;CHAR(10)&amp;"يسعدنا مساعدتكم في اختيار المسار الأنسب حسب وضع العيادة الحالي.")</x:f>
      </x:c>
      <x:c r="P314" s="12" t="str">
        <x:f>IF(D314="","",HYPERLINK("https://wa.me/"&amp;REGEXREPLACE(D314,"[^\d]","")&amp;"?text="&amp;ENCODEURL(O314),"واتساب 3"))</x:f>
      </x:c>
    </x:row>
    <x:row r="315" ht="15" hidden="0" customHeight="1">
      <x:c r="A315" s="12" t="str">
        <x:f>IF(Leads!A315="","",Leads!A315)</x:f>
      </x:c>
      <x:c r="B315" s="12" t="str">
        <x:f>IF(Leads!F315="","",Leads!F315)</x:f>
      </x:c>
      <x:c r="C315" s="12" t="str">
        <x:f>IF(Leads!G315="","",Leads!G315)</x:f>
      </x:c>
      <x:c r="D315" s="12" t="str">
        <x:f>IF(Leads!O315="","",Leads!O315)</x:f>
      </x:c>
      <x:c r="E315" s="12" t="str">
        <x:f>IF(Leads!AV315="","",Leads!AV315)</x:f>
      </x:c>
      <x:c r="F315" s="12" t="str">
        <x:f>IF(Leads!AX315="","",Leads!AX315)</x:f>
      </x:c>
      <x:c r="G315" s="12" t="str">
        <x:f>IF(Leads!BC315="","",Leads!BC315)</x:f>
      </x:c>
      <x:c r="H315" s="12" t="str">
        <x:f>IF(Leads!BE315="","",Leads!BE315)</x:f>
      </x:c>
      <x:c r="I315" s="12" t="str">
        <x:f>IF(Leads!BG315="","",Leads!BG315)</x:f>
      </x:c>
      <x:c r="J315" s="12" t="str">
        <x:f>IF(Leads!BH315="","",Leads!BH315)</x:f>
      </x:c>
      <x:c r="K315" s="12" t="str">
        <x:f>IF(A315="","","مرحبًا "&amp;C315&amp;CHAR(10)&amp;CHAR(10)&amp;"شكرًا لإتمام تقييم DBD الخاص بعيادة "&amp;B315&amp;"."&amp;CHAR(10)&amp;"نتيجتكم الحالية: "&amp;E315&amp;"%."&amp;CHAR(10)&amp;"أولوية التحسين الأولى: "&amp;F315&amp;"."&amp;IF(J315&lt;&gt;"",CHAR(10)&amp;CHAR(10)&amp;"رابط التقرير: "&amp;J315,"")&amp;CHAR(10)&amp;CHAR(10)&amp;"إذا أحببت، يمكننا مساعدتك في فهم التقرير وتحديد أفضل خطوة تالية لعيادتكم.")</x:f>
      </x:c>
      <x:c r="L315" s="12" t="str">
        <x:f>IF(D315="","",HYPERLINK("https://wa.me/"&amp;REGEXREPLACE(D315,"[^\d]","")&amp;"?text="&amp;ENCODEURL(K315),"واتساب 1"))</x:f>
      </x:c>
      <x:c r="M315" s="12" t="str">
        <x:f>IF(A315="","","مرحبًا "&amp;C315&amp;CHAR(10)&amp;CHAR(10)&amp;"بناءً على نتيجة تقييم عيادة "&amp;B315&amp;"، فإن الترشيح الأقوى لكم الآن هو: "&amp;G315&amp;"."&amp;CHAR(10)&amp;"هذا الخيار يساعدكم في معالجة أكبر فجوة حالية بشكل عملي ومباشر."&amp;IF(J315&lt;&gt;"",CHAR(10)&amp;CHAR(10)&amp;"رابط التقرير: "&amp;J315,"")&amp;CHAR(10)&amp;CHAR(10)&amp;"إذا رغبت، يمكننا توضيح لماذا هذا الكورس هو الأنسب لكم الآن.")</x:f>
      </x:c>
      <x:c r="N315" s="12" t="str">
        <x:f>IF(D315="","",HYPERLINK("https://wa.me/"&amp;REGEXREPLACE(D315,"[^\d]","")&amp;"?text="&amp;ENCODEURL(M315),"واتساب 2"))</x:f>
      </x:c>
      <x:c r="O315" s="12" t="str">
        <x:f>IF(A315="","","مرحبًا "&amp;C315&amp;CHAR(10)&amp;CHAR(10)&amp;"إذا كانت التحديات لديكم تحتاج حلًا أشمل، فالبرنامج الكامل المناسب لكم هو: "&amp;H315&amp;"."&amp;IF(I315&lt;&gt;"",CHAR(10)&amp;"كما يمكنكم أيضًا حجز: "&amp;I315&amp;".","")&amp;IF(J315&lt;&gt;"",CHAR(10)&amp;CHAR(10)&amp;"رابط التقرير: "&amp;J315,"")&amp;CHAR(10)&amp;CHAR(10)&amp;"يسعدنا مساعدتكم في اختيار المسار الأنسب حسب وضع العيادة الحالي.")</x:f>
      </x:c>
      <x:c r="P315" s="12" t="str">
        <x:f>IF(D315="","",HYPERLINK("https://wa.me/"&amp;REGEXREPLACE(D315,"[^\d]","")&amp;"?text="&amp;ENCODEURL(O315),"واتساب 3"))</x:f>
      </x:c>
    </x:row>
    <x:row r="316" ht="15" hidden="0" customHeight="1">
      <x:c r="A316" s="12" t="str">
        <x:f>IF(Leads!A316="","",Leads!A316)</x:f>
      </x:c>
      <x:c r="B316" s="12" t="str">
        <x:f>IF(Leads!F316="","",Leads!F316)</x:f>
      </x:c>
      <x:c r="C316" s="12" t="str">
        <x:f>IF(Leads!G316="","",Leads!G316)</x:f>
      </x:c>
      <x:c r="D316" s="12" t="str">
        <x:f>IF(Leads!O316="","",Leads!O316)</x:f>
      </x:c>
      <x:c r="E316" s="12" t="str">
        <x:f>IF(Leads!AV316="","",Leads!AV316)</x:f>
      </x:c>
      <x:c r="F316" s="12" t="str">
        <x:f>IF(Leads!AX316="","",Leads!AX316)</x:f>
      </x:c>
      <x:c r="G316" s="12" t="str">
        <x:f>IF(Leads!BC316="","",Leads!BC316)</x:f>
      </x:c>
      <x:c r="H316" s="12" t="str">
        <x:f>IF(Leads!BE316="","",Leads!BE316)</x:f>
      </x:c>
      <x:c r="I316" s="12" t="str">
        <x:f>IF(Leads!BG316="","",Leads!BG316)</x:f>
      </x:c>
      <x:c r="J316" s="12" t="str">
        <x:f>IF(Leads!BH316="","",Leads!BH316)</x:f>
      </x:c>
      <x:c r="K316" s="12" t="str">
        <x:f>IF(A316="","","مرحبًا "&amp;C316&amp;CHAR(10)&amp;CHAR(10)&amp;"شكرًا لإتمام تقييم DBD الخاص بعيادة "&amp;B316&amp;"."&amp;CHAR(10)&amp;"نتيجتكم الحالية: "&amp;E316&amp;"%."&amp;CHAR(10)&amp;"أولوية التحسين الأولى: "&amp;F316&amp;"."&amp;IF(J316&lt;&gt;"",CHAR(10)&amp;CHAR(10)&amp;"رابط التقرير: "&amp;J316,"")&amp;CHAR(10)&amp;CHAR(10)&amp;"إذا أحببت، يمكننا مساعدتك في فهم التقرير وتحديد أفضل خطوة تالية لعيادتكم.")</x:f>
      </x:c>
      <x:c r="L316" s="12" t="str">
        <x:f>IF(D316="","",HYPERLINK("https://wa.me/"&amp;REGEXREPLACE(D316,"[^\d]","")&amp;"?text="&amp;ENCODEURL(K316),"واتساب 1"))</x:f>
      </x:c>
      <x:c r="M316" s="12" t="str">
        <x:f>IF(A316="","","مرحبًا "&amp;C316&amp;CHAR(10)&amp;CHAR(10)&amp;"بناءً على نتيجة تقييم عيادة "&amp;B316&amp;"، فإن الترشيح الأقوى لكم الآن هو: "&amp;G316&amp;"."&amp;CHAR(10)&amp;"هذا الخيار يساعدكم في معالجة أكبر فجوة حالية بشكل عملي ومباشر."&amp;IF(J316&lt;&gt;"",CHAR(10)&amp;CHAR(10)&amp;"رابط التقرير: "&amp;J316,"")&amp;CHAR(10)&amp;CHAR(10)&amp;"إذا رغبت، يمكننا توضيح لماذا هذا الكورس هو الأنسب لكم الآن.")</x:f>
      </x:c>
      <x:c r="N316" s="12" t="str">
        <x:f>IF(D316="","",HYPERLINK("https://wa.me/"&amp;REGEXREPLACE(D316,"[^\d]","")&amp;"?text="&amp;ENCODEURL(M316),"واتساب 2"))</x:f>
      </x:c>
      <x:c r="O316" s="12" t="str">
        <x:f>IF(A316="","","مرحبًا "&amp;C316&amp;CHAR(10)&amp;CHAR(10)&amp;"إذا كانت التحديات لديكم تحتاج حلًا أشمل، فالبرنامج الكامل المناسب لكم هو: "&amp;H316&amp;"."&amp;IF(I316&lt;&gt;"",CHAR(10)&amp;"كما يمكنكم أيضًا حجز: "&amp;I316&amp;".","")&amp;IF(J316&lt;&gt;"",CHAR(10)&amp;CHAR(10)&amp;"رابط التقرير: "&amp;J316,"")&amp;CHAR(10)&amp;CHAR(10)&amp;"يسعدنا مساعدتكم في اختيار المسار الأنسب حسب وضع العيادة الحالي.")</x:f>
      </x:c>
      <x:c r="P316" s="12" t="str">
        <x:f>IF(D316="","",HYPERLINK("https://wa.me/"&amp;REGEXREPLACE(D316,"[^\d]","")&amp;"?text="&amp;ENCODEURL(O316),"واتساب 3"))</x:f>
      </x:c>
    </x:row>
    <x:row r="317" ht="15" hidden="0" customHeight="1">
      <x:c r="A317" s="12" t="str">
        <x:f>IF(Leads!A317="","",Leads!A317)</x:f>
      </x:c>
      <x:c r="B317" s="12" t="str">
        <x:f>IF(Leads!F317="","",Leads!F317)</x:f>
      </x:c>
      <x:c r="C317" s="12" t="str">
        <x:f>IF(Leads!G317="","",Leads!G317)</x:f>
      </x:c>
      <x:c r="D317" s="12" t="str">
        <x:f>IF(Leads!O317="","",Leads!O317)</x:f>
      </x:c>
      <x:c r="E317" s="12" t="str">
        <x:f>IF(Leads!AV317="","",Leads!AV317)</x:f>
      </x:c>
      <x:c r="F317" s="12" t="str">
        <x:f>IF(Leads!AX317="","",Leads!AX317)</x:f>
      </x:c>
      <x:c r="G317" s="12" t="str">
        <x:f>IF(Leads!BC317="","",Leads!BC317)</x:f>
      </x:c>
      <x:c r="H317" s="12" t="str">
        <x:f>IF(Leads!BE317="","",Leads!BE317)</x:f>
      </x:c>
      <x:c r="I317" s="12" t="str">
        <x:f>IF(Leads!BG317="","",Leads!BG317)</x:f>
      </x:c>
      <x:c r="J317" s="12" t="str">
        <x:f>IF(Leads!BH317="","",Leads!BH317)</x:f>
      </x:c>
      <x:c r="K317" s="12" t="str">
        <x:f>IF(A317="","","مرحبًا "&amp;C317&amp;CHAR(10)&amp;CHAR(10)&amp;"شكرًا لإتمام تقييم DBD الخاص بعيادة "&amp;B317&amp;"."&amp;CHAR(10)&amp;"نتيجتكم الحالية: "&amp;E317&amp;"%."&amp;CHAR(10)&amp;"أولوية التحسين الأولى: "&amp;F317&amp;"."&amp;IF(J317&lt;&gt;"",CHAR(10)&amp;CHAR(10)&amp;"رابط التقرير: "&amp;J317,"")&amp;CHAR(10)&amp;CHAR(10)&amp;"إذا أحببت، يمكننا مساعدتك في فهم التقرير وتحديد أفضل خطوة تالية لعيادتكم.")</x:f>
      </x:c>
      <x:c r="L317" s="12" t="str">
        <x:f>IF(D317="","",HYPERLINK("https://wa.me/"&amp;REGEXREPLACE(D317,"[^\d]","")&amp;"?text="&amp;ENCODEURL(K317),"واتساب 1"))</x:f>
      </x:c>
      <x:c r="M317" s="12" t="str">
        <x:f>IF(A317="","","مرحبًا "&amp;C317&amp;CHAR(10)&amp;CHAR(10)&amp;"بناءً على نتيجة تقييم عيادة "&amp;B317&amp;"، فإن الترشيح الأقوى لكم الآن هو: "&amp;G317&amp;"."&amp;CHAR(10)&amp;"هذا الخيار يساعدكم في معالجة أكبر فجوة حالية بشكل عملي ومباشر."&amp;IF(J317&lt;&gt;"",CHAR(10)&amp;CHAR(10)&amp;"رابط التقرير: "&amp;J317,"")&amp;CHAR(10)&amp;CHAR(10)&amp;"إذا رغبت، يمكننا توضيح لماذا هذا الكورس هو الأنسب لكم الآن.")</x:f>
      </x:c>
      <x:c r="N317" s="12" t="str">
        <x:f>IF(D317="","",HYPERLINK("https://wa.me/"&amp;REGEXREPLACE(D317,"[^\d]","")&amp;"?text="&amp;ENCODEURL(M317),"واتساب 2"))</x:f>
      </x:c>
      <x:c r="O317" s="12" t="str">
        <x:f>IF(A317="","","مرحبًا "&amp;C317&amp;CHAR(10)&amp;CHAR(10)&amp;"إذا كانت التحديات لديكم تحتاج حلًا أشمل، فالبرنامج الكامل المناسب لكم هو: "&amp;H317&amp;"."&amp;IF(I317&lt;&gt;"",CHAR(10)&amp;"كما يمكنكم أيضًا حجز: "&amp;I317&amp;".","")&amp;IF(J317&lt;&gt;"",CHAR(10)&amp;CHAR(10)&amp;"رابط التقرير: "&amp;J317,"")&amp;CHAR(10)&amp;CHAR(10)&amp;"يسعدنا مساعدتكم في اختيار المسار الأنسب حسب وضع العيادة الحالي.")</x:f>
      </x:c>
      <x:c r="P317" s="12" t="str">
        <x:f>IF(D317="","",HYPERLINK("https://wa.me/"&amp;REGEXREPLACE(D317,"[^\d]","")&amp;"?text="&amp;ENCODEURL(O317),"واتساب 3"))</x:f>
      </x:c>
    </x:row>
    <x:row r="318" ht="15" hidden="0" customHeight="1">
      <x:c r="A318" s="12" t="str">
        <x:f>IF(Leads!A318="","",Leads!A318)</x:f>
      </x:c>
      <x:c r="B318" s="12" t="str">
        <x:f>IF(Leads!F318="","",Leads!F318)</x:f>
      </x:c>
      <x:c r="C318" s="12" t="str">
        <x:f>IF(Leads!G318="","",Leads!G318)</x:f>
      </x:c>
      <x:c r="D318" s="12" t="str">
        <x:f>IF(Leads!O318="","",Leads!O318)</x:f>
      </x:c>
      <x:c r="E318" s="12" t="str">
        <x:f>IF(Leads!AV318="","",Leads!AV318)</x:f>
      </x:c>
      <x:c r="F318" s="12" t="str">
        <x:f>IF(Leads!AX318="","",Leads!AX318)</x:f>
      </x:c>
      <x:c r="G318" s="12" t="str">
        <x:f>IF(Leads!BC318="","",Leads!BC318)</x:f>
      </x:c>
      <x:c r="H318" s="12" t="str">
        <x:f>IF(Leads!BE318="","",Leads!BE318)</x:f>
      </x:c>
      <x:c r="I318" s="12" t="str">
        <x:f>IF(Leads!BG318="","",Leads!BG318)</x:f>
      </x:c>
      <x:c r="J318" s="12" t="str">
        <x:f>IF(Leads!BH318="","",Leads!BH318)</x:f>
      </x:c>
      <x:c r="K318" s="12" t="str">
        <x:f>IF(A318="","","مرحبًا "&amp;C318&amp;CHAR(10)&amp;CHAR(10)&amp;"شكرًا لإتمام تقييم DBD الخاص بعيادة "&amp;B318&amp;"."&amp;CHAR(10)&amp;"نتيجتكم الحالية: "&amp;E318&amp;"%."&amp;CHAR(10)&amp;"أولوية التحسين الأولى: "&amp;F318&amp;"."&amp;IF(J318&lt;&gt;"",CHAR(10)&amp;CHAR(10)&amp;"رابط التقرير: "&amp;J318,"")&amp;CHAR(10)&amp;CHAR(10)&amp;"إذا أحببت، يمكننا مساعدتك في فهم التقرير وتحديد أفضل خطوة تالية لعيادتكم.")</x:f>
      </x:c>
      <x:c r="L318" s="12" t="str">
        <x:f>IF(D318="","",HYPERLINK("https://wa.me/"&amp;REGEXREPLACE(D318,"[^\d]","")&amp;"?text="&amp;ENCODEURL(K318),"واتساب 1"))</x:f>
      </x:c>
      <x:c r="M318" s="12" t="str">
        <x:f>IF(A318="","","مرحبًا "&amp;C318&amp;CHAR(10)&amp;CHAR(10)&amp;"بناءً على نتيجة تقييم عيادة "&amp;B318&amp;"، فإن الترشيح الأقوى لكم الآن هو: "&amp;G318&amp;"."&amp;CHAR(10)&amp;"هذا الخيار يساعدكم في معالجة أكبر فجوة حالية بشكل عملي ومباشر."&amp;IF(J318&lt;&gt;"",CHAR(10)&amp;CHAR(10)&amp;"رابط التقرير: "&amp;J318,"")&amp;CHAR(10)&amp;CHAR(10)&amp;"إذا رغبت، يمكننا توضيح لماذا هذا الكورس هو الأنسب لكم الآن.")</x:f>
      </x:c>
      <x:c r="N318" s="12" t="str">
        <x:f>IF(D318="","",HYPERLINK("https://wa.me/"&amp;REGEXREPLACE(D318,"[^\d]","")&amp;"?text="&amp;ENCODEURL(M318),"واتساب 2"))</x:f>
      </x:c>
      <x:c r="O318" s="12" t="str">
        <x:f>IF(A318="","","مرحبًا "&amp;C318&amp;CHAR(10)&amp;CHAR(10)&amp;"إذا كانت التحديات لديكم تحتاج حلًا أشمل، فالبرنامج الكامل المناسب لكم هو: "&amp;H318&amp;"."&amp;IF(I318&lt;&gt;"",CHAR(10)&amp;"كما يمكنكم أيضًا حجز: "&amp;I318&amp;".","")&amp;IF(J318&lt;&gt;"",CHAR(10)&amp;CHAR(10)&amp;"رابط التقرير: "&amp;J318,"")&amp;CHAR(10)&amp;CHAR(10)&amp;"يسعدنا مساعدتكم في اختيار المسار الأنسب حسب وضع العيادة الحالي.")</x:f>
      </x:c>
      <x:c r="P318" s="12" t="str">
        <x:f>IF(D318="","",HYPERLINK("https://wa.me/"&amp;REGEXREPLACE(D318,"[^\d]","")&amp;"?text="&amp;ENCODEURL(O318),"واتساب 3"))</x:f>
      </x:c>
    </x:row>
    <x:row r="319" ht="15" hidden="0" customHeight="1">
      <x:c r="A319" s="12" t="str">
        <x:f>IF(Leads!A319="","",Leads!A319)</x:f>
      </x:c>
      <x:c r="B319" s="12" t="str">
        <x:f>IF(Leads!F319="","",Leads!F319)</x:f>
      </x:c>
      <x:c r="C319" s="12" t="str">
        <x:f>IF(Leads!G319="","",Leads!G319)</x:f>
      </x:c>
      <x:c r="D319" s="12" t="str">
        <x:f>IF(Leads!O319="","",Leads!O319)</x:f>
      </x:c>
      <x:c r="E319" s="12" t="str">
        <x:f>IF(Leads!AV319="","",Leads!AV319)</x:f>
      </x:c>
      <x:c r="F319" s="12" t="str">
        <x:f>IF(Leads!AX319="","",Leads!AX319)</x:f>
      </x:c>
      <x:c r="G319" s="12" t="str">
        <x:f>IF(Leads!BC319="","",Leads!BC319)</x:f>
      </x:c>
      <x:c r="H319" s="12" t="str">
        <x:f>IF(Leads!BE319="","",Leads!BE319)</x:f>
      </x:c>
      <x:c r="I319" s="12" t="str">
        <x:f>IF(Leads!BG319="","",Leads!BG319)</x:f>
      </x:c>
      <x:c r="J319" s="12" t="str">
        <x:f>IF(Leads!BH319="","",Leads!BH319)</x:f>
      </x:c>
      <x:c r="K319" s="12" t="str">
        <x:f>IF(A319="","","مرحبًا "&amp;C319&amp;CHAR(10)&amp;CHAR(10)&amp;"شكرًا لإتمام تقييم DBD الخاص بعيادة "&amp;B319&amp;"."&amp;CHAR(10)&amp;"نتيجتكم الحالية: "&amp;E319&amp;"%."&amp;CHAR(10)&amp;"أولوية التحسين الأولى: "&amp;F319&amp;"."&amp;IF(J319&lt;&gt;"",CHAR(10)&amp;CHAR(10)&amp;"رابط التقرير: "&amp;J319,"")&amp;CHAR(10)&amp;CHAR(10)&amp;"إذا أحببت، يمكننا مساعدتك في فهم التقرير وتحديد أفضل خطوة تالية لعيادتكم.")</x:f>
      </x:c>
      <x:c r="L319" s="12" t="str">
        <x:f>IF(D319="","",HYPERLINK("https://wa.me/"&amp;REGEXREPLACE(D319,"[^\d]","")&amp;"?text="&amp;ENCODEURL(K319),"واتساب 1"))</x:f>
      </x:c>
      <x:c r="M319" s="12" t="str">
        <x:f>IF(A319="","","مرحبًا "&amp;C319&amp;CHAR(10)&amp;CHAR(10)&amp;"بناءً على نتيجة تقييم عيادة "&amp;B319&amp;"، فإن الترشيح الأقوى لكم الآن هو: "&amp;G319&amp;"."&amp;CHAR(10)&amp;"هذا الخيار يساعدكم في معالجة أكبر فجوة حالية بشكل عملي ومباشر."&amp;IF(J319&lt;&gt;"",CHAR(10)&amp;CHAR(10)&amp;"رابط التقرير: "&amp;J319,"")&amp;CHAR(10)&amp;CHAR(10)&amp;"إذا رغبت، يمكننا توضيح لماذا هذا الكورس هو الأنسب لكم الآن.")</x:f>
      </x:c>
      <x:c r="N319" s="12" t="str">
        <x:f>IF(D319="","",HYPERLINK("https://wa.me/"&amp;REGEXREPLACE(D319,"[^\d]","")&amp;"?text="&amp;ENCODEURL(M319),"واتساب 2"))</x:f>
      </x:c>
      <x:c r="O319" s="12" t="str">
        <x:f>IF(A319="","","مرحبًا "&amp;C319&amp;CHAR(10)&amp;CHAR(10)&amp;"إذا كانت التحديات لديكم تحتاج حلًا أشمل، فالبرنامج الكامل المناسب لكم هو: "&amp;H319&amp;"."&amp;IF(I319&lt;&gt;"",CHAR(10)&amp;"كما يمكنكم أيضًا حجز: "&amp;I319&amp;".","")&amp;IF(J319&lt;&gt;"",CHAR(10)&amp;CHAR(10)&amp;"رابط التقرير: "&amp;J319,"")&amp;CHAR(10)&amp;CHAR(10)&amp;"يسعدنا مساعدتكم في اختيار المسار الأنسب حسب وضع العيادة الحالي.")</x:f>
      </x:c>
      <x:c r="P319" s="12" t="str">
        <x:f>IF(D319="","",HYPERLINK("https://wa.me/"&amp;REGEXREPLACE(D319,"[^\d]","")&amp;"?text="&amp;ENCODEURL(O319),"واتساب 3"))</x:f>
      </x:c>
    </x:row>
    <x:row r="320" ht="15" hidden="0" customHeight="1">
      <x:c r="A320" s="12" t="str">
        <x:f>IF(Leads!A320="","",Leads!A320)</x:f>
      </x:c>
      <x:c r="B320" s="12" t="str">
        <x:f>IF(Leads!F320="","",Leads!F320)</x:f>
      </x:c>
      <x:c r="C320" s="12" t="str">
        <x:f>IF(Leads!G320="","",Leads!G320)</x:f>
      </x:c>
      <x:c r="D320" s="12" t="str">
        <x:f>IF(Leads!O320="","",Leads!O320)</x:f>
      </x:c>
      <x:c r="E320" s="12" t="str">
        <x:f>IF(Leads!AV320="","",Leads!AV320)</x:f>
      </x:c>
      <x:c r="F320" s="12" t="str">
        <x:f>IF(Leads!AX320="","",Leads!AX320)</x:f>
      </x:c>
      <x:c r="G320" s="12" t="str">
        <x:f>IF(Leads!BC320="","",Leads!BC320)</x:f>
      </x:c>
      <x:c r="H320" s="12" t="str">
        <x:f>IF(Leads!BE320="","",Leads!BE320)</x:f>
      </x:c>
      <x:c r="I320" s="12" t="str">
        <x:f>IF(Leads!BG320="","",Leads!BG320)</x:f>
      </x:c>
      <x:c r="J320" s="12" t="str">
        <x:f>IF(Leads!BH320="","",Leads!BH320)</x:f>
      </x:c>
      <x:c r="K320" s="12" t="str">
        <x:f>IF(A320="","","مرحبًا "&amp;C320&amp;CHAR(10)&amp;CHAR(10)&amp;"شكرًا لإتمام تقييم DBD الخاص بعيادة "&amp;B320&amp;"."&amp;CHAR(10)&amp;"نتيجتكم الحالية: "&amp;E320&amp;"%."&amp;CHAR(10)&amp;"أولوية التحسين الأولى: "&amp;F320&amp;"."&amp;IF(J320&lt;&gt;"",CHAR(10)&amp;CHAR(10)&amp;"رابط التقرير: "&amp;J320,"")&amp;CHAR(10)&amp;CHAR(10)&amp;"إذا أحببت، يمكننا مساعدتك في فهم التقرير وتحديد أفضل خطوة تالية لعيادتكم.")</x:f>
      </x:c>
      <x:c r="L320" s="12" t="str">
        <x:f>IF(D320="","",HYPERLINK("https://wa.me/"&amp;REGEXREPLACE(D320,"[^\d]","")&amp;"?text="&amp;ENCODEURL(K320),"واتساب 1"))</x:f>
      </x:c>
      <x:c r="M320" s="12" t="str">
        <x:f>IF(A320="","","مرحبًا "&amp;C320&amp;CHAR(10)&amp;CHAR(10)&amp;"بناءً على نتيجة تقييم عيادة "&amp;B320&amp;"، فإن الترشيح الأقوى لكم الآن هو: "&amp;G320&amp;"."&amp;CHAR(10)&amp;"هذا الخيار يساعدكم في معالجة أكبر فجوة حالية بشكل عملي ومباشر."&amp;IF(J320&lt;&gt;"",CHAR(10)&amp;CHAR(10)&amp;"رابط التقرير: "&amp;J320,"")&amp;CHAR(10)&amp;CHAR(10)&amp;"إذا رغبت، يمكننا توضيح لماذا هذا الكورس هو الأنسب لكم الآن.")</x:f>
      </x:c>
      <x:c r="N320" s="12" t="str">
        <x:f>IF(D320="","",HYPERLINK("https://wa.me/"&amp;REGEXREPLACE(D320,"[^\d]","")&amp;"?text="&amp;ENCODEURL(M320),"واتساب 2"))</x:f>
      </x:c>
      <x:c r="O320" s="12" t="str">
        <x:f>IF(A320="","","مرحبًا "&amp;C320&amp;CHAR(10)&amp;CHAR(10)&amp;"إذا كانت التحديات لديكم تحتاج حلًا أشمل، فالبرنامج الكامل المناسب لكم هو: "&amp;H320&amp;"."&amp;IF(I320&lt;&gt;"",CHAR(10)&amp;"كما يمكنكم أيضًا حجز: "&amp;I320&amp;".","")&amp;IF(J320&lt;&gt;"",CHAR(10)&amp;CHAR(10)&amp;"رابط التقرير: "&amp;J320,"")&amp;CHAR(10)&amp;CHAR(10)&amp;"يسعدنا مساعدتكم في اختيار المسار الأنسب حسب وضع العيادة الحالي.")</x:f>
      </x:c>
      <x:c r="P320" s="12" t="str">
        <x:f>IF(D320="","",HYPERLINK("https://wa.me/"&amp;REGEXREPLACE(D320,"[^\d]","")&amp;"?text="&amp;ENCODEURL(O320),"واتساب 3"))</x:f>
      </x:c>
    </x:row>
    <x:row r="321" ht="15" hidden="0" customHeight="1">
      <x:c r="A321" s="12" t="str">
        <x:f>IF(Leads!A321="","",Leads!A321)</x:f>
      </x:c>
      <x:c r="B321" s="12" t="str">
        <x:f>IF(Leads!F321="","",Leads!F321)</x:f>
      </x:c>
      <x:c r="C321" s="12" t="str">
        <x:f>IF(Leads!G321="","",Leads!G321)</x:f>
      </x:c>
      <x:c r="D321" s="12" t="str">
        <x:f>IF(Leads!O321="","",Leads!O321)</x:f>
      </x:c>
      <x:c r="E321" s="12" t="str">
        <x:f>IF(Leads!AV321="","",Leads!AV321)</x:f>
      </x:c>
      <x:c r="F321" s="12" t="str">
        <x:f>IF(Leads!AX321="","",Leads!AX321)</x:f>
      </x:c>
      <x:c r="G321" s="12" t="str">
        <x:f>IF(Leads!BC321="","",Leads!BC321)</x:f>
      </x:c>
      <x:c r="H321" s="12" t="str">
        <x:f>IF(Leads!BE321="","",Leads!BE321)</x:f>
      </x:c>
      <x:c r="I321" s="12" t="str">
        <x:f>IF(Leads!BG321="","",Leads!BG321)</x:f>
      </x:c>
      <x:c r="J321" s="12" t="str">
        <x:f>IF(Leads!BH321="","",Leads!BH321)</x:f>
      </x:c>
      <x:c r="K321" s="12" t="str">
        <x:f>IF(A321="","","مرحبًا "&amp;C321&amp;CHAR(10)&amp;CHAR(10)&amp;"شكرًا لإتمام تقييم DBD الخاص بعيادة "&amp;B321&amp;"."&amp;CHAR(10)&amp;"نتيجتكم الحالية: "&amp;E321&amp;"%."&amp;CHAR(10)&amp;"أولوية التحسين الأولى: "&amp;F321&amp;"."&amp;IF(J321&lt;&gt;"",CHAR(10)&amp;CHAR(10)&amp;"رابط التقرير: "&amp;J321,"")&amp;CHAR(10)&amp;CHAR(10)&amp;"إذا أحببت، يمكننا مساعدتك في فهم التقرير وتحديد أفضل خطوة تالية لعيادتكم.")</x:f>
      </x:c>
      <x:c r="L321" s="12" t="str">
        <x:f>IF(D321="","",HYPERLINK("https://wa.me/"&amp;REGEXREPLACE(D321,"[^\d]","")&amp;"?text="&amp;ENCODEURL(K321),"واتساب 1"))</x:f>
      </x:c>
      <x:c r="M321" s="12" t="str">
        <x:f>IF(A321="","","مرحبًا "&amp;C321&amp;CHAR(10)&amp;CHAR(10)&amp;"بناءً على نتيجة تقييم عيادة "&amp;B321&amp;"، فإن الترشيح الأقوى لكم الآن هو: "&amp;G321&amp;"."&amp;CHAR(10)&amp;"هذا الخيار يساعدكم في معالجة أكبر فجوة حالية بشكل عملي ومباشر."&amp;IF(J321&lt;&gt;"",CHAR(10)&amp;CHAR(10)&amp;"رابط التقرير: "&amp;J321,"")&amp;CHAR(10)&amp;CHAR(10)&amp;"إذا رغبت، يمكننا توضيح لماذا هذا الكورس هو الأنسب لكم الآن.")</x:f>
      </x:c>
      <x:c r="N321" s="12" t="str">
        <x:f>IF(D321="","",HYPERLINK("https://wa.me/"&amp;REGEXREPLACE(D321,"[^\d]","")&amp;"?text="&amp;ENCODEURL(M321),"واتساب 2"))</x:f>
      </x:c>
      <x:c r="O321" s="12" t="str">
        <x:f>IF(A321="","","مرحبًا "&amp;C321&amp;CHAR(10)&amp;CHAR(10)&amp;"إذا كانت التحديات لديكم تحتاج حلًا أشمل، فالبرنامج الكامل المناسب لكم هو: "&amp;H321&amp;"."&amp;IF(I321&lt;&gt;"",CHAR(10)&amp;"كما يمكنكم أيضًا حجز: "&amp;I321&amp;".","")&amp;IF(J321&lt;&gt;"",CHAR(10)&amp;CHAR(10)&amp;"رابط التقرير: "&amp;J321,"")&amp;CHAR(10)&amp;CHAR(10)&amp;"يسعدنا مساعدتكم في اختيار المسار الأنسب حسب وضع العيادة الحالي.")</x:f>
      </x:c>
      <x:c r="P321" s="12" t="str">
        <x:f>IF(D321="","",HYPERLINK("https://wa.me/"&amp;REGEXREPLACE(D321,"[^\d]","")&amp;"?text="&amp;ENCODEURL(O321),"واتساب 3"))</x:f>
      </x:c>
    </x:row>
    <x:row r="322" ht="15" hidden="0" customHeight="1">
      <x:c r="A322" s="12" t="str">
        <x:f>IF(Leads!A322="","",Leads!A322)</x:f>
      </x:c>
      <x:c r="B322" s="12" t="str">
        <x:f>IF(Leads!F322="","",Leads!F322)</x:f>
      </x:c>
      <x:c r="C322" s="12" t="str">
        <x:f>IF(Leads!G322="","",Leads!G322)</x:f>
      </x:c>
      <x:c r="D322" s="12" t="str">
        <x:f>IF(Leads!O322="","",Leads!O322)</x:f>
      </x:c>
      <x:c r="E322" s="12" t="str">
        <x:f>IF(Leads!AV322="","",Leads!AV322)</x:f>
      </x:c>
      <x:c r="F322" s="12" t="str">
        <x:f>IF(Leads!AX322="","",Leads!AX322)</x:f>
      </x:c>
      <x:c r="G322" s="12" t="str">
        <x:f>IF(Leads!BC322="","",Leads!BC322)</x:f>
      </x:c>
      <x:c r="H322" s="12" t="str">
        <x:f>IF(Leads!BE322="","",Leads!BE322)</x:f>
      </x:c>
      <x:c r="I322" s="12" t="str">
        <x:f>IF(Leads!BG322="","",Leads!BG322)</x:f>
      </x:c>
      <x:c r="J322" s="12" t="str">
        <x:f>IF(Leads!BH322="","",Leads!BH322)</x:f>
      </x:c>
      <x:c r="K322" s="12" t="str">
        <x:f>IF(A322="","","مرحبًا "&amp;C322&amp;CHAR(10)&amp;CHAR(10)&amp;"شكرًا لإتمام تقييم DBD الخاص بعيادة "&amp;B322&amp;"."&amp;CHAR(10)&amp;"نتيجتكم الحالية: "&amp;E322&amp;"%."&amp;CHAR(10)&amp;"أولوية التحسين الأولى: "&amp;F322&amp;"."&amp;IF(J322&lt;&gt;"",CHAR(10)&amp;CHAR(10)&amp;"رابط التقرير: "&amp;J322,"")&amp;CHAR(10)&amp;CHAR(10)&amp;"إذا أحببت، يمكننا مساعدتك في فهم التقرير وتحديد أفضل خطوة تالية لعيادتكم.")</x:f>
      </x:c>
      <x:c r="L322" s="12" t="str">
        <x:f>IF(D322="","",HYPERLINK("https://wa.me/"&amp;REGEXREPLACE(D322,"[^\d]","")&amp;"?text="&amp;ENCODEURL(K322),"واتساب 1"))</x:f>
      </x:c>
      <x:c r="M322" s="12" t="str">
        <x:f>IF(A322="","","مرحبًا "&amp;C322&amp;CHAR(10)&amp;CHAR(10)&amp;"بناءً على نتيجة تقييم عيادة "&amp;B322&amp;"، فإن الترشيح الأقوى لكم الآن هو: "&amp;G322&amp;"."&amp;CHAR(10)&amp;"هذا الخيار يساعدكم في معالجة أكبر فجوة حالية بشكل عملي ومباشر."&amp;IF(J322&lt;&gt;"",CHAR(10)&amp;CHAR(10)&amp;"رابط التقرير: "&amp;J322,"")&amp;CHAR(10)&amp;CHAR(10)&amp;"إذا رغبت، يمكننا توضيح لماذا هذا الكورس هو الأنسب لكم الآن.")</x:f>
      </x:c>
      <x:c r="N322" s="12" t="str">
        <x:f>IF(D322="","",HYPERLINK("https://wa.me/"&amp;REGEXREPLACE(D322,"[^\d]","")&amp;"?text="&amp;ENCODEURL(M322),"واتساب 2"))</x:f>
      </x:c>
      <x:c r="O322" s="12" t="str">
        <x:f>IF(A322="","","مرحبًا "&amp;C322&amp;CHAR(10)&amp;CHAR(10)&amp;"إذا كانت التحديات لديكم تحتاج حلًا أشمل، فالبرنامج الكامل المناسب لكم هو: "&amp;H322&amp;"."&amp;IF(I322&lt;&gt;"",CHAR(10)&amp;"كما يمكنكم أيضًا حجز: "&amp;I322&amp;".","")&amp;IF(J322&lt;&gt;"",CHAR(10)&amp;CHAR(10)&amp;"رابط التقرير: "&amp;J322,"")&amp;CHAR(10)&amp;CHAR(10)&amp;"يسعدنا مساعدتكم في اختيار المسار الأنسب حسب وضع العيادة الحالي.")</x:f>
      </x:c>
      <x:c r="P322" s="12" t="str">
        <x:f>IF(D322="","",HYPERLINK("https://wa.me/"&amp;REGEXREPLACE(D322,"[^\d]","")&amp;"?text="&amp;ENCODEURL(O322),"واتساب 3"))</x:f>
      </x:c>
    </x:row>
    <x:row r="323" ht="15" hidden="0" customHeight="1">
      <x:c r="A323" s="12" t="str">
        <x:f>IF(Leads!A323="","",Leads!A323)</x:f>
      </x:c>
      <x:c r="B323" s="12" t="str">
        <x:f>IF(Leads!F323="","",Leads!F323)</x:f>
      </x:c>
      <x:c r="C323" s="12" t="str">
        <x:f>IF(Leads!G323="","",Leads!G323)</x:f>
      </x:c>
      <x:c r="D323" s="12" t="str">
        <x:f>IF(Leads!O323="","",Leads!O323)</x:f>
      </x:c>
      <x:c r="E323" s="12" t="str">
        <x:f>IF(Leads!AV323="","",Leads!AV323)</x:f>
      </x:c>
      <x:c r="F323" s="12" t="str">
        <x:f>IF(Leads!AX323="","",Leads!AX323)</x:f>
      </x:c>
      <x:c r="G323" s="12" t="str">
        <x:f>IF(Leads!BC323="","",Leads!BC323)</x:f>
      </x:c>
      <x:c r="H323" s="12" t="str">
        <x:f>IF(Leads!BE323="","",Leads!BE323)</x:f>
      </x:c>
      <x:c r="I323" s="12" t="str">
        <x:f>IF(Leads!BG323="","",Leads!BG323)</x:f>
      </x:c>
      <x:c r="J323" s="12" t="str">
        <x:f>IF(Leads!BH323="","",Leads!BH323)</x:f>
      </x:c>
      <x:c r="K323" s="12" t="str">
        <x:f>IF(A323="","","مرحبًا "&amp;C323&amp;CHAR(10)&amp;CHAR(10)&amp;"شكرًا لإتمام تقييم DBD الخاص بعيادة "&amp;B323&amp;"."&amp;CHAR(10)&amp;"نتيجتكم الحالية: "&amp;E323&amp;"%."&amp;CHAR(10)&amp;"أولوية التحسين الأولى: "&amp;F323&amp;"."&amp;IF(J323&lt;&gt;"",CHAR(10)&amp;CHAR(10)&amp;"رابط التقرير: "&amp;J323,"")&amp;CHAR(10)&amp;CHAR(10)&amp;"إذا أحببت، يمكننا مساعدتك في فهم التقرير وتحديد أفضل خطوة تالية لعيادتكم.")</x:f>
      </x:c>
      <x:c r="L323" s="12" t="str">
        <x:f>IF(D323="","",HYPERLINK("https://wa.me/"&amp;REGEXREPLACE(D323,"[^\d]","")&amp;"?text="&amp;ENCODEURL(K323),"واتساب 1"))</x:f>
      </x:c>
      <x:c r="M323" s="12" t="str">
        <x:f>IF(A323="","","مرحبًا "&amp;C323&amp;CHAR(10)&amp;CHAR(10)&amp;"بناءً على نتيجة تقييم عيادة "&amp;B323&amp;"، فإن الترشيح الأقوى لكم الآن هو: "&amp;G323&amp;"."&amp;CHAR(10)&amp;"هذا الخيار يساعدكم في معالجة أكبر فجوة حالية بشكل عملي ومباشر."&amp;IF(J323&lt;&gt;"",CHAR(10)&amp;CHAR(10)&amp;"رابط التقرير: "&amp;J323,"")&amp;CHAR(10)&amp;CHAR(10)&amp;"إذا رغبت، يمكننا توضيح لماذا هذا الكورس هو الأنسب لكم الآن.")</x:f>
      </x:c>
      <x:c r="N323" s="12" t="str">
        <x:f>IF(D323="","",HYPERLINK("https://wa.me/"&amp;REGEXREPLACE(D323,"[^\d]","")&amp;"?text="&amp;ENCODEURL(M323),"واتساب 2"))</x:f>
      </x:c>
      <x:c r="O323" s="12" t="str">
        <x:f>IF(A323="","","مرحبًا "&amp;C323&amp;CHAR(10)&amp;CHAR(10)&amp;"إذا كانت التحديات لديكم تحتاج حلًا أشمل، فالبرنامج الكامل المناسب لكم هو: "&amp;H323&amp;"."&amp;IF(I323&lt;&gt;"",CHAR(10)&amp;"كما يمكنكم أيضًا حجز: "&amp;I323&amp;".","")&amp;IF(J323&lt;&gt;"",CHAR(10)&amp;CHAR(10)&amp;"رابط التقرير: "&amp;J323,"")&amp;CHAR(10)&amp;CHAR(10)&amp;"يسعدنا مساعدتكم في اختيار المسار الأنسب حسب وضع العيادة الحالي.")</x:f>
      </x:c>
      <x:c r="P323" s="12" t="str">
        <x:f>IF(D323="","",HYPERLINK("https://wa.me/"&amp;REGEXREPLACE(D323,"[^\d]","")&amp;"?text="&amp;ENCODEURL(O323),"واتساب 3"))</x:f>
      </x:c>
    </x:row>
    <x:row r="324" ht="15" hidden="0" customHeight="1">
      <x:c r="A324" s="12" t="str">
        <x:f>IF(Leads!A324="","",Leads!A324)</x:f>
      </x:c>
      <x:c r="B324" s="12" t="str">
        <x:f>IF(Leads!F324="","",Leads!F324)</x:f>
      </x:c>
      <x:c r="C324" s="12" t="str">
        <x:f>IF(Leads!G324="","",Leads!G324)</x:f>
      </x:c>
      <x:c r="D324" s="12" t="str">
        <x:f>IF(Leads!O324="","",Leads!O324)</x:f>
      </x:c>
      <x:c r="E324" s="12" t="str">
        <x:f>IF(Leads!AV324="","",Leads!AV324)</x:f>
      </x:c>
      <x:c r="F324" s="12" t="str">
        <x:f>IF(Leads!AX324="","",Leads!AX324)</x:f>
      </x:c>
      <x:c r="G324" s="12" t="str">
        <x:f>IF(Leads!BC324="","",Leads!BC324)</x:f>
      </x:c>
      <x:c r="H324" s="12" t="str">
        <x:f>IF(Leads!BE324="","",Leads!BE324)</x:f>
      </x:c>
      <x:c r="I324" s="12" t="str">
        <x:f>IF(Leads!BG324="","",Leads!BG324)</x:f>
      </x:c>
      <x:c r="J324" s="12" t="str">
        <x:f>IF(Leads!BH324="","",Leads!BH324)</x:f>
      </x:c>
      <x:c r="K324" s="12" t="str">
        <x:f>IF(A324="","","مرحبًا "&amp;C324&amp;CHAR(10)&amp;CHAR(10)&amp;"شكرًا لإتمام تقييم DBD الخاص بعيادة "&amp;B324&amp;"."&amp;CHAR(10)&amp;"نتيجتكم الحالية: "&amp;E324&amp;"%."&amp;CHAR(10)&amp;"أولوية التحسين الأولى: "&amp;F324&amp;"."&amp;IF(J324&lt;&gt;"",CHAR(10)&amp;CHAR(10)&amp;"رابط التقرير: "&amp;J324,"")&amp;CHAR(10)&amp;CHAR(10)&amp;"إذا أحببت، يمكننا مساعدتك في فهم التقرير وتحديد أفضل خطوة تالية لعيادتكم.")</x:f>
      </x:c>
      <x:c r="L324" s="12" t="str">
        <x:f>IF(D324="","",HYPERLINK("https://wa.me/"&amp;REGEXREPLACE(D324,"[^\d]","")&amp;"?text="&amp;ENCODEURL(K324),"واتساب 1"))</x:f>
      </x:c>
      <x:c r="M324" s="12" t="str">
        <x:f>IF(A324="","","مرحبًا "&amp;C324&amp;CHAR(10)&amp;CHAR(10)&amp;"بناءً على نتيجة تقييم عيادة "&amp;B324&amp;"، فإن الترشيح الأقوى لكم الآن هو: "&amp;G324&amp;"."&amp;CHAR(10)&amp;"هذا الخيار يساعدكم في معالجة أكبر فجوة حالية بشكل عملي ومباشر."&amp;IF(J324&lt;&gt;"",CHAR(10)&amp;CHAR(10)&amp;"رابط التقرير: "&amp;J324,"")&amp;CHAR(10)&amp;CHAR(10)&amp;"إذا رغبت، يمكننا توضيح لماذا هذا الكورس هو الأنسب لكم الآن.")</x:f>
      </x:c>
      <x:c r="N324" s="12" t="str">
        <x:f>IF(D324="","",HYPERLINK("https://wa.me/"&amp;REGEXREPLACE(D324,"[^\d]","")&amp;"?text="&amp;ENCODEURL(M324),"واتساب 2"))</x:f>
      </x:c>
      <x:c r="O324" s="12" t="str">
        <x:f>IF(A324="","","مرحبًا "&amp;C324&amp;CHAR(10)&amp;CHAR(10)&amp;"إذا كانت التحديات لديكم تحتاج حلًا أشمل، فالبرنامج الكامل المناسب لكم هو: "&amp;H324&amp;"."&amp;IF(I324&lt;&gt;"",CHAR(10)&amp;"كما يمكنكم أيضًا حجز: "&amp;I324&amp;".","")&amp;IF(J324&lt;&gt;"",CHAR(10)&amp;CHAR(10)&amp;"رابط التقرير: "&amp;J324,"")&amp;CHAR(10)&amp;CHAR(10)&amp;"يسعدنا مساعدتكم في اختيار المسار الأنسب حسب وضع العيادة الحالي.")</x:f>
      </x:c>
      <x:c r="P324" s="12" t="str">
        <x:f>IF(D324="","",HYPERLINK("https://wa.me/"&amp;REGEXREPLACE(D324,"[^\d]","")&amp;"?text="&amp;ENCODEURL(O324),"واتساب 3"))</x:f>
      </x:c>
    </x:row>
    <x:row r="325" ht="15" hidden="0" customHeight="1">
      <x:c r="A325" s="12" t="str">
        <x:f>IF(Leads!A325="","",Leads!A325)</x:f>
      </x:c>
      <x:c r="B325" s="12" t="str">
        <x:f>IF(Leads!F325="","",Leads!F325)</x:f>
      </x:c>
      <x:c r="C325" s="12" t="str">
        <x:f>IF(Leads!G325="","",Leads!G325)</x:f>
      </x:c>
      <x:c r="D325" s="12" t="str">
        <x:f>IF(Leads!O325="","",Leads!O325)</x:f>
      </x:c>
      <x:c r="E325" s="12" t="str">
        <x:f>IF(Leads!AV325="","",Leads!AV325)</x:f>
      </x:c>
      <x:c r="F325" s="12" t="str">
        <x:f>IF(Leads!AX325="","",Leads!AX325)</x:f>
      </x:c>
      <x:c r="G325" s="12" t="str">
        <x:f>IF(Leads!BC325="","",Leads!BC325)</x:f>
      </x:c>
      <x:c r="H325" s="12" t="str">
        <x:f>IF(Leads!BE325="","",Leads!BE325)</x:f>
      </x:c>
      <x:c r="I325" s="12" t="str">
        <x:f>IF(Leads!BG325="","",Leads!BG325)</x:f>
      </x:c>
      <x:c r="J325" s="12" t="str">
        <x:f>IF(Leads!BH325="","",Leads!BH325)</x:f>
      </x:c>
      <x:c r="K325" s="12" t="str">
        <x:f>IF(A325="","","مرحبًا "&amp;C325&amp;CHAR(10)&amp;CHAR(10)&amp;"شكرًا لإتمام تقييم DBD الخاص بعيادة "&amp;B325&amp;"."&amp;CHAR(10)&amp;"نتيجتكم الحالية: "&amp;E325&amp;"%."&amp;CHAR(10)&amp;"أولوية التحسين الأولى: "&amp;F325&amp;"."&amp;IF(J325&lt;&gt;"",CHAR(10)&amp;CHAR(10)&amp;"رابط التقرير: "&amp;J325,"")&amp;CHAR(10)&amp;CHAR(10)&amp;"إذا أحببت، يمكننا مساعدتك في فهم التقرير وتحديد أفضل خطوة تالية لعيادتكم.")</x:f>
      </x:c>
      <x:c r="L325" s="12" t="str">
        <x:f>IF(D325="","",HYPERLINK("https://wa.me/"&amp;REGEXREPLACE(D325,"[^\d]","")&amp;"?text="&amp;ENCODEURL(K325),"واتساب 1"))</x:f>
      </x:c>
      <x:c r="M325" s="12" t="str">
        <x:f>IF(A325="","","مرحبًا "&amp;C325&amp;CHAR(10)&amp;CHAR(10)&amp;"بناءً على نتيجة تقييم عيادة "&amp;B325&amp;"، فإن الترشيح الأقوى لكم الآن هو: "&amp;G325&amp;"."&amp;CHAR(10)&amp;"هذا الخيار يساعدكم في معالجة أكبر فجوة حالية بشكل عملي ومباشر."&amp;IF(J325&lt;&gt;"",CHAR(10)&amp;CHAR(10)&amp;"رابط التقرير: "&amp;J325,"")&amp;CHAR(10)&amp;CHAR(10)&amp;"إذا رغبت، يمكننا توضيح لماذا هذا الكورس هو الأنسب لكم الآن.")</x:f>
      </x:c>
      <x:c r="N325" s="12" t="str">
        <x:f>IF(D325="","",HYPERLINK("https://wa.me/"&amp;REGEXREPLACE(D325,"[^\d]","")&amp;"?text="&amp;ENCODEURL(M325),"واتساب 2"))</x:f>
      </x:c>
      <x:c r="O325" s="12" t="str">
        <x:f>IF(A325="","","مرحبًا "&amp;C325&amp;CHAR(10)&amp;CHAR(10)&amp;"إذا كانت التحديات لديكم تحتاج حلًا أشمل، فالبرنامج الكامل المناسب لكم هو: "&amp;H325&amp;"."&amp;IF(I325&lt;&gt;"",CHAR(10)&amp;"كما يمكنكم أيضًا حجز: "&amp;I325&amp;".","")&amp;IF(J325&lt;&gt;"",CHAR(10)&amp;CHAR(10)&amp;"رابط التقرير: "&amp;J325,"")&amp;CHAR(10)&amp;CHAR(10)&amp;"يسعدنا مساعدتكم في اختيار المسار الأنسب حسب وضع العيادة الحالي.")</x:f>
      </x:c>
      <x:c r="P325" s="12" t="str">
        <x:f>IF(D325="","",HYPERLINK("https://wa.me/"&amp;REGEXREPLACE(D325,"[^\d]","")&amp;"?text="&amp;ENCODEURL(O325),"واتساب 3"))</x:f>
      </x:c>
    </x:row>
    <x:row r="326" ht="15" hidden="0" customHeight="1">
      <x:c r="A326" s="12" t="str">
        <x:f>IF(Leads!A326="","",Leads!A326)</x:f>
      </x:c>
      <x:c r="B326" s="12" t="str">
        <x:f>IF(Leads!F326="","",Leads!F326)</x:f>
      </x:c>
      <x:c r="C326" s="12" t="str">
        <x:f>IF(Leads!G326="","",Leads!G326)</x:f>
      </x:c>
      <x:c r="D326" s="12" t="str">
        <x:f>IF(Leads!O326="","",Leads!O326)</x:f>
      </x:c>
      <x:c r="E326" s="12" t="str">
        <x:f>IF(Leads!AV326="","",Leads!AV326)</x:f>
      </x:c>
      <x:c r="F326" s="12" t="str">
        <x:f>IF(Leads!AX326="","",Leads!AX326)</x:f>
      </x:c>
      <x:c r="G326" s="12" t="str">
        <x:f>IF(Leads!BC326="","",Leads!BC326)</x:f>
      </x:c>
      <x:c r="H326" s="12" t="str">
        <x:f>IF(Leads!BE326="","",Leads!BE326)</x:f>
      </x:c>
      <x:c r="I326" s="12" t="str">
        <x:f>IF(Leads!BG326="","",Leads!BG326)</x:f>
      </x:c>
      <x:c r="J326" s="12" t="str">
        <x:f>IF(Leads!BH326="","",Leads!BH326)</x:f>
      </x:c>
      <x:c r="K326" s="12" t="str">
        <x:f>IF(A326="","","مرحبًا "&amp;C326&amp;CHAR(10)&amp;CHAR(10)&amp;"شكرًا لإتمام تقييم DBD الخاص بعيادة "&amp;B326&amp;"."&amp;CHAR(10)&amp;"نتيجتكم الحالية: "&amp;E326&amp;"%."&amp;CHAR(10)&amp;"أولوية التحسين الأولى: "&amp;F326&amp;"."&amp;IF(J326&lt;&gt;"",CHAR(10)&amp;CHAR(10)&amp;"رابط التقرير: "&amp;J326,"")&amp;CHAR(10)&amp;CHAR(10)&amp;"إذا أحببت، يمكننا مساعدتك في فهم التقرير وتحديد أفضل خطوة تالية لعيادتكم.")</x:f>
      </x:c>
      <x:c r="L326" s="12" t="str">
        <x:f>IF(D326="","",HYPERLINK("https://wa.me/"&amp;REGEXREPLACE(D326,"[^\d]","")&amp;"?text="&amp;ENCODEURL(K326),"واتساب 1"))</x:f>
      </x:c>
      <x:c r="M326" s="12" t="str">
        <x:f>IF(A326="","","مرحبًا "&amp;C326&amp;CHAR(10)&amp;CHAR(10)&amp;"بناءً على نتيجة تقييم عيادة "&amp;B326&amp;"، فإن الترشيح الأقوى لكم الآن هو: "&amp;G326&amp;"."&amp;CHAR(10)&amp;"هذا الخيار يساعدكم في معالجة أكبر فجوة حالية بشكل عملي ومباشر."&amp;IF(J326&lt;&gt;"",CHAR(10)&amp;CHAR(10)&amp;"رابط التقرير: "&amp;J326,"")&amp;CHAR(10)&amp;CHAR(10)&amp;"إذا رغبت، يمكننا توضيح لماذا هذا الكورس هو الأنسب لكم الآن.")</x:f>
      </x:c>
      <x:c r="N326" s="12" t="str">
        <x:f>IF(D326="","",HYPERLINK("https://wa.me/"&amp;REGEXREPLACE(D326,"[^\d]","")&amp;"?text="&amp;ENCODEURL(M326),"واتساب 2"))</x:f>
      </x:c>
      <x:c r="O326" s="12" t="str">
        <x:f>IF(A326="","","مرحبًا "&amp;C326&amp;CHAR(10)&amp;CHAR(10)&amp;"إذا كانت التحديات لديكم تحتاج حلًا أشمل، فالبرنامج الكامل المناسب لكم هو: "&amp;H326&amp;"."&amp;IF(I326&lt;&gt;"",CHAR(10)&amp;"كما يمكنكم أيضًا حجز: "&amp;I326&amp;".","")&amp;IF(J326&lt;&gt;"",CHAR(10)&amp;CHAR(10)&amp;"رابط التقرير: "&amp;J326,"")&amp;CHAR(10)&amp;CHAR(10)&amp;"يسعدنا مساعدتكم في اختيار المسار الأنسب حسب وضع العيادة الحالي.")</x:f>
      </x:c>
      <x:c r="P326" s="12" t="str">
        <x:f>IF(D326="","",HYPERLINK("https://wa.me/"&amp;REGEXREPLACE(D326,"[^\d]","")&amp;"?text="&amp;ENCODEURL(O326),"واتساب 3"))</x:f>
      </x:c>
    </x:row>
    <x:row r="327" ht="15" hidden="0" customHeight="1">
      <x:c r="A327" s="12" t="str">
        <x:f>IF(Leads!A327="","",Leads!A327)</x:f>
      </x:c>
      <x:c r="B327" s="12" t="str">
        <x:f>IF(Leads!F327="","",Leads!F327)</x:f>
      </x:c>
      <x:c r="C327" s="12" t="str">
        <x:f>IF(Leads!G327="","",Leads!G327)</x:f>
      </x:c>
      <x:c r="D327" s="12" t="str">
        <x:f>IF(Leads!O327="","",Leads!O327)</x:f>
      </x:c>
      <x:c r="E327" s="12" t="str">
        <x:f>IF(Leads!AV327="","",Leads!AV327)</x:f>
      </x:c>
      <x:c r="F327" s="12" t="str">
        <x:f>IF(Leads!AX327="","",Leads!AX327)</x:f>
      </x:c>
      <x:c r="G327" s="12" t="str">
        <x:f>IF(Leads!BC327="","",Leads!BC327)</x:f>
      </x:c>
      <x:c r="H327" s="12" t="str">
        <x:f>IF(Leads!BE327="","",Leads!BE327)</x:f>
      </x:c>
      <x:c r="I327" s="12" t="str">
        <x:f>IF(Leads!BG327="","",Leads!BG327)</x:f>
      </x:c>
      <x:c r="J327" s="12" t="str">
        <x:f>IF(Leads!BH327="","",Leads!BH327)</x:f>
      </x:c>
      <x:c r="K327" s="12" t="str">
        <x:f>IF(A327="","","مرحبًا "&amp;C327&amp;CHAR(10)&amp;CHAR(10)&amp;"شكرًا لإتمام تقييم DBD الخاص بعيادة "&amp;B327&amp;"."&amp;CHAR(10)&amp;"نتيجتكم الحالية: "&amp;E327&amp;"%."&amp;CHAR(10)&amp;"أولوية التحسين الأولى: "&amp;F327&amp;"."&amp;IF(J327&lt;&gt;"",CHAR(10)&amp;CHAR(10)&amp;"رابط التقرير: "&amp;J327,"")&amp;CHAR(10)&amp;CHAR(10)&amp;"إذا أحببت، يمكننا مساعدتك في فهم التقرير وتحديد أفضل خطوة تالية لعيادتكم.")</x:f>
      </x:c>
      <x:c r="L327" s="12" t="str">
        <x:f>IF(D327="","",HYPERLINK("https://wa.me/"&amp;REGEXREPLACE(D327,"[^\d]","")&amp;"?text="&amp;ENCODEURL(K327),"واتساب 1"))</x:f>
      </x:c>
      <x:c r="M327" s="12" t="str">
        <x:f>IF(A327="","","مرحبًا "&amp;C327&amp;CHAR(10)&amp;CHAR(10)&amp;"بناءً على نتيجة تقييم عيادة "&amp;B327&amp;"، فإن الترشيح الأقوى لكم الآن هو: "&amp;G327&amp;"."&amp;CHAR(10)&amp;"هذا الخيار يساعدكم في معالجة أكبر فجوة حالية بشكل عملي ومباشر."&amp;IF(J327&lt;&gt;"",CHAR(10)&amp;CHAR(10)&amp;"رابط التقرير: "&amp;J327,"")&amp;CHAR(10)&amp;CHAR(10)&amp;"إذا رغبت، يمكننا توضيح لماذا هذا الكورس هو الأنسب لكم الآن.")</x:f>
      </x:c>
      <x:c r="N327" s="12" t="str">
        <x:f>IF(D327="","",HYPERLINK("https://wa.me/"&amp;REGEXREPLACE(D327,"[^\d]","")&amp;"?text="&amp;ENCODEURL(M327),"واتساب 2"))</x:f>
      </x:c>
      <x:c r="O327" s="12" t="str">
        <x:f>IF(A327="","","مرحبًا "&amp;C327&amp;CHAR(10)&amp;CHAR(10)&amp;"إذا كانت التحديات لديكم تحتاج حلًا أشمل، فالبرنامج الكامل المناسب لكم هو: "&amp;H327&amp;"."&amp;IF(I327&lt;&gt;"",CHAR(10)&amp;"كما يمكنكم أيضًا حجز: "&amp;I327&amp;".","")&amp;IF(J327&lt;&gt;"",CHAR(10)&amp;CHAR(10)&amp;"رابط التقرير: "&amp;J327,"")&amp;CHAR(10)&amp;CHAR(10)&amp;"يسعدنا مساعدتكم في اختيار المسار الأنسب حسب وضع العيادة الحالي.")</x:f>
      </x:c>
      <x:c r="P327" s="12" t="str">
        <x:f>IF(D327="","",HYPERLINK("https://wa.me/"&amp;REGEXREPLACE(D327,"[^\d]","")&amp;"?text="&amp;ENCODEURL(O327),"واتساب 3"))</x:f>
      </x:c>
    </x:row>
    <x:row r="328" ht="15" hidden="0" customHeight="1">
      <x:c r="A328" s="12" t="str">
        <x:f>IF(Leads!A328="","",Leads!A328)</x:f>
      </x:c>
      <x:c r="B328" s="12" t="str">
        <x:f>IF(Leads!F328="","",Leads!F328)</x:f>
      </x:c>
      <x:c r="C328" s="12" t="str">
        <x:f>IF(Leads!G328="","",Leads!G328)</x:f>
      </x:c>
      <x:c r="D328" s="12" t="str">
        <x:f>IF(Leads!O328="","",Leads!O328)</x:f>
      </x:c>
      <x:c r="E328" s="12" t="str">
        <x:f>IF(Leads!AV328="","",Leads!AV328)</x:f>
      </x:c>
      <x:c r="F328" s="12" t="str">
        <x:f>IF(Leads!AX328="","",Leads!AX328)</x:f>
      </x:c>
      <x:c r="G328" s="12" t="str">
        <x:f>IF(Leads!BC328="","",Leads!BC328)</x:f>
      </x:c>
      <x:c r="H328" s="12" t="str">
        <x:f>IF(Leads!BE328="","",Leads!BE328)</x:f>
      </x:c>
      <x:c r="I328" s="12" t="str">
        <x:f>IF(Leads!BG328="","",Leads!BG328)</x:f>
      </x:c>
      <x:c r="J328" s="12" t="str">
        <x:f>IF(Leads!BH328="","",Leads!BH328)</x:f>
      </x:c>
      <x:c r="K328" s="12" t="str">
        <x:f>IF(A328="","","مرحبًا "&amp;C328&amp;CHAR(10)&amp;CHAR(10)&amp;"شكرًا لإتمام تقييم DBD الخاص بعيادة "&amp;B328&amp;"."&amp;CHAR(10)&amp;"نتيجتكم الحالية: "&amp;E328&amp;"%."&amp;CHAR(10)&amp;"أولوية التحسين الأولى: "&amp;F328&amp;"."&amp;IF(J328&lt;&gt;"",CHAR(10)&amp;CHAR(10)&amp;"رابط التقرير: "&amp;J328,"")&amp;CHAR(10)&amp;CHAR(10)&amp;"إذا أحببت، يمكننا مساعدتك في فهم التقرير وتحديد أفضل خطوة تالية لعيادتكم.")</x:f>
      </x:c>
      <x:c r="L328" s="12" t="str">
        <x:f>IF(D328="","",HYPERLINK("https://wa.me/"&amp;REGEXREPLACE(D328,"[^\d]","")&amp;"?text="&amp;ENCODEURL(K328),"واتساب 1"))</x:f>
      </x:c>
      <x:c r="M328" s="12" t="str">
        <x:f>IF(A328="","","مرحبًا "&amp;C328&amp;CHAR(10)&amp;CHAR(10)&amp;"بناءً على نتيجة تقييم عيادة "&amp;B328&amp;"، فإن الترشيح الأقوى لكم الآن هو: "&amp;G328&amp;"."&amp;CHAR(10)&amp;"هذا الخيار يساعدكم في معالجة أكبر فجوة حالية بشكل عملي ومباشر."&amp;IF(J328&lt;&gt;"",CHAR(10)&amp;CHAR(10)&amp;"رابط التقرير: "&amp;J328,"")&amp;CHAR(10)&amp;CHAR(10)&amp;"إذا رغبت، يمكننا توضيح لماذا هذا الكورس هو الأنسب لكم الآن.")</x:f>
      </x:c>
      <x:c r="N328" s="12" t="str">
        <x:f>IF(D328="","",HYPERLINK("https://wa.me/"&amp;REGEXREPLACE(D328,"[^\d]","")&amp;"?text="&amp;ENCODEURL(M328),"واتساب 2"))</x:f>
      </x:c>
      <x:c r="O328" s="12" t="str">
        <x:f>IF(A328="","","مرحبًا "&amp;C328&amp;CHAR(10)&amp;CHAR(10)&amp;"إذا كانت التحديات لديكم تحتاج حلًا أشمل، فالبرنامج الكامل المناسب لكم هو: "&amp;H328&amp;"."&amp;IF(I328&lt;&gt;"",CHAR(10)&amp;"كما يمكنكم أيضًا حجز: "&amp;I328&amp;".","")&amp;IF(J328&lt;&gt;"",CHAR(10)&amp;CHAR(10)&amp;"رابط التقرير: "&amp;J328,"")&amp;CHAR(10)&amp;CHAR(10)&amp;"يسعدنا مساعدتكم في اختيار المسار الأنسب حسب وضع العيادة الحالي.")</x:f>
      </x:c>
      <x:c r="P328" s="12" t="str">
        <x:f>IF(D328="","",HYPERLINK("https://wa.me/"&amp;REGEXREPLACE(D328,"[^\d]","")&amp;"?text="&amp;ENCODEURL(O328),"واتساب 3"))</x:f>
      </x:c>
    </x:row>
    <x:row r="329" ht="15" hidden="0" customHeight="1">
      <x:c r="A329" s="12" t="str">
        <x:f>IF(Leads!A329="","",Leads!A329)</x:f>
      </x:c>
      <x:c r="B329" s="12" t="str">
        <x:f>IF(Leads!F329="","",Leads!F329)</x:f>
      </x:c>
      <x:c r="C329" s="12" t="str">
        <x:f>IF(Leads!G329="","",Leads!G329)</x:f>
      </x:c>
      <x:c r="D329" s="12" t="str">
        <x:f>IF(Leads!O329="","",Leads!O329)</x:f>
      </x:c>
      <x:c r="E329" s="12" t="str">
        <x:f>IF(Leads!AV329="","",Leads!AV329)</x:f>
      </x:c>
      <x:c r="F329" s="12" t="str">
        <x:f>IF(Leads!AX329="","",Leads!AX329)</x:f>
      </x:c>
      <x:c r="G329" s="12" t="str">
        <x:f>IF(Leads!BC329="","",Leads!BC329)</x:f>
      </x:c>
      <x:c r="H329" s="12" t="str">
        <x:f>IF(Leads!BE329="","",Leads!BE329)</x:f>
      </x:c>
      <x:c r="I329" s="12" t="str">
        <x:f>IF(Leads!BG329="","",Leads!BG329)</x:f>
      </x:c>
      <x:c r="J329" s="12" t="str">
        <x:f>IF(Leads!BH329="","",Leads!BH329)</x:f>
      </x:c>
      <x:c r="K329" s="12" t="str">
        <x:f>IF(A329="","","مرحبًا "&amp;C329&amp;CHAR(10)&amp;CHAR(10)&amp;"شكرًا لإتمام تقييم DBD الخاص بعيادة "&amp;B329&amp;"."&amp;CHAR(10)&amp;"نتيجتكم الحالية: "&amp;E329&amp;"%."&amp;CHAR(10)&amp;"أولوية التحسين الأولى: "&amp;F329&amp;"."&amp;IF(J329&lt;&gt;"",CHAR(10)&amp;CHAR(10)&amp;"رابط التقرير: "&amp;J329,"")&amp;CHAR(10)&amp;CHAR(10)&amp;"إذا أحببت، يمكننا مساعدتك في فهم التقرير وتحديد أفضل خطوة تالية لعيادتكم.")</x:f>
      </x:c>
      <x:c r="L329" s="12" t="str">
        <x:f>IF(D329="","",HYPERLINK("https://wa.me/"&amp;REGEXREPLACE(D329,"[^\d]","")&amp;"?text="&amp;ENCODEURL(K329),"واتساب 1"))</x:f>
      </x:c>
      <x:c r="M329" s="12" t="str">
        <x:f>IF(A329="","","مرحبًا "&amp;C329&amp;CHAR(10)&amp;CHAR(10)&amp;"بناءً على نتيجة تقييم عيادة "&amp;B329&amp;"، فإن الترشيح الأقوى لكم الآن هو: "&amp;G329&amp;"."&amp;CHAR(10)&amp;"هذا الخيار يساعدكم في معالجة أكبر فجوة حالية بشكل عملي ومباشر."&amp;IF(J329&lt;&gt;"",CHAR(10)&amp;CHAR(10)&amp;"رابط التقرير: "&amp;J329,"")&amp;CHAR(10)&amp;CHAR(10)&amp;"إذا رغبت، يمكننا توضيح لماذا هذا الكورس هو الأنسب لكم الآن.")</x:f>
      </x:c>
      <x:c r="N329" s="12" t="str">
        <x:f>IF(D329="","",HYPERLINK("https://wa.me/"&amp;REGEXREPLACE(D329,"[^\d]","")&amp;"?text="&amp;ENCODEURL(M329),"واتساب 2"))</x:f>
      </x:c>
      <x:c r="O329" s="12" t="str">
        <x:f>IF(A329="","","مرحبًا "&amp;C329&amp;CHAR(10)&amp;CHAR(10)&amp;"إذا كانت التحديات لديكم تحتاج حلًا أشمل، فالبرنامج الكامل المناسب لكم هو: "&amp;H329&amp;"."&amp;IF(I329&lt;&gt;"",CHAR(10)&amp;"كما يمكنكم أيضًا حجز: "&amp;I329&amp;".","")&amp;IF(J329&lt;&gt;"",CHAR(10)&amp;CHAR(10)&amp;"رابط التقرير: "&amp;J329,"")&amp;CHAR(10)&amp;CHAR(10)&amp;"يسعدنا مساعدتكم في اختيار المسار الأنسب حسب وضع العيادة الحالي.")</x:f>
      </x:c>
      <x:c r="P329" s="12" t="str">
        <x:f>IF(D329="","",HYPERLINK("https://wa.me/"&amp;REGEXREPLACE(D329,"[^\d]","")&amp;"?text="&amp;ENCODEURL(O329),"واتساب 3"))</x:f>
      </x:c>
    </x:row>
    <x:row r="330" ht="15" hidden="0" customHeight="1">
      <x:c r="A330" s="12" t="str">
        <x:f>IF(Leads!A330="","",Leads!A330)</x:f>
      </x:c>
      <x:c r="B330" s="12" t="str">
        <x:f>IF(Leads!F330="","",Leads!F330)</x:f>
      </x:c>
      <x:c r="C330" s="12" t="str">
        <x:f>IF(Leads!G330="","",Leads!G330)</x:f>
      </x:c>
      <x:c r="D330" s="12" t="str">
        <x:f>IF(Leads!O330="","",Leads!O330)</x:f>
      </x:c>
      <x:c r="E330" s="12" t="str">
        <x:f>IF(Leads!AV330="","",Leads!AV330)</x:f>
      </x:c>
      <x:c r="F330" s="12" t="str">
        <x:f>IF(Leads!AX330="","",Leads!AX330)</x:f>
      </x:c>
      <x:c r="G330" s="12" t="str">
        <x:f>IF(Leads!BC330="","",Leads!BC330)</x:f>
      </x:c>
      <x:c r="H330" s="12" t="str">
        <x:f>IF(Leads!BE330="","",Leads!BE330)</x:f>
      </x:c>
      <x:c r="I330" s="12" t="str">
        <x:f>IF(Leads!BG330="","",Leads!BG330)</x:f>
      </x:c>
      <x:c r="J330" s="12" t="str">
        <x:f>IF(Leads!BH330="","",Leads!BH330)</x:f>
      </x:c>
      <x:c r="K330" s="12" t="str">
        <x:f>IF(A330="","","مرحبًا "&amp;C330&amp;CHAR(10)&amp;CHAR(10)&amp;"شكرًا لإتمام تقييم DBD الخاص بعيادة "&amp;B330&amp;"."&amp;CHAR(10)&amp;"نتيجتكم الحالية: "&amp;E330&amp;"%."&amp;CHAR(10)&amp;"أولوية التحسين الأولى: "&amp;F330&amp;"."&amp;IF(J330&lt;&gt;"",CHAR(10)&amp;CHAR(10)&amp;"رابط التقرير: "&amp;J330,"")&amp;CHAR(10)&amp;CHAR(10)&amp;"إذا أحببت، يمكننا مساعدتك في فهم التقرير وتحديد أفضل خطوة تالية لعيادتكم.")</x:f>
      </x:c>
      <x:c r="L330" s="12" t="str">
        <x:f>IF(D330="","",HYPERLINK("https://wa.me/"&amp;REGEXREPLACE(D330,"[^\d]","")&amp;"?text="&amp;ENCODEURL(K330),"واتساب 1"))</x:f>
      </x:c>
      <x:c r="M330" s="12" t="str">
        <x:f>IF(A330="","","مرحبًا "&amp;C330&amp;CHAR(10)&amp;CHAR(10)&amp;"بناءً على نتيجة تقييم عيادة "&amp;B330&amp;"، فإن الترشيح الأقوى لكم الآن هو: "&amp;G330&amp;"."&amp;CHAR(10)&amp;"هذا الخيار يساعدكم في معالجة أكبر فجوة حالية بشكل عملي ومباشر."&amp;IF(J330&lt;&gt;"",CHAR(10)&amp;CHAR(10)&amp;"رابط التقرير: "&amp;J330,"")&amp;CHAR(10)&amp;CHAR(10)&amp;"إذا رغبت، يمكننا توضيح لماذا هذا الكورس هو الأنسب لكم الآن.")</x:f>
      </x:c>
      <x:c r="N330" s="12" t="str">
        <x:f>IF(D330="","",HYPERLINK("https://wa.me/"&amp;REGEXREPLACE(D330,"[^\d]","")&amp;"?text="&amp;ENCODEURL(M330),"واتساب 2"))</x:f>
      </x:c>
      <x:c r="O330" s="12" t="str">
        <x:f>IF(A330="","","مرحبًا "&amp;C330&amp;CHAR(10)&amp;CHAR(10)&amp;"إذا كانت التحديات لديكم تحتاج حلًا أشمل، فالبرنامج الكامل المناسب لكم هو: "&amp;H330&amp;"."&amp;IF(I330&lt;&gt;"",CHAR(10)&amp;"كما يمكنكم أيضًا حجز: "&amp;I330&amp;".","")&amp;IF(J330&lt;&gt;"",CHAR(10)&amp;CHAR(10)&amp;"رابط التقرير: "&amp;J330,"")&amp;CHAR(10)&amp;CHAR(10)&amp;"يسعدنا مساعدتكم في اختيار المسار الأنسب حسب وضع العيادة الحالي.")</x:f>
      </x:c>
      <x:c r="P330" s="12" t="str">
        <x:f>IF(D330="","",HYPERLINK("https://wa.me/"&amp;REGEXREPLACE(D330,"[^\d]","")&amp;"?text="&amp;ENCODEURL(O330),"واتساب 3"))</x:f>
      </x:c>
    </x:row>
    <x:row r="331" ht="15" hidden="0" customHeight="1">
      <x:c r="A331" s="12" t="str">
        <x:f>IF(Leads!A331="","",Leads!A331)</x:f>
      </x:c>
      <x:c r="B331" s="12" t="str">
        <x:f>IF(Leads!F331="","",Leads!F331)</x:f>
      </x:c>
      <x:c r="C331" s="12" t="str">
        <x:f>IF(Leads!G331="","",Leads!G331)</x:f>
      </x:c>
      <x:c r="D331" s="12" t="str">
        <x:f>IF(Leads!O331="","",Leads!O331)</x:f>
      </x:c>
      <x:c r="E331" s="12" t="str">
        <x:f>IF(Leads!AV331="","",Leads!AV331)</x:f>
      </x:c>
      <x:c r="F331" s="12" t="str">
        <x:f>IF(Leads!AX331="","",Leads!AX331)</x:f>
      </x:c>
      <x:c r="G331" s="12" t="str">
        <x:f>IF(Leads!BC331="","",Leads!BC331)</x:f>
      </x:c>
      <x:c r="H331" s="12" t="str">
        <x:f>IF(Leads!BE331="","",Leads!BE331)</x:f>
      </x:c>
      <x:c r="I331" s="12" t="str">
        <x:f>IF(Leads!BG331="","",Leads!BG331)</x:f>
      </x:c>
      <x:c r="J331" s="12" t="str">
        <x:f>IF(Leads!BH331="","",Leads!BH331)</x:f>
      </x:c>
      <x:c r="K331" s="12" t="str">
        <x:f>IF(A331="","","مرحبًا "&amp;C331&amp;CHAR(10)&amp;CHAR(10)&amp;"شكرًا لإتمام تقييم DBD الخاص بعيادة "&amp;B331&amp;"."&amp;CHAR(10)&amp;"نتيجتكم الحالية: "&amp;E331&amp;"%."&amp;CHAR(10)&amp;"أولوية التحسين الأولى: "&amp;F331&amp;"."&amp;IF(J331&lt;&gt;"",CHAR(10)&amp;CHAR(10)&amp;"رابط التقرير: "&amp;J331,"")&amp;CHAR(10)&amp;CHAR(10)&amp;"إذا أحببت، يمكننا مساعدتك في فهم التقرير وتحديد أفضل خطوة تالية لعيادتكم.")</x:f>
      </x:c>
      <x:c r="L331" s="12" t="str">
        <x:f>IF(D331="","",HYPERLINK("https://wa.me/"&amp;REGEXREPLACE(D331,"[^\d]","")&amp;"?text="&amp;ENCODEURL(K331),"واتساب 1"))</x:f>
      </x:c>
      <x:c r="M331" s="12" t="str">
        <x:f>IF(A331="","","مرحبًا "&amp;C331&amp;CHAR(10)&amp;CHAR(10)&amp;"بناءً على نتيجة تقييم عيادة "&amp;B331&amp;"، فإن الترشيح الأقوى لكم الآن هو: "&amp;G331&amp;"."&amp;CHAR(10)&amp;"هذا الخيار يساعدكم في معالجة أكبر فجوة حالية بشكل عملي ومباشر."&amp;IF(J331&lt;&gt;"",CHAR(10)&amp;CHAR(10)&amp;"رابط التقرير: "&amp;J331,"")&amp;CHAR(10)&amp;CHAR(10)&amp;"إذا رغبت، يمكننا توضيح لماذا هذا الكورس هو الأنسب لكم الآن.")</x:f>
      </x:c>
      <x:c r="N331" s="12" t="str">
        <x:f>IF(D331="","",HYPERLINK("https://wa.me/"&amp;REGEXREPLACE(D331,"[^\d]","")&amp;"?text="&amp;ENCODEURL(M331),"واتساب 2"))</x:f>
      </x:c>
      <x:c r="O331" s="12" t="str">
        <x:f>IF(A331="","","مرحبًا "&amp;C331&amp;CHAR(10)&amp;CHAR(10)&amp;"إذا كانت التحديات لديكم تحتاج حلًا أشمل، فالبرنامج الكامل المناسب لكم هو: "&amp;H331&amp;"."&amp;IF(I331&lt;&gt;"",CHAR(10)&amp;"كما يمكنكم أيضًا حجز: "&amp;I331&amp;".","")&amp;IF(J331&lt;&gt;"",CHAR(10)&amp;CHAR(10)&amp;"رابط التقرير: "&amp;J331,"")&amp;CHAR(10)&amp;CHAR(10)&amp;"يسعدنا مساعدتكم في اختيار المسار الأنسب حسب وضع العيادة الحالي.")</x:f>
      </x:c>
      <x:c r="P331" s="12" t="str">
        <x:f>IF(D331="","",HYPERLINK("https://wa.me/"&amp;REGEXREPLACE(D331,"[^\d]","")&amp;"?text="&amp;ENCODEURL(O331),"واتساب 3"))</x:f>
      </x:c>
    </x:row>
    <x:row r="332" ht="15" hidden="0" customHeight="1">
      <x:c r="A332" s="12" t="str">
        <x:f>IF(Leads!A332="","",Leads!A332)</x:f>
      </x:c>
      <x:c r="B332" s="12" t="str">
        <x:f>IF(Leads!F332="","",Leads!F332)</x:f>
      </x:c>
      <x:c r="C332" s="12" t="str">
        <x:f>IF(Leads!G332="","",Leads!G332)</x:f>
      </x:c>
      <x:c r="D332" s="12" t="str">
        <x:f>IF(Leads!O332="","",Leads!O332)</x:f>
      </x:c>
      <x:c r="E332" s="12" t="str">
        <x:f>IF(Leads!AV332="","",Leads!AV332)</x:f>
      </x:c>
      <x:c r="F332" s="12" t="str">
        <x:f>IF(Leads!AX332="","",Leads!AX332)</x:f>
      </x:c>
      <x:c r="G332" s="12" t="str">
        <x:f>IF(Leads!BC332="","",Leads!BC332)</x:f>
      </x:c>
      <x:c r="H332" s="12" t="str">
        <x:f>IF(Leads!BE332="","",Leads!BE332)</x:f>
      </x:c>
      <x:c r="I332" s="12" t="str">
        <x:f>IF(Leads!BG332="","",Leads!BG332)</x:f>
      </x:c>
      <x:c r="J332" s="12" t="str">
        <x:f>IF(Leads!BH332="","",Leads!BH332)</x:f>
      </x:c>
      <x:c r="K332" s="12" t="str">
        <x:f>IF(A332="","","مرحبًا "&amp;C332&amp;CHAR(10)&amp;CHAR(10)&amp;"شكرًا لإتمام تقييم DBD الخاص بعيادة "&amp;B332&amp;"."&amp;CHAR(10)&amp;"نتيجتكم الحالية: "&amp;E332&amp;"%."&amp;CHAR(10)&amp;"أولوية التحسين الأولى: "&amp;F332&amp;"."&amp;IF(J332&lt;&gt;"",CHAR(10)&amp;CHAR(10)&amp;"رابط التقرير: "&amp;J332,"")&amp;CHAR(10)&amp;CHAR(10)&amp;"إذا أحببت، يمكننا مساعدتك في فهم التقرير وتحديد أفضل خطوة تالية لعيادتكم.")</x:f>
      </x:c>
      <x:c r="L332" s="12" t="str">
        <x:f>IF(D332="","",HYPERLINK("https://wa.me/"&amp;REGEXREPLACE(D332,"[^\d]","")&amp;"?text="&amp;ENCODEURL(K332),"واتساب 1"))</x:f>
      </x:c>
      <x:c r="M332" s="12" t="str">
        <x:f>IF(A332="","","مرحبًا "&amp;C332&amp;CHAR(10)&amp;CHAR(10)&amp;"بناءً على نتيجة تقييم عيادة "&amp;B332&amp;"، فإن الترشيح الأقوى لكم الآن هو: "&amp;G332&amp;"."&amp;CHAR(10)&amp;"هذا الخيار يساعدكم في معالجة أكبر فجوة حالية بشكل عملي ومباشر."&amp;IF(J332&lt;&gt;"",CHAR(10)&amp;CHAR(10)&amp;"رابط التقرير: "&amp;J332,"")&amp;CHAR(10)&amp;CHAR(10)&amp;"إذا رغبت، يمكننا توضيح لماذا هذا الكورس هو الأنسب لكم الآن.")</x:f>
      </x:c>
      <x:c r="N332" s="12" t="str">
        <x:f>IF(D332="","",HYPERLINK("https://wa.me/"&amp;REGEXREPLACE(D332,"[^\d]","")&amp;"?text="&amp;ENCODEURL(M332),"واتساب 2"))</x:f>
      </x:c>
      <x:c r="O332" s="12" t="str">
        <x:f>IF(A332="","","مرحبًا "&amp;C332&amp;CHAR(10)&amp;CHAR(10)&amp;"إذا كانت التحديات لديكم تحتاج حلًا أشمل، فالبرنامج الكامل المناسب لكم هو: "&amp;H332&amp;"."&amp;IF(I332&lt;&gt;"",CHAR(10)&amp;"كما يمكنكم أيضًا حجز: "&amp;I332&amp;".","")&amp;IF(J332&lt;&gt;"",CHAR(10)&amp;CHAR(10)&amp;"رابط التقرير: "&amp;J332,"")&amp;CHAR(10)&amp;CHAR(10)&amp;"يسعدنا مساعدتكم في اختيار المسار الأنسب حسب وضع العيادة الحالي.")</x:f>
      </x:c>
      <x:c r="P332" s="12" t="str">
        <x:f>IF(D332="","",HYPERLINK("https://wa.me/"&amp;REGEXREPLACE(D332,"[^\d]","")&amp;"?text="&amp;ENCODEURL(O332),"واتساب 3"))</x:f>
      </x:c>
    </x:row>
    <x:row r="333" ht="15" hidden="0" customHeight="1">
      <x:c r="A333" s="12" t="str">
        <x:f>IF(Leads!A333="","",Leads!A333)</x:f>
      </x:c>
      <x:c r="B333" s="12" t="str">
        <x:f>IF(Leads!F333="","",Leads!F333)</x:f>
      </x:c>
      <x:c r="C333" s="12" t="str">
        <x:f>IF(Leads!G333="","",Leads!G333)</x:f>
      </x:c>
      <x:c r="D333" s="12" t="str">
        <x:f>IF(Leads!O333="","",Leads!O333)</x:f>
      </x:c>
      <x:c r="E333" s="12" t="str">
        <x:f>IF(Leads!AV333="","",Leads!AV333)</x:f>
      </x:c>
      <x:c r="F333" s="12" t="str">
        <x:f>IF(Leads!AX333="","",Leads!AX333)</x:f>
      </x:c>
      <x:c r="G333" s="12" t="str">
        <x:f>IF(Leads!BC333="","",Leads!BC333)</x:f>
      </x:c>
      <x:c r="H333" s="12" t="str">
        <x:f>IF(Leads!BE333="","",Leads!BE333)</x:f>
      </x:c>
      <x:c r="I333" s="12" t="str">
        <x:f>IF(Leads!BG333="","",Leads!BG333)</x:f>
      </x:c>
      <x:c r="J333" s="12" t="str">
        <x:f>IF(Leads!BH333="","",Leads!BH333)</x:f>
      </x:c>
      <x:c r="K333" s="12" t="str">
        <x:f>IF(A333="","","مرحبًا "&amp;C333&amp;CHAR(10)&amp;CHAR(10)&amp;"شكرًا لإتمام تقييم DBD الخاص بعيادة "&amp;B333&amp;"."&amp;CHAR(10)&amp;"نتيجتكم الحالية: "&amp;E333&amp;"%."&amp;CHAR(10)&amp;"أولوية التحسين الأولى: "&amp;F333&amp;"."&amp;IF(J333&lt;&gt;"",CHAR(10)&amp;CHAR(10)&amp;"رابط التقرير: "&amp;J333,"")&amp;CHAR(10)&amp;CHAR(10)&amp;"إذا أحببت، يمكننا مساعدتك في فهم التقرير وتحديد أفضل خطوة تالية لعيادتكم.")</x:f>
      </x:c>
      <x:c r="L333" s="12" t="str">
        <x:f>IF(D333="","",HYPERLINK("https://wa.me/"&amp;REGEXREPLACE(D333,"[^\d]","")&amp;"?text="&amp;ENCODEURL(K333),"واتساب 1"))</x:f>
      </x:c>
      <x:c r="M333" s="12" t="str">
        <x:f>IF(A333="","","مرحبًا "&amp;C333&amp;CHAR(10)&amp;CHAR(10)&amp;"بناءً على نتيجة تقييم عيادة "&amp;B333&amp;"، فإن الترشيح الأقوى لكم الآن هو: "&amp;G333&amp;"."&amp;CHAR(10)&amp;"هذا الخيار يساعدكم في معالجة أكبر فجوة حالية بشكل عملي ومباشر."&amp;IF(J333&lt;&gt;"",CHAR(10)&amp;CHAR(10)&amp;"رابط التقرير: "&amp;J333,"")&amp;CHAR(10)&amp;CHAR(10)&amp;"إذا رغبت، يمكننا توضيح لماذا هذا الكورس هو الأنسب لكم الآن.")</x:f>
      </x:c>
      <x:c r="N333" s="12" t="str">
        <x:f>IF(D333="","",HYPERLINK("https://wa.me/"&amp;REGEXREPLACE(D333,"[^\d]","")&amp;"?text="&amp;ENCODEURL(M333),"واتساب 2"))</x:f>
      </x:c>
      <x:c r="O333" s="12" t="str">
        <x:f>IF(A333="","","مرحبًا "&amp;C333&amp;CHAR(10)&amp;CHAR(10)&amp;"إذا كانت التحديات لديكم تحتاج حلًا أشمل، فالبرنامج الكامل المناسب لكم هو: "&amp;H333&amp;"."&amp;IF(I333&lt;&gt;"",CHAR(10)&amp;"كما يمكنكم أيضًا حجز: "&amp;I333&amp;".","")&amp;IF(J333&lt;&gt;"",CHAR(10)&amp;CHAR(10)&amp;"رابط التقرير: "&amp;J333,"")&amp;CHAR(10)&amp;CHAR(10)&amp;"يسعدنا مساعدتكم في اختيار المسار الأنسب حسب وضع العيادة الحالي.")</x:f>
      </x:c>
      <x:c r="P333" s="12" t="str">
        <x:f>IF(D333="","",HYPERLINK("https://wa.me/"&amp;REGEXREPLACE(D333,"[^\d]","")&amp;"?text="&amp;ENCODEURL(O333),"واتساب 3"))</x:f>
      </x:c>
    </x:row>
    <x:row r="334" ht="15" hidden="0" customHeight="1">
      <x:c r="A334" s="12" t="str">
        <x:f>IF(Leads!A334="","",Leads!A334)</x:f>
      </x:c>
      <x:c r="B334" s="12" t="str">
        <x:f>IF(Leads!F334="","",Leads!F334)</x:f>
      </x:c>
      <x:c r="C334" s="12" t="str">
        <x:f>IF(Leads!G334="","",Leads!G334)</x:f>
      </x:c>
      <x:c r="D334" s="12" t="str">
        <x:f>IF(Leads!O334="","",Leads!O334)</x:f>
      </x:c>
      <x:c r="E334" s="12" t="str">
        <x:f>IF(Leads!AV334="","",Leads!AV334)</x:f>
      </x:c>
      <x:c r="F334" s="12" t="str">
        <x:f>IF(Leads!AX334="","",Leads!AX334)</x:f>
      </x:c>
      <x:c r="G334" s="12" t="str">
        <x:f>IF(Leads!BC334="","",Leads!BC334)</x:f>
      </x:c>
      <x:c r="H334" s="12" t="str">
        <x:f>IF(Leads!BE334="","",Leads!BE334)</x:f>
      </x:c>
      <x:c r="I334" s="12" t="str">
        <x:f>IF(Leads!BG334="","",Leads!BG334)</x:f>
      </x:c>
      <x:c r="J334" s="12" t="str">
        <x:f>IF(Leads!BH334="","",Leads!BH334)</x:f>
      </x:c>
      <x:c r="K334" s="12" t="str">
        <x:f>IF(A334="","","مرحبًا "&amp;C334&amp;CHAR(10)&amp;CHAR(10)&amp;"شكرًا لإتمام تقييم DBD الخاص بعيادة "&amp;B334&amp;"."&amp;CHAR(10)&amp;"نتيجتكم الحالية: "&amp;E334&amp;"%."&amp;CHAR(10)&amp;"أولوية التحسين الأولى: "&amp;F334&amp;"."&amp;IF(J334&lt;&gt;"",CHAR(10)&amp;CHAR(10)&amp;"رابط التقرير: "&amp;J334,"")&amp;CHAR(10)&amp;CHAR(10)&amp;"إذا أحببت، يمكننا مساعدتك في فهم التقرير وتحديد أفضل خطوة تالية لعيادتكم.")</x:f>
      </x:c>
      <x:c r="L334" s="12" t="str">
        <x:f>IF(D334="","",HYPERLINK("https://wa.me/"&amp;REGEXREPLACE(D334,"[^\d]","")&amp;"?text="&amp;ENCODEURL(K334),"واتساب 1"))</x:f>
      </x:c>
      <x:c r="M334" s="12" t="str">
        <x:f>IF(A334="","","مرحبًا "&amp;C334&amp;CHAR(10)&amp;CHAR(10)&amp;"بناءً على نتيجة تقييم عيادة "&amp;B334&amp;"، فإن الترشيح الأقوى لكم الآن هو: "&amp;G334&amp;"."&amp;CHAR(10)&amp;"هذا الخيار يساعدكم في معالجة أكبر فجوة حالية بشكل عملي ومباشر."&amp;IF(J334&lt;&gt;"",CHAR(10)&amp;CHAR(10)&amp;"رابط التقرير: "&amp;J334,"")&amp;CHAR(10)&amp;CHAR(10)&amp;"إذا رغبت، يمكننا توضيح لماذا هذا الكورس هو الأنسب لكم الآن.")</x:f>
      </x:c>
      <x:c r="N334" s="12" t="str">
        <x:f>IF(D334="","",HYPERLINK("https://wa.me/"&amp;REGEXREPLACE(D334,"[^\d]","")&amp;"?text="&amp;ENCODEURL(M334),"واتساب 2"))</x:f>
      </x:c>
      <x:c r="O334" s="12" t="str">
        <x:f>IF(A334="","","مرحبًا "&amp;C334&amp;CHAR(10)&amp;CHAR(10)&amp;"إذا كانت التحديات لديكم تحتاج حلًا أشمل، فالبرنامج الكامل المناسب لكم هو: "&amp;H334&amp;"."&amp;IF(I334&lt;&gt;"",CHAR(10)&amp;"كما يمكنكم أيضًا حجز: "&amp;I334&amp;".","")&amp;IF(J334&lt;&gt;"",CHAR(10)&amp;CHAR(10)&amp;"رابط التقرير: "&amp;J334,"")&amp;CHAR(10)&amp;CHAR(10)&amp;"يسعدنا مساعدتكم في اختيار المسار الأنسب حسب وضع العيادة الحالي.")</x:f>
      </x:c>
      <x:c r="P334" s="12" t="str">
        <x:f>IF(D334="","",HYPERLINK("https://wa.me/"&amp;REGEXREPLACE(D334,"[^\d]","")&amp;"?text="&amp;ENCODEURL(O334),"واتساب 3"))</x:f>
      </x:c>
    </x:row>
    <x:row r="335" ht="15" hidden="0" customHeight="1">
      <x:c r="A335" s="12" t="str">
        <x:f>IF(Leads!A335="","",Leads!A335)</x:f>
      </x:c>
      <x:c r="B335" s="12" t="str">
        <x:f>IF(Leads!F335="","",Leads!F335)</x:f>
      </x:c>
      <x:c r="C335" s="12" t="str">
        <x:f>IF(Leads!G335="","",Leads!G335)</x:f>
      </x:c>
      <x:c r="D335" s="12" t="str">
        <x:f>IF(Leads!O335="","",Leads!O335)</x:f>
      </x:c>
      <x:c r="E335" s="12" t="str">
        <x:f>IF(Leads!AV335="","",Leads!AV335)</x:f>
      </x:c>
      <x:c r="F335" s="12" t="str">
        <x:f>IF(Leads!AX335="","",Leads!AX335)</x:f>
      </x:c>
      <x:c r="G335" s="12" t="str">
        <x:f>IF(Leads!BC335="","",Leads!BC335)</x:f>
      </x:c>
      <x:c r="H335" s="12" t="str">
        <x:f>IF(Leads!BE335="","",Leads!BE335)</x:f>
      </x:c>
      <x:c r="I335" s="12" t="str">
        <x:f>IF(Leads!BG335="","",Leads!BG335)</x:f>
      </x:c>
      <x:c r="J335" s="12" t="str">
        <x:f>IF(Leads!BH335="","",Leads!BH335)</x:f>
      </x:c>
      <x:c r="K335" s="12" t="str">
        <x:f>IF(A335="","","مرحبًا "&amp;C335&amp;CHAR(10)&amp;CHAR(10)&amp;"شكرًا لإتمام تقييم DBD الخاص بعيادة "&amp;B335&amp;"."&amp;CHAR(10)&amp;"نتيجتكم الحالية: "&amp;E335&amp;"%."&amp;CHAR(10)&amp;"أولوية التحسين الأولى: "&amp;F335&amp;"."&amp;IF(J335&lt;&gt;"",CHAR(10)&amp;CHAR(10)&amp;"رابط التقرير: "&amp;J335,"")&amp;CHAR(10)&amp;CHAR(10)&amp;"إذا أحببت، يمكننا مساعدتك في فهم التقرير وتحديد أفضل خطوة تالية لعيادتكم.")</x:f>
      </x:c>
      <x:c r="L335" s="12" t="str">
        <x:f>IF(D335="","",HYPERLINK("https://wa.me/"&amp;REGEXREPLACE(D335,"[^\d]","")&amp;"?text="&amp;ENCODEURL(K335),"واتساب 1"))</x:f>
      </x:c>
      <x:c r="M335" s="12" t="str">
        <x:f>IF(A335="","","مرحبًا "&amp;C335&amp;CHAR(10)&amp;CHAR(10)&amp;"بناءً على نتيجة تقييم عيادة "&amp;B335&amp;"، فإن الترشيح الأقوى لكم الآن هو: "&amp;G335&amp;"."&amp;CHAR(10)&amp;"هذا الخيار يساعدكم في معالجة أكبر فجوة حالية بشكل عملي ومباشر."&amp;IF(J335&lt;&gt;"",CHAR(10)&amp;CHAR(10)&amp;"رابط التقرير: "&amp;J335,"")&amp;CHAR(10)&amp;CHAR(10)&amp;"إذا رغبت، يمكننا توضيح لماذا هذا الكورس هو الأنسب لكم الآن.")</x:f>
      </x:c>
      <x:c r="N335" s="12" t="str">
        <x:f>IF(D335="","",HYPERLINK("https://wa.me/"&amp;REGEXREPLACE(D335,"[^\d]","")&amp;"?text="&amp;ENCODEURL(M335),"واتساب 2"))</x:f>
      </x:c>
      <x:c r="O335" s="12" t="str">
        <x:f>IF(A335="","","مرحبًا "&amp;C335&amp;CHAR(10)&amp;CHAR(10)&amp;"إذا كانت التحديات لديكم تحتاج حلًا أشمل، فالبرنامج الكامل المناسب لكم هو: "&amp;H335&amp;"."&amp;IF(I335&lt;&gt;"",CHAR(10)&amp;"كما يمكنكم أيضًا حجز: "&amp;I335&amp;".","")&amp;IF(J335&lt;&gt;"",CHAR(10)&amp;CHAR(10)&amp;"رابط التقرير: "&amp;J335,"")&amp;CHAR(10)&amp;CHAR(10)&amp;"يسعدنا مساعدتكم في اختيار المسار الأنسب حسب وضع العيادة الحالي.")</x:f>
      </x:c>
      <x:c r="P335" s="12" t="str">
        <x:f>IF(D335="","",HYPERLINK("https://wa.me/"&amp;REGEXREPLACE(D335,"[^\d]","")&amp;"?text="&amp;ENCODEURL(O335),"واتساب 3"))</x:f>
      </x:c>
    </x:row>
    <x:row r="336" ht="15" hidden="0" customHeight="1">
      <x:c r="A336" s="12" t="str">
        <x:f>IF(Leads!A336="","",Leads!A336)</x:f>
      </x:c>
      <x:c r="B336" s="12" t="str">
        <x:f>IF(Leads!F336="","",Leads!F336)</x:f>
      </x:c>
      <x:c r="C336" s="12" t="str">
        <x:f>IF(Leads!G336="","",Leads!G336)</x:f>
      </x:c>
      <x:c r="D336" s="12" t="str">
        <x:f>IF(Leads!O336="","",Leads!O336)</x:f>
      </x:c>
      <x:c r="E336" s="12" t="str">
        <x:f>IF(Leads!AV336="","",Leads!AV336)</x:f>
      </x:c>
      <x:c r="F336" s="12" t="str">
        <x:f>IF(Leads!AX336="","",Leads!AX336)</x:f>
      </x:c>
      <x:c r="G336" s="12" t="str">
        <x:f>IF(Leads!BC336="","",Leads!BC336)</x:f>
      </x:c>
      <x:c r="H336" s="12" t="str">
        <x:f>IF(Leads!BE336="","",Leads!BE336)</x:f>
      </x:c>
      <x:c r="I336" s="12" t="str">
        <x:f>IF(Leads!BG336="","",Leads!BG336)</x:f>
      </x:c>
      <x:c r="J336" s="12" t="str">
        <x:f>IF(Leads!BH336="","",Leads!BH336)</x:f>
      </x:c>
      <x:c r="K336" s="12" t="str">
        <x:f>IF(A336="","","مرحبًا "&amp;C336&amp;CHAR(10)&amp;CHAR(10)&amp;"شكرًا لإتمام تقييم DBD الخاص بعيادة "&amp;B336&amp;"."&amp;CHAR(10)&amp;"نتيجتكم الحالية: "&amp;E336&amp;"%."&amp;CHAR(10)&amp;"أولوية التحسين الأولى: "&amp;F336&amp;"."&amp;IF(J336&lt;&gt;"",CHAR(10)&amp;CHAR(10)&amp;"رابط التقرير: "&amp;J336,"")&amp;CHAR(10)&amp;CHAR(10)&amp;"إذا أحببت، يمكننا مساعدتك في فهم التقرير وتحديد أفضل خطوة تالية لعيادتكم.")</x:f>
      </x:c>
      <x:c r="L336" s="12" t="str">
        <x:f>IF(D336="","",HYPERLINK("https://wa.me/"&amp;REGEXREPLACE(D336,"[^\d]","")&amp;"?text="&amp;ENCODEURL(K336),"واتساب 1"))</x:f>
      </x:c>
      <x:c r="M336" s="12" t="str">
        <x:f>IF(A336="","","مرحبًا "&amp;C336&amp;CHAR(10)&amp;CHAR(10)&amp;"بناءً على نتيجة تقييم عيادة "&amp;B336&amp;"، فإن الترشيح الأقوى لكم الآن هو: "&amp;G336&amp;"."&amp;CHAR(10)&amp;"هذا الخيار يساعدكم في معالجة أكبر فجوة حالية بشكل عملي ومباشر."&amp;IF(J336&lt;&gt;"",CHAR(10)&amp;CHAR(10)&amp;"رابط التقرير: "&amp;J336,"")&amp;CHAR(10)&amp;CHAR(10)&amp;"إذا رغبت، يمكننا توضيح لماذا هذا الكورس هو الأنسب لكم الآن.")</x:f>
      </x:c>
      <x:c r="N336" s="12" t="str">
        <x:f>IF(D336="","",HYPERLINK("https://wa.me/"&amp;REGEXREPLACE(D336,"[^\d]","")&amp;"?text="&amp;ENCODEURL(M336),"واتساب 2"))</x:f>
      </x:c>
      <x:c r="O336" s="12" t="str">
        <x:f>IF(A336="","","مرحبًا "&amp;C336&amp;CHAR(10)&amp;CHAR(10)&amp;"إذا كانت التحديات لديكم تحتاج حلًا أشمل، فالبرنامج الكامل المناسب لكم هو: "&amp;H336&amp;"."&amp;IF(I336&lt;&gt;"",CHAR(10)&amp;"كما يمكنكم أيضًا حجز: "&amp;I336&amp;".","")&amp;IF(J336&lt;&gt;"",CHAR(10)&amp;CHAR(10)&amp;"رابط التقرير: "&amp;J336,"")&amp;CHAR(10)&amp;CHAR(10)&amp;"يسعدنا مساعدتكم في اختيار المسار الأنسب حسب وضع العيادة الحالي.")</x:f>
      </x:c>
      <x:c r="P336" s="12" t="str">
        <x:f>IF(D336="","",HYPERLINK("https://wa.me/"&amp;REGEXREPLACE(D336,"[^\d]","")&amp;"?text="&amp;ENCODEURL(O336),"واتساب 3"))</x:f>
      </x:c>
    </x:row>
    <x:row r="337" ht="15" hidden="0" customHeight="1">
      <x:c r="A337" s="12" t="str">
        <x:f>IF(Leads!A337="","",Leads!A337)</x:f>
      </x:c>
      <x:c r="B337" s="12" t="str">
        <x:f>IF(Leads!F337="","",Leads!F337)</x:f>
      </x:c>
      <x:c r="C337" s="12" t="str">
        <x:f>IF(Leads!G337="","",Leads!G337)</x:f>
      </x:c>
      <x:c r="D337" s="12" t="str">
        <x:f>IF(Leads!O337="","",Leads!O337)</x:f>
      </x:c>
      <x:c r="E337" s="12" t="str">
        <x:f>IF(Leads!AV337="","",Leads!AV337)</x:f>
      </x:c>
      <x:c r="F337" s="12" t="str">
        <x:f>IF(Leads!AX337="","",Leads!AX337)</x:f>
      </x:c>
      <x:c r="G337" s="12" t="str">
        <x:f>IF(Leads!BC337="","",Leads!BC337)</x:f>
      </x:c>
      <x:c r="H337" s="12" t="str">
        <x:f>IF(Leads!BE337="","",Leads!BE337)</x:f>
      </x:c>
      <x:c r="I337" s="12" t="str">
        <x:f>IF(Leads!BG337="","",Leads!BG337)</x:f>
      </x:c>
      <x:c r="J337" s="12" t="str">
        <x:f>IF(Leads!BH337="","",Leads!BH337)</x:f>
      </x:c>
      <x:c r="K337" s="12" t="str">
        <x:f>IF(A337="","","مرحبًا "&amp;C337&amp;CHAR(10)&amp;CHAR(10)&amp;"شكرًا لإتمام تقييم DBD الخاص بعيادة "&amp;B337&amp;"."&amp;CHAR(10)&amp;"نتيجتكم الحالية: "&amp;E337&amp;"%."&amp;CHAR(10)&amp;"أولوية التحسين الأولى: "&amp;F337&amp;"."&amp;IF(J337&lt;&gt;"",CHAR(10)&amp;CHAR(10)&amp;"رابط التقرير: "&amp;J337,"")&amp;CHAR(10)&amp;CHAR(10)&amp;"إذا أحببت، يمكننا مساعدتك في فهم التقرير وتحديد أفضل خطوة تالية لعيادتكم.")</x:f>
      </x:c>
      <x:c r="L337" s="12" t="str">
        <x:f>IF(D337="","",HYPERLINK("https://wa.me/"&amp;REGEXREPLACE(D337,"[^\d]","")&amp;"?text="&amp;ENCODEURL(K337),"واتساب 1"))</x:f>
      </x:c>
      <x:c r="M337" s="12" t="str">
        <x:f>IF(A337="","","مرحبًا "&amp;C337&amp;CHAR(10)&amp;CHAR(10)&amp;"بناءً على نتيجة تقييم عيادة "&amp;B337&amp;"، فإن الترشيح الأقوى لكم الآن هو: "&amp;G337&amp;"."&amp;CHAR(10)&amp;"هذا الخيار يساعدكم في معالجة أكبر فجوة حالية بشكل عملي ومباشر."&amp;IF(J337&lt;&gt;"",CHAR(10)&amp;CHAR(10)&amp;"رابط التقرير: "&amp;J337,"")&amp;CHAR(10)&amp;CHAR(10)&amp;"إذا رغبت، يمكننا توضيح لماذا هذا الكورس هو الأنسب لكم الآن.")</x:f>
      </x:c>
      <x:c r="N337" s="12" t="str">
        <x:f>IF(D337="","",HYPERLINK("https://wa.me/"&amp;REGEXREPLACE(D337,"[^\d]","")&amp;"?text="&amp;ENCODEURL(M337),"واتساب 2"))</x:f>
      </x:c>
      <x:c r="O337" s="12" t="str">
        <x:f>IF(A337="","","مرحبًا "&amp;C337&amp;CHAR(10)&amp;CHAR(10)&amp;"إذا كانت التحديات لديكم تحتاج حلًا أشمل، فالبرنامج الكامل المناسب لكم هو: "&amp;H337&amp;"."&amp;IF(I337&lt;&gt;"",CHAR(10)&amp;"كما يمكنكم أيضًا حجز: "&amp;I337&amp;".","")&amp;IF(J337&lt;&gt;"",CHAR(10)&amp;CHAR(10)&amp;"رابط التقرير: "&amp;J337,"")&amp;CHAR(10)&amp;CHAR(10)&amp;"يسعدنا مساعدتكم في اختيار المسار الأنسب حسب وضع العيادة الحالي.")</x:f>
      </x:c>
      <x:c r="P337" s="12" t="str">
        <x:f>IF(D337="","",HYPERLINK("https://wa.me/"&amp;REGEXREPLACE(D337,"[^\d]","")&amp;"?text="&amp;ENCODEURL(O337),"واتساب 3"))</x:f>
      </x:c>
    </x:row>
    <x:row r="338" ht="15" hidden="0" customHeight="1">
      <x:c r="A338" s="12" t="str">
        <x:f>IF(Leads!A338="","",Leads!A338)</x:f>
      </x:c>
      <x:c r="B338" s="12" t="str">
        <x:f>IF(Leads!F338="","",Leads!F338)</x:f>
      </x:c>
      <x:c r="C338" s="12" t="str">
        <x:f>IF(Leads!G338="","",Leads!G338)</x:f>
      </x:c>
      <x:c r="D338" s="12" t="str">
        <x:f>IF(Leads!O338="","",Leads!O338)</x:f>
      </x:c>
      <x:c r="E338" s="12" t="str">
        <x:f>IF(Leads!AV338="","",Leads!AV338)</x:f>
      </x:c>
      <x:c r="F338" s="12" t="str">
        <x:f>IF(Leads!AX338="","",Leads!AX338)</x:f>
      </x:c>
      <x:c r="G338" s="12" t="str">
        <x:f>IF(Leads!BC338="","",Leads!BC338)</x:f>
      </x:c>
      <x:c r="H338" s="12" t="str">
        <x:f>IF(Leads!BE338="","",Leads!BE338)</x:f>
      </x:c>
      <x:c r="I338" s="12" t="str">
        <x:f>IF(Leads!BG338="","",Leads!BG338)</x:f>
      </x:c>
      <x:c r="J338" s="12" t="str">
        <x:f>IF(Leads!BH338="","",Leads!BH338)</x:f>
      </x:c>
      <x:c r="K338" s="12" t="str">
        <x:f>IF(A338="","","مرحبًا "&amp;C338&amp;CHAR(10)&amp;CHAR(10)&amp;"شكرًا لإتمام تقييم DBD الخاص بعيادة "&amp;B338&amp;"."&amp;CHAR(10)&amp;"نتيجتكم الحالية: "&amp;E338&amp;"%."&amp;CHAR(10)&amp;"أولوية التحسين الأولى: "&amp;F338&amp;"."&amp;IF(J338&lt;&gt;"",CHAR(10)&amp;CHAR(10)&amp;"رابط التقرير: "&amp;J338,"")&amp;CHAR(10)&amp;CHAR(10)&amp;"إذا أحببت، يمكننا مساعدتك في فهم التقرير وتحديد أفضل خطوة تالية لعيادتكم.")</x:f>
      </x:c>
      <x:c r="L338" s="12" t="str">
        <x:f>IF(D338="","",HYPERLINK("https://wa.me/"&amp;REGEXREPLACE(D338,"[^\d]","")&amp;"?text="&amp;ENCODEURL(K338),"واتساب 1"))</x:f>
      </x:c>
      <x:c r="M338" s="12" t="str">
        <x:f>IF(A338="","","مرحبًا "&amp;C338&amp;CHAR(10)&amp;CHAR(10)&amp;"بناءً على نتيجة تقييم عيادة "&amp;B338&amp;"، فإن الترشيح الأقوى لكم الآن هو: "&amp;G338&amp;"."&amp;CHAR(10)&amp;"هذا الخيار يساعدكم في معالجة أكبر فجوة حالية بشكل عملي ومباشر."&amp;IF(J338&lt;&gt;"",CHAR(10)&amp;CHAR(10)&amp;"رابط التقرير: "&amp;J338,"")&amp;CHAR(10)&amp;CHAR(10)&amp;"إذا رغبت، يمكننا توضيح لماذا هذا الكورس هو الأنسب لكم الآن.")</x:f>
      </x:c>
      <x:c r="N338" s="12" t="str">
        <x:f>IF(D338="","",HYPERLINK("https://wa.me/"&amp;REGEXREPLACE(D338,"[^\d]","")&amp;"?text="&amp;ENCODEURL(M338),"واتساب 2"))</x:f>
      </x:c>
      <x:c r="O338" s="12" t="str">
        <x:f>IF(A338="","","مرحبًا "&amp;C338&amp;CHAR(10)&amp;CHAR(10)&amp;"إذا كانت التحديات لديكم تحتاج حلًا أشمل، فالبرنامج الكامل المناسب لكم هو: "&amp;H338&amp;"."&amp;IF(I338&lt;&gt;"",CHAR(10)&amp;"كما يمكنكم أيضًا حجز: "&amp;I338&amp;".","")&amp;IF(J338&lt;&gt;"",CHAR(10)&amp;CHAR(10)&amp;"رابط التقرير: "&amp;J338,"")&amp;CHAR(10)&amp;CHAR(10)&amp;"يسعدنا مساعدتكم في اختيار المسار الأنسب حسب وضع العيادة الحالي.")</x:f>
      </x:c>
      <x:c r="P338" s="12" t="str">
        <x:f>IF(D338="","",HYPERLINK("https://wa.me/"&amp;REGEXREPLACE(D338,"[^\d]","")&amp;"?text="&amp;ENCODEURL(O338),"واتساب 3"))</x:f>
      </x:c>
    </x:row>
    <x:row r="339" ht="15" hidden="0" customHeight="1">
      <x:c r="A339" s="12" t="str">
        <x:f>IF(Leads!A339="","",Leads!A339)</x:f>
      </x:c>
      <x:c r="B339" s="12" t="str">
        <x:f>IF(Leads!F339="","",Leads!F339)</x:f>
      </x:c>
      <x:c r="C339" s="12" t="str">
        <x:f>IF(Leads!G339="","",Leads!G339)</x:f>
      </x:c>
      <x:c r="D339" s="12" t="str">
        <x:f>IF(Leads!O339="","",Leads!O339)</x:f>
      </x:c>
      <x:c r="E339" s="12" t="str">
        <x:f>IF(Leads!AV339="","",Leads!AV339)</x:f>
      </x:c>
      <x:c r="F339" s="12" t="str">
        <x:f>IF(Leads!AX339="","",Leads!AX339)</x:f>
      </x:c>
      <x:c r="G339" s="12" t="str">
        <x:f>IF(Leads!BC339="","",Leads!BC339)</x:f>
      </x:c>
      <x:c r="H339" s="12" t="str">
        <x:f>IF(Leads!BE339="","",Leads!BE339)</x:f>
      </x:c>
      <x:c r="I339" s="12" t="str">
        <x:f>IF(Leads!BG339="","",Leads!BG339)</x:f>
      </x:c>
      <x:c r="J339" s="12" t="str">
        <x:f>IF(Leads!BH339="","",Leads!BH339)</x:f>
      </x:c>
      <x:c r="K339" s="12" t="str">
        <x:f>IF(A339="","","مرحبًا "&amp;C339&amp;CHAR(10)&amp;CHAR(10)&amp;"شكرًا لإتمام تقييم DBD الخاص بعيادة "&amp;B339&amp;"."&amp;CHAR(10)&amp;"نتيجتكم الحالية: "&amp;E339&amp;"%."&amp;CHAR(10)&amp;"أولوية التحسين الأولى: "&amp;F339&amp;"."&amp;IF(J339&lt;&gt;"",CHAR(10)&amp;CHAR(10)&amp;"رابط التقرير: "&amp;J339,"")&amp;CHAR(10)&amp;CHAR(10)&amp;"إذا أحببت، يمكننا مساعدتك في فهم التقرير وتحديد أفضل خطوة تالية لعيادتكم.")</x:f>
      </x:c>
      <x:c r="L339" s="12" t="str">
        <x:f>IF(D339="","",HYPERLINK("https://wa.me/"&amp;REGEXREPLACE(D339,"[^\d]","")&amp;"?text="&amp;ENCODEURL(K339),"واتساب 1"))</x:f>
      </x:c>
      <x:c r="M339" s="12" t="str">
        <x:f>IF(A339="","","مرحبًا "&amp;C339&amp;CHAR(10)&amp;CHAR(10)&amp;"بناءً على نتيجة تقييم عيادة "&amp;B339&amp;"، فإن الترشيح الأقوى لكم الآن هو: "&amp;G339&amp;"."&amp;CHAR(10)&amp;"هذا الخيار يساعدكم في معالجة أكبر فجوة حالية بشكل عملي ومباشر."&amp;IF(J339&lt;&gt;"",CHAR(10)&amp;CHAR(10)&amp;"رابط التقرير: "&amp;J339,"")&amp;CHAR(10)&amp;CHAR(10)&amp;"إذا رغبت، يمكننا توضيح لماذا هذا الكورس هو الأنسب لكم الآن.")</x:f>
      </x:c>
      <x:c r="N339" s="12" t="str">
        <x:f>IF(D339="","",HYPERLINK("https://wa.me/"&amp;REGEXREPLACE(D339,"[^\d]","")&amp;"?text="&amp;ENCODEURL(M339),"واتساب 2"))</x:f>
      </x:c>
      <x:c r="O339" s="12" t="str">
        <x:f>IF(A339="","","مرحبًا "&amp;C339&amp;CHAR(10)&amp;CHAR(10)&amp;"إذا كانت التحديات لديكم تحتاج حلًا أشمل، فالبرنامج الكامل المناسب لكم هو: "&amp;H339&amp;"."&amp;IF(I339&lt;&gt;"",CHAR(10)&amp;"كما يمكنكم أيضًا حجز: "&amp;I339&amp;".","")&amp;IF(J339&lt;&gt;"",CHAR(10)&amp;CHAR(10)&amp;"رابط التقرير: "&amp;J339,"")&amp;CHAR(10)&amp;CHAR(10)&amp;"يسعدنا مساعدتكم في اختيار المسار الأنسب حسب وضع العيادة الحالي.")</x:f>
      </x:c>
      <x:c r="P339" s="12" t="str">
        <x:f>IF(D339="","",HYPERLINK("https://wa.me/"&amp;REGEXREPLACE(D339,"[^\d]","")&amp;"?text="&amp;ENCODEURL(O339),"واتساب 3"))</x:f>
      </x:c>
    </x:row>
    <x:row r="340" ht="15" hidden="0" customHeight="1">
      <x:c r="A340" s="12" t="str">
        <x:f>IF(Leads!A340="","",Leads!A340)</x:f>
      </x:c>
      <x:c r="B340" s="12" t="str">
        <x:f>IF(Leads!F340="","",Leads!F340)</x:f>
      </x:c>
      <x:c r="C340" s="12" t="str">
        <x:f>IF(Leads!G340="","",Leads!G340)</x:f>
      </x:c>
      <x:c r="D340" s="12" t="str">
        <x:f>IF(Leads!O340="","",Leads!O340)</x:f>
      </x:c>
      <x:c r="E340" s="12" t="str">
        <x:f>IF(Leads!AV340="","",Leads!AV340)</x:f>
      </x:c>
      <x:c r="F340" s="12" t="str">
        <x:f>IF(Leads!AX340="","",Leads!AX340)</x:f>
      </x:c>
      <x:c r="G340" s="12" t="str">
        <x:f>IF(Leads!BC340="","",Leads!BC340)</x:f>
      </x:c>
      <x:c r="H340" s="12" t="str">
        <x:f>IF(Leads!BE340="","",Leads!BE340)</x:f>
      </x:c>
      <x:c r="I340" s="12" t="str">
        <x:f>IF(Leads!BG340="","",Leads!BG340)</x:f>
      </x:c>
      <x:c r="J340" s="12" t="str">
        <x:f>IF(Leads!BH340="","",Leads!BH340)</x:f>
      </x:c>
      <x:c r="K340" s="12" t="str">
        <x:f>IF(A340="","","مرحبًا "&amp;C340&amp;CHAR(10)&amp;CHAR(10)&amp;"شكرًا لإتمام تقييم DBD الخاص بعيادة "&amp;B340&amp;"."&amp;CHAR(10)&amp;"نتيجتكم الحالية: "&amp;E340&amp;"%."&amp;CHAR(10)&amp;"أولوية التحسين الأولى: "&amp;F340&amp;"."&amp;IF(J340&lt;&gt;"",CHAR(10)&amp;CHAR(10)&amp;"رابط التقرير: "&amp;J340,"")&amp;CHAR(10)&amp;CHAR(10)&amp;"إذا أحببت، يمكننا مساعدتك في فهم التقرير وتحديد أفضل خطوة تالية لعيادتكم.")</x:f>
      </x:c>
      <x:c r="L340" s="12" t="str">
        <x:f>IF(D340="","",HYPERLINK("https://wa.me/"&amp;REGEXREPLACE(D340,"[^\d]","")&amp;"?text="&amp;ENCODEURL(K340),"واتساب 1"))</x:f>
      </x:c>
      <x:c r="M340" s="12" t="str">
        <x:f>IF(A340="","","مرحبًا "&amp;C340&amp;CHAR(10)&amp;CHAR(10)&amp;"بناءً على نتيجة تقييم عيادة "&amp;B340&amp;"، فإن الترشيح الأقوى لكم الآن هو: "&amp;G340&amp;"."&amp;CHAR(10)&amp;"هذا الخيار يساعدكم في معالجة أكبر فجوة حالية بشكل عملي ومباشر."&amp;IF(J340&lt;&gt;"",CHAR(10)&amp;CHAR(10)&amp;"رابط التقرير: "&amp;J340,"")&amp;CHAR(10)&amp;CHAR(10)&amp;"إذا رغبت، يمكننا توضيح لماذا هذا الكورس هو الأنسب لكم الآن.")</x:f>
      </x:c>
      <x:c r="N340" s="12" t="str">
        <x:f>IF(D340="","",HYPERLINK("https://wa.me/"&amp;REGEXREPLACE(D340,"[^\d]","")&amp;"?text="&amp;ENCODEURL(M340),"واتساب 2"))</x:f>
      </x:c>
      <x:c r="O340" s="12" t="str">
        <x:f>IF(A340="","","مرحبًا "&amp;C340&amp;CHAR(10)&amp;CHAR(10)&amp;"إذا كانت التحديات لديكم تحتاج حلًا أشمل، فالبرنامج الكامل المناسب لكم هو: "&amp;H340&amp;"."&amp;IF(I340&lt;&gt;"",CHAR(10)&amp;"كما يمكنكم أيضًا حجز: "&amp;I340&amp;".","")&amp;IF(J340&lt;&gt;"",CHAR(10)&amp;CHAR(10)&amp;"رابط التقرير: "&amp;J340,"")&amp;CHAR(10)&amp;CHAR(10)&amp;"يسعدنا مساعدتكم في اختيار المسار الأنسب حسب وضع العيادة الحالي.")</x:f>
      </x:c>
      <x:c r="P340" s="12" t="str">
        <x:f>IF(D340="","",HYPERLINK("https://wa.me/"&amp;REGEXREPLACE(D340,"[^\d]","")&amp;"?text="&amp;ENCODEURL(O340),"واتساب 3"))</x:f>
      </x:c>
    </x:row>
    <x:row r="341" ht="15" hidden="0" customHeight="1">
      <x:c r="A341" s="12" t="str">
        <x:f>IF(Leads!A341="","",Leads!A341)</x:f>
      </x:c>
      <x:c r="B341" s="12" t="str">
        <x:f>IF(Leads!F341="","",Leads!F341)</x:f>
      </x:c>
      <x:c r="C341" s="12" t="str">
        <x:f>IF(Leads!G341="","",Leads!G341)</x:f>
      </x:c>
      <x:c r="D341" s="12" t="str">
        <x:f>IF(Leads!O341="","",Leads!O341)</x:f>
      </x:c>
      <x:c r="E341" s="12" t="str">
        <x:f>IF(Leads!AV341="","",Leads!AV341)</x:f>
      </x:c>
      <x:c r="F341" s="12" t="str">
        <x:f>IF(Leads!AX341="","",Leads!AX341)</x:f>
      </x:c>
      <x:c r="G341" s="12" t="str">
        <x:f>IF(Leads!BC341="","",Leads!BC341)</x:f>
      </x:c>
      <x:c r="H341" s="12" t="str">
        <x:f>IF(Leads!BE341="","",Leads!BE341)</x:f>
      </x:c>
      <x:c r="I341" s="12" t="str">
        <x:f>IF(Leads!BG341="","",Leads!BG341)</x:f>
      </x:c>
      <x:c r="J341" s="12" t="str">
        <x:f>IF(Leads!BH341="","",Leads!BH341)</x:f>
      </x:c>
      <x:c r="K341" s="12" t="str">
        <x:f>IF(A341="","","مرحبًا "&amp;C341&amp;CHAR(10)&amp;CHAR(10)&amp;"شكرًا لإتمام تقييم DBD الخاص بعيادة "&amp;B341&amp;"."&amp;CHAR(10)&amp;"نتيجتكم الحالية: "&amp;E341&amp;"%."&amp;CHAR(10)&amp;"أولوية التحسين الأولى: "&amp;F341&amp;"."&amp;IF(J341&lt;&gt;"",CHAR(10)&amp;CHAR(10)&amp;"رابط التقرير: "&amp;J341,"")&amp;CHAR(10)&amp;CHAR(10)&amp;"إذا أحببت، يمكننا مساعدتك في فهم التقرير وتحديد أفضل خطوة تالية لعيادتكم.")</x:f>
      </x:c>
      <x:c r="L341" s="12" t="str">
        <x:f>IF(D341="","",HYPERLINK("https://wa.me/"&amp;REGEXREPLACE(D341,"[^\d]","")&amp;"?text="&amp;ENCODEURL(K341),"واتساب 1"))</x:f>
      </x:c>
      <x:c r="M341" s="12" t="str">
        <x:f>IF(A341="","","مرحبًا "&amp;C341&amp;CHAR(10)&amp;CHAR(10)&amp;"بناءً على نتيجة تقييم عيادة "&amp;B341&amp;"، فإن الترشيح الأقوى لكم الآن هو: "&amp;G341&amp;"."&amp;CHAR(10)&amp;"هذا الخيار يساعدكم في معالجة أكبر فجوة حالية بشكل عملي ومباشر."&amp;IF(J341&lt;&gt;"",CHAR(10)&amp;CHAR(10)&amp;"رابط التقرير: "&amp;J341,"")&amp;CHAR(10)&amp;CHAR(10)&amp;"إذا رغبت، يمكننا توضيح لماذا هذا الكورس هو الأنسب لكم الآن.")</x:f>
      </x:c>
      <x:c r="N341" s="12" t="str">
        <x:f>IF(D341="","",HYPERLINK("https://wa.me/"&amp;REGEXREPLACE(D341,"[^\d]","")&amp;"?text="&amp;ENCODEURL(M341),"واتساب 2"))</x:f>
      </x:c>
      <x:c r="O341" s="12" t="str">
        <x:f>IF(A341="","","مرحبًا "&amp;C341&amp;CHAR(10)&amp;CHAR(10)&amp;"إذا كانت التحديات لديكم تحتاج حلًا أشمل، فالبرنامج الكامل المناسب لكم هو: "&amp;H341&amp;"."&amp;IF(I341&lt;&gt;"",CHAR(10)&amp;"كما يمكنكم أيضًا حجز: "&amp;I341&amp;".","")&amp;IF(J341&lt;&gt;"",CHAR(10)&amp;CHAR(10)&amp;"رابط التقرير: "&amp;J341,"")&amp;CHAR(10)&amp;CHAR(10)&amp;"يسعدنا مساعدتكم في اختيار المسار الأنسب حسب وضع العيادة الحالي.")</x:f>
      </x:c>
      <x:c r="P341" s="12" t="str">
        <x:f>IF(D341="","",HYPERLINK("https://wa.me/"&amp;REGEXREPLACE(D341,"[^\d]","")&amp;"?text="&amp;ENCODEURL(O341),"واتساب 3"))</x:f>
      </x:c>
    </x:row>
    <x:row r="342" ht="15" hidden="0" customHeight="1">
      <x:c r="A342" s="12" t="str">
        <x:f>IF(Leads!A342="","",Leads!A342)</x:f>
      </x:c>
      <x:c r="B342" s="12" t="str">
        <x:f>IF(Leads!F342="","",Leads!F342)</x:f>
      </x:c>
      <x:c r="C342" s="12" t="str">
        <x:f>IF(Leads!G342="","",Leads!G342)</x:f>
      </x:c>
      <x:c r="D342" s="12" t="str">
        <x:f>IF(Leads!O342="","",Leads!O342)</x:f>
      </x:c>
      <x:c r="E342" s="12" t="str">
        <x:f>IF(Leads!AV342="","",Leads!AV342)</x:f>
      </x:c>
      <x:c r="F342" s="12" t="str">
        <x:f>IF(Leads!AX342="","",Leads!AX342)</x:f>
      </x:c>
      <x:c r="G342" s="12" t="str">
        <x:f>IF(Leads!BC342="","",Leads!BC342)</x:f>
      </x:c>
      <x:c r="H342" s="12" t="str">
        <x:f>IF(Leads!BE342="","",Leads!BE342)</x:f>
      </x:c>
      <x:c r="I342" s="12" t="str">
        <x:f>IF(Leads!BG342="","",Leads!BG342)</x:f>
      </x:c>
      <x:c r="J342" s="12" t="str">
        <x:f>IF(Leads!BH342="","",Leads!BH342)</x:f>
      </x:c>
      <x:c r="K342" s="12" t="str">
        <x:f>IF(A342="","","مرحبًا "&amp;C342&amp;CHAR(10)&amp;CHAR(10)&amp;"شكرًا لإتمام تقييم DBD الخاص بعيادة "&amp;B342&amp;"."&amp;CHAR(10)&amp;"نتيجتكم الحالية: "&amp;E342&amp;"%."&amp;CHAR(10)&amp;"أولوية التحسين الأولى: "&amp;F342&amp;"."&amp;IF(J342&lt;&gt;"",CHAR(10)&amp;CHAR(10)&amp;"رابط التقرير: "&amp;J342,"")&amp;CHAR(10)&amp;CHAR(10)&amp;"إذا أحببت، يمكننا مساعدتك في فهم التقرير وتحديد أفضل خطوة تالية لعيادتكم.")</x:f>
      </x:c>
      <x:c r="L342" s="12" t="str">
        <x:f>IF(D342="","",HYPERLINK("https://wa.me/"&amp;REGEXREPLACE(D342,"[^\d]","")&amp;"?text="&amp;ENCODEURL(K342),"واتساب 1"))</x:f>
      </x:c>
      <x:c r="M342" s="12" t="str">
        <x:f>IF(A342="","","مرحبًا "&amp;C342&amp;CHAR(10)&amp;CHAR(10)&amp;"بناءً على نتيجة تقييم عيادة "&amp;B342&amp;"، فإن الترشيح الأقوى لكم الآن هو: "&amp;G342&amp;"."&amp;CHAR(10)&amp;"هذا الخيار يساعدكم في معالجة أكبر فجوة حالية بشكل عملي ومباشر."&amp;IF(J342&lt;&gt;"",CHAR(10)&amp;CHAR(10)&amp;"رابط التقرير: "&amp;J342,"")&amp;CHAR(10)&amp;CHAR(10)&amp;"إذا رغبت، يمكننا توضيح لماذا هذا الكورس هو الأنسب لكم الآن.")</x:f>
      </x:c>
      <x:c r="N342" s="12" t="str">
        <x:f>IF(D342="","",HYPERLINK("https://wa.me/"&amp;REGEXREPLACE(D342,"[^\d]","")&amp;"?text="&amp;ENCODEURL(M342),"واتساب 2"))</x:f>
      </x:c>
      <x:c r="O342" s="12" t="str">
        <x:f>IF(A342="","","مرحبًا "&amp;C342&amp;CHAR(10)&amp;CHAR(10)&amp;"إذا كانت التحديات لديكم تحتاج حلًا أشمل، فالبرنامج الكامل المناسب لكم هو: "&amp;H342&amp;"."&amp;IF(I342&lt;&gt;"",CHAR(10)&amp;"كما يمكنكم أيضًا حجز: "&amp;I342&amp;".","")&amp;IF(J342&lt;&gt;"",CHAR(10)&amp;CHAR(10)&amp;"رابط التقرير: "&amp;J342,"")&amp;CHAR(10)&amp;CHAR(10)&amp;"يسعدنا مساعدتكم في اختيار المسار الأنسب حسب وضع العيادة الحالي.")</x:f>
      </x:c>
      <x:c r="P342" s="12" t="str">
        <x:f>IF(D342="","",HYPERLINK("https://wa.me/"&amp;REGEXREPLACE(D342,"[^\d]","")&amp;"?text="&amp;ENCODEURL(O342),"واتساب 3"))</x:f>
      </x:c>
    </x:row>
    <x:row r="343" ht="15" hidden="0" customHeight="1">
      <x:c r="A343" s="12" t="str">
        <x:f>IF(Leads!A343="","",Leads!A343)</x:f>
      </x:c>
      <x:c r="B343" s="12" t="str">
        <x:f>IF(Leads!F343="","",Leads!F343)</x:f>
      </x:c>
      <x:c r="C343" s="12" t="str">
        <x:f>IF(Leads!G343="","",Leads!G343)</x:f>
      </x:c>
      <x:c r="D343" s="12" t="str">
        <x:f>IF(Leads!O343="","",Leads!O343)</x:f>
      </x:c>
      <x:c r="E343" s="12" t="str">
        <x:f>IF(Leads!AV343="","",Leads!AV343)</x:f>
      </x:c>
      <x:c r="F343" s="12" t="str">
        <x:f>IF(Leads!AX343="","",Leads!AX343)</x:f>
      </x:c>
      <x:c r="G343" s="12" t="str">
        <x:f>IF(Leads!BC343="","",Leads!BC343)</x:f>
      </x:c>
      <x:c r="H343" s="12" t="str">
        <x:f>IF(Leads!BE343="","",Leads!BE343)</x:f>
      </x:c>
      <x:c r="I343" s="12" t="str">
        <x:f>IF(Leads!BG343="","",Leads!BG343)</x:f>
      </x:c>
      <x:c r="J343" s="12" t="str">
        <x:f>IF(Leads!BH343="","",Leads!BH343)</x:f>
      </x:c>
      <x:c r="K343" s="12" t="str">
        <x:f>IF(A343="","","مرحبًا "&amp;C343&amp;CHAR(10)&amp;CHAR(10)&amp;"شكرًا لإتمام تقييم DBD الخاص بعيادة "&amp;B343&amp;"."&amp;CHAR(10)&amp;"نتيجتكم الحالية: "&amp;E343&amp;"%."&amp;CHAR(10)&amp;"أولوية التحسين الأولى: "&amp;F343&amp;"."&amp;IF(J343&lt;&gt;"",CHAR(10)&amp;CHAR(10)&amp;"رابط التقرير: "&amp;J343,"")&amp;CHAR(10)&amp;CHAR(10)&amp;"إذا أحببت، يمكننا مساعدتك في فهم التقرير وتحديد أفضل خطوة تالية لعيادتكم.")</x:f>
      </x:c>
      <x:c r="L343" s="12" t="str">
        <x:f>IF(D343="","",HYPERLINK("https://wa.me/"&amp;REGEXREPLACE(D343,"[^\d]","")&amp;"?text="&amp;ENCODEURL(K343),"واتساب 1"))</x:f>
      </x:c>
      <x:c r="M343" s="12" t="str">
        <x:f>IF(A343="","","مرحبًا "&amp;C343&amp;CHAR(10)&amp;CHAR(10)&amp;"بناءً على نتيجة تقييم عيادة "&amp;B343&amp;"، فإن الترشيح الأقوى لكم الآن هو: "&amp;G343&amp;"."&amp;CHAR(10)&amp;"هذا الخيار يساعدكم في معالجة أكبر فجوة حالية بشكل عملي ومباشر."&amp;IF(J343&lt;&gt;"",CHAR(10)&amp;CHAR(10)&amp;"رابط التقرير: "&amp;J343,"")&amp;CHAR(10)&amp;CHAR(10)&amp;"إذا رغبت، يمكننا توضيح لماذا هذا الكورس هو الأنسب لكم الآن.")</x:f>
      </x:c>
      <x:c r="N343" s="12" t="str">
        <x:f>IF(D343="","",HYPERLINK("https://wa.me/"&amp;REGEXREPLACE(D343,"[^\d]","")&amp;"?text="&amp;ENCODEURL(M343),"واتساب 2"))</x:f>
      </x:c>
      <x:c r="O343" s="12" t="str">
        <x:f>IF(A343="","","مرحبًا "&amp;C343&amp;CHAR(10)&amp;CHAR(10)&amp;"إذا كانت التحديات لديكم تحتاج حلًا أشمل، فالبرنامج الكامل المناسب لكم هو: "&amp;H343&amp;"."&amp;IF(I343&lt;&gt;"",CHAR(10)&amp;"كما يمكنكم أيضًا حجز: "&amp;I343&amp;".","")&amp;IF(J343&lt;&gt;"",CHAR(10)&amp;CHAR(10)&amp;"رابط التقرير: "&amp;J343,"")&amp;CHAR(10)&amp;CHAR(10)&amp;"يسعدنا مساعدتكم في اختيار المسار الأنسب حسب وضع العيادة الحالي.")</x:f>
      </x:c>
      <x:c r="P343" s="12" t="str">
        <x:f>IF(D343="","",HYPERLINK("https://wa.me/"&amp;REGEXREPLACE(D343,"[^\d]","")&amp;"?text="&amp;ENCODEURL(O343),"واتساب 3"))</x:f>
      </x:c>
    </x:row>
    <x:row r="344" ht="15" hidden="0" customHeight="1">
      <x:c r="A344" s="12" t="str">
        <x:f>IF(Leads!A344="","",Leads!A344)</x:f>
      </x:c>
      <x:c r="B344" s="12" t="str">
        <x:f>IF(Leads!F344="","",Leads!F344)</x:f>
      </x:c>
      <x:c r="C344" s="12" t="str">
        <x:f>IF(Leads!G344="","",Leads!G344)</x:f>
      </x:c>
      <x:c r="D344" s="12" t="str">
        <x:f>IF(Leads!O344="","",Leads!O344)</x:f>
      </x:c>
      <x:c r="E344" s="12" t="str">
        <x:f>IF(Leads!AV344="","",Leads!AV344)</x:f>
      </x:c>
      <x:c r="F344" s="12" t="str">
        <x:f>IF(Leads!AX344="","",Leads!AX344)</x:f>
      </x:c>
      <x:c r="G344" s="12" t="str">
        <x:f>IF(Leads!BC344="","",Leads!BC344)</x:f>
      </x:c>
      <x:c r="H344" s="12" t="str">
        <x:f>IF(Leads!BE344="","",Leads!BE344)</x:f>
      </x:c>
      <x:c r="I344" s="12" t="str">
        <x:f>IF(Leads!BG344="","",Leads!BG344)</x:f>
      </x:c>
      <x:c r="J344" s="12" t="str">
        <x:f>IF(Leads!BH344="","",Leads!BH344)</x:f>
      </x:c>
      <x:c r="K344" s="12" t="str">
        <x:f>IF(A344="","","مرحبًا "&amp;C344&amp;CHAR(10)&amp;CHAR(10)&amp;"شكرًا لإتمام تقييم DBD الخاص بعيادة "&amp;B344&amp;"."&amp;CHAR(10)&amp;"نتيجتكم الحالية: "&amp;E344&amp;"%."&amp;CHAR(10)&amp;"أولوية التحسين الأولى: "&amp;F344&amp;"."&amp;IF(J344&lt;&gt;"",CHAR(10)&amp;CHAR(10)&amp;"رابط التقرير: "&amp;J344,"")&amp;CHAR(10)&amp;CHAR(10)&amp;"إذا أحببت، يمكننا مساعدتك في فهم التقرير وتحديد أفضل خطوة تالية لعيادتكم.")</x:f>
      </x:c>
      <x:c r="L344" s="12" t="str">
        <x:f>IF(D344="","",HYPERLINK("https://wa.me/"&amp;REGEXREPLACE(D344,"[^\d]","")&amp;"?text="&amp;ENCODEURL(K344),"واتساب 1"))</x:f>
      </x:c>
      <x:c r="M344" s="12" t="str">
        <x:f>IF(A344="","","مرحبًا "&amp;C344&amp;CHAR(10)&amp;CHAR(10)&amp;"بناءً على نتيجة تقييم عيادة "&amp;B344&amp;"، فإن الترشيح الأقوى لكم الآن هو: "&amp;G344&amp;"."&amp;CHAR(10)&amp;"هذا الخيار يساعدكم في معالجة أكبر فجوة حالية بشكل عملي ومباشر."&amp;IF(J344&lt;&gt;"",CHAR(10)&amp;CHAR(10)&amp;"رابط التقرير: "&amp;J344,"")&amp;CHAR(10)&amp;CHAR(10)&amp;"إذا رغبت، يمكننا توضيح لماذا هذا الكورس هو الأنسب لكم الآن.")</x:f>
      </x:c>
      <x:c r="N344" s="12" t="str">
        <x:f>IF(D344="","",HYPERLINK("https://wa.me/"&amp;REGEXREPLACE(D344,"[^\d]","")&amp;"?text="&amp;ENCODEURL(M344),"واتساب 2"))</x:f>
      </x:c>
      <x:c r="O344" s="12" t="str">
        <x:f>IF(A344="","","مرحبًا "&amp;C344&amp;CHAR(10)&amp;CHAR(10)&amp;"إذا كانت التحديات لديكم تحتاج حلًا أشمل، فالبرنامج الكامل المناسب لكم هو: "&amp;H344&amp;"."&amp;IF(I344&lt;&gt;"",CHAR(10)&amp;"كما يمكنكم أيضًا حجز: "&amp;I344&amp;".","")&amp;IF(J344&lt;&gt;"",CHAR(10)&amp;CHAR(10)&amp;"رابط التقرير: "&amp;J344,"")&amp;CHAR(10)&amp;CHAR(10)&amp;"يسعدنا مساعدتكم في اختيار المسار الأنسب حسب وضع العيادة الحالي.")</x:f>
      </x:c>
      <x:c r="P344" s="12" t="str">
        <x:f>IF(D344="","",HYPERLINK("https://wa.me/"&amp;REGEXREPLACE(D344,"[^\d]","")&amp;"?text="&amp;ENCODEURL(O344),"واتساب 3"))</x:f>
      </x:c>
    </x:row>
    <x:row r="345" ht="15" hidden="0" customHeight="1">
      <x:c r="A345" s="12" t="str">
        <x:f>IF(Leads!A345="","",Leads!A345)</x:f>
      </x:c>
      <x:c r="B345" s="12" t="str">
        <x:f>IF(Leads!F345="","",Leads!F345)</x:f>
      </x:c>
      <x:c r="C345" s="12" t="str">
        <x:f>IF(Leads!G345="","",Leads!G345)</x:f>
      </x:c>
      <x:c r="D345" s="12" t="str">
        <x:f>IF(Leads!O345="","",Leads!O345)</x:f>
      </x:c>
      <x:c r="E345" s="12" t="str">
        <x:f>IF(Leads!AV345="","",Leads!AV345)</x:f>
      </x:c>
      <x:c r="F345" s="12" t="str">
        <x:f>IF(Leads!AX345="","",Leads!AX345)</x:f>
      </x:c>
      <x:c r="G345" s="12" t="str">
        <x:f>IF(Leads!BC345="","",Leads!BC345)</x:f>
      </x:c>
      <x:c r="H345" s="12" t="str">
        <x:f>IF(Leads!BE345="","",Leads!BE345)</x:f>
      </x:c>
      <x:c r="I345" s="12" t="str">
        <x:f>IF(Leads!BG345="","",Leads!BG345)</x:f>
      </x:c>
      <x:c r="J345" s="12" t="str">
        <x:f>IF(Leads!BH345="","",Leads!BH345)</x:f>
      </x:c>
      <x:c r="K345" s="12" t="str">
        <x:f>IF(A345="","","مرحبًا "&amp;C345&amp;CHAR(10)&amp;CHAR(10)&amp;"شكرًا لإتمام تقييم DBD الخاص بعيادة "&amp;B345&amp;"."&amp;CHAR(10)&amp;"نتيجتكم الحالية: "&amp;E345&amp;"%."&amp;CHAR(10)&amp;"أولوية التحسين الأولى: "&amp;F345&amp;"."&amp;IF(J345&lt;&gt;"",CHAR(10)&amp;CHAR(10)&amp;"رابط التقرير: "&amp;J345,"")&amp;CHAR(10)&amp;CHAR(10)&amp;"إذا أحببت، يمكننا مساعدتك في فهم التقرير وتحديد أفضل خطوة تالية لعيادتكم.")</x:f>
      </x:c>
      <x:c r="L345" s="12" t="str">
        <x:f>IF(D345="","",HYPERLINK("https://wa.me/"&amp;REGEXREPLACE(D345,"[^\d]","")&amp;"?text="&amp;ENCODEURL(K345),"واتساب 1"))</x:f>
      </x:c>
      <x:c r="M345" s="12" t="str">
        <x:f>IF(A345="","","مرحبًا "&amp;C345&amp;CHAR(10)&amp;CHAR(10)&amp;"بناءً على نتيجة تقييم عيادة "&amp;B345&amp;"، فإن الترشيح الأقوى لكم الآن هو: "&amp;G345&amp;"."&amp;CHAR(10)&amp;"هذا الخيار يساعدكم في معالجة أكبر فجوة حالية بشكل عملي ومباشر."&amp;IF(J345&lt;&gt;"",CHAR(10)&amp;CHAR(10)&amp;"رابط التقرير: "&amp;J345,"")&amp;CHAR(10)&amp;CHAR(10)&amp;"إذا رغبت، يمكننا توضيح لماذا هذا الكورس هو الأنسب لكم الآن.")</x:f>
      </x:c>
      <x:c r="N345" s="12" t="str">
        <x:f>IF(D345="","",HYPERLINK("https://wa.me/"&amp;REGEXREPLACE(D345,"[^\d]","")&amp;"?text="&amp;ENCODEURL(M345),"واتساب 2"))</x:f>
      </x:c>
      <x:c r="O345" s="12" t="str">
        <x:f>IF(A345="","","مرحبًا "&amp;C345&amp;CHAR(10)&amp;CHAR(10)&amp;"إذا كانت التحديات لديكم تحتاج حلًا أشمل، فالبرنامج الكامل المناسب لكم هو: "&amp;H345&amp;"."&amp;IF(I345&lt;&gt;"",CHAR(10)&amp;"كما يمكنكم أيضًا حجز: "&amp;I345&amp;".","")&amp;IF(J345&lt;&gt;"",CHAR(10)&amp;CHAR(10)&amp;"رابط التقرير: "&amp;J345,"")&amp;CHAR(10)&amp;CHAR(10)&amp;"يسعدنا مساعدتكم في اختيار المسار الأنسب حسب وضع العيادة الحالي.")</x:f>
      </x:c>
      <x:c r="P345" s="12" t="str">
        <x:f>IF(D345="","",HYPERLINK("https://wa.me/"&amp;REGEXREPLACE(D345,"[^\d]","")&amp;"?text="&amp;ENCODEURL(O345),"واتساب 3"))</x:f>
      </x:c>
    </x:row>
    <x:row r="346" ht="15" hidden="0" customHeight="1">
      <x:c r="A346" s="12" t="str">
        <x:f>IF(Leads!A346="","",Leads!A346)</x:f>
      </x:c>
      <x:c r="B346" s="12" t="str">
        <x:f>IF(Leads!F346="","",Leads!F346)</x:f>
      </x:c>
      <x:c r="C346" s="12" t="str">
        <x:f>IF(Leads!G346="","",Leads!G346)</x:f>
      </x:c>
      <x:c r="D346" s="12" t="str">
        <x:f>IF(Leads!O346="","",Leads!O346)</x:f>
      </x:c>
      <x:c r="E346" s="12" t="str">
        <x:f>IF(Leads!AV346="","",Leads!AV346)</x:f>
      </x:c>
      <x:c r="F346" s="12" t="str">
        <x:f>IF(Leads!AX346="","",Leads!AX346)</x:f>
      </x:c>
      <x:c r="G346" s="12" t="str">
        <x:f>IF(Leads!BC346="","",Leads!BC346)</x:f>
      </x:c>
      <x:c r="H346" s="12" t="str">
        <x:f>IF(Leads!BE346="","",Leads!BE346)</x:f>
      </x:c>
      <x:c r="I346" s="12" t="str">
        <x:f>IF(Leads!BG346="","",Leads!BG346)</x:f>
      </x:c>
      <x:c r="J346" s="12" t="str">
        <x:f>IF(Leads!BH346="","",Leads!BH346)</x:f>
      </x:c>
      <x:c r="K346" s="12" t="str">
        <x:f>IF(A346="","","مرحبًا "&amp;C346&amp;CHAR(10)&amp;CHAR(10)&amp;"شكرًا لإتمام تقييم DBD الخاص بعيادة "&amp;B346&amp;"."&amp;CHAR(10)&amp;"نتيجتكم الحالية: "&amp;E346&amp;"%."&amp;CHAR(10)&amp;"أولوية التحسين الأولى: "&amp;F346&amp;"."&amp;IF(J346&lt;&gt;"",CHAR(10)&amp;CHAR(10)&amp;"رابط التقرير: "&amp;J346,"")&amp;CHAR(10)&amp;CHAR(10)&amp;"إذا أحببت، يمكننا مساعدتك في فهم التقرير وتحديد أفضل خطوة تالية لعيادتكم.")</x:f>
      </x:c>
      <x:c r="L346" s="12" t="str">
        <x:f>IF(D346="","",HYPERLINK("https://wa.me/"&amp;REGEXREPLACE(D346,"[^\d]","")&amp;"?text="&amp;ENCODEURL(K346),"واتساب 1"))</x:f>
      </x:c>
      <x:c r="M346" s="12" t="str">
        <x:f>IF(A346="","","مرحبًا "&amp;C346&amp;CHAR(10)&amp;CHAR(10)&amp;"بناءً على نتيجة تقييم عيادة "&amp;B346&amp;"، فإن الترشيح الأقوى لكم الآن هو: "&amp;G346&amp;"."&amp;CHAR(10)&amp;"هذا الخيار يساعدكم في معالجة أكبر فجوة حالية بشكل عملي ومباشر."&amp;IF(J346&lt;&gt;"",CHAR(10)&amp;CHAR(10)&amp;"رابط التقرير: "&amp;J346,"")&amp;CHAR(10)&amp;CHAR(10)&amp;"إذا رغبت، يمكننا توضيح لماذا هذا الكورس هو الأنسب لكم الآن.")</x:f>
      </x:c>
      <x:c r="N346" s="12" t="str">
        <x:f>IF(D346="","",HYPERLINK("https://wa.me/"&amp;REGEXREPLACE(D346,"[^\d]","")&amp;"?text="&amp;ENCODEURL(M346),"واتساب 2"))</x:f>
      </x:c>
      <x:c r="O346" s="12" t="str">
        <x:f>IF(A346="","","مرحبًا "&amp;C346&amp;CHAR(10)&amp;CHAR(10)&amp;"إذا كانت التحديات لديكم تحتاج حلًا أشمل، فالبرنامج الكامل المناسب لكم هو: "&amp;H346&amp;"."&amp;IF(I346&lt;&gt;"",CHAR(10)&amp;"كما يمكنكم أيضًا حجز: "&amp;I346&amp;".","")&amp;IF(J346&lt;&gt;"",CHAR(10)&amp;CHAR(10)&amp;"رابط التقرير: "&amp;J346,"")&amp;CHAR(10)&amp;CHAR(10)&amp;"يسعدنا مساعدتكم في اختيار المسار الأنسب حسب وضع العيادة الحالي.")</x:f>
      </x:c>
      <x:c r="P346" s="12" t="str">
        <x:f>IF(D346="","",HYPERLINK("https://wa.me/"&amp;REGEXREPLACE(D346,"[^\d]","")&amp;"?text="&amp;ENCODEURL(O346),"واتساب 3"))</x:f>
      </x:c>
    </x:row>
    <x:row r="347" ht="15" hidden="0" customHeight="1">
      <x:c r="A347" s="12" t="str">
        <x:f>IF(Leads!A347="","",Leads!A347)</x:f>
      </x:c>
      <x:c r="B347" s="12" t="str">
        <x:f>IF(Leads!F347="","",Leads!F347)</x:f>
      </x:c>
      <x:c r="C347" s="12" t="str">
        <x:f>IF(Leads!G347="","",Leads!G347)</x:f>
      </x:c>
      <x:c r="D347" s="12" t="str">
        <x:f>IF(Leads!O347="","",Leads!O347)</x:f>
      </x:c>
      <x:c r="E347" s="12" t="str">
        <x:f>IF(Leads!AV347="","",Leads!AV347)</x:f>
      </x:c>
      <x:c r="F347" s="12" t="str">
        <x:f>IF(Leads!AX347="","",Leads!AX347)</x:f>
      </x:c>
      <x:c r="G347" s="12" t="str">
        <x:f>IF(Leads!BC347="","",Leads!BC347)</x:f>
      </x:c>
      <x:c r="H347" s="12" t="str">
        <x:f>IF(Leads!BE347="","",Leads!BE347)</x:f>
      </x:c>
      <x:c r="I347" s="12" t="str">
        <x:f>IF(Leads!BG347="","",Leads!BG347)</x:f>
      </x:c>
      <x:c r="J347" s="12" t="str">
        <x:f>IF(Leads!BH347="","",Leads!BH347)</x:f>
      </x:c>
      <x:c r="K347" s="12" t="str">
        <x:f>IF(A347="","","مرحبًا "&amp;C347&amp;CHAR(10)&amp;CHAR(10)&amp;"شكرًا لإتمام تقييم DBD الخاص بعيادة "&amp;B347&amp;"."&amp;CHAR(10)&amp;"نتيجتكم الحالية: "&amp;E347&amp;"%."&amp;CHAR(10)&amp;"أولوية التحسين الأولى: "&amp;F347&amp;"."&amp;IF(J347&lt;&gt;"",CHAR(10)&amp;CHAR(10)&amp;"رابط التقرير: "&amp;J347,"")&amp;CHAR(10)&amp;CHAR(10)&amp;"إذا أحببت، يمكننا مساعدتك في فهم التقرير وتحديد أفضل خطوة تالية لعيادتكم.")</x:f>
      </x:c>
      <x:c r="L347" s="12" t="str">
        <x:f>IF(D347="","",HYPERLINK("https://wa.me/"&amp;REGEXREPLACE(D347,"[^\d]","")&amp;"?text="&amp;ENCODEURL(K347),"واتساب 1"))</x:f>
      </x:c>
      <x:c r="M347" s="12" t="str">
        <x:f>IF(A347="","","مرحبًا "&amp;C347&amp;CHAR(10)&amp;CHAR(10)&amp;"بناءً على نتيجة تقييم عيادة "&amp;B347&amp;"، فإن الترشيح الأقوى لكم الآن هو: "&amp;G347&amp;"."&amp;CHAR(10)&amp;"هذا الخيار يساعدكم في معالجة أكبر فجوة حالية بشكل عملي ومباشر."&amp;IF(J347&lt;&gt;"",CHAR(10)&amp;CHAR(10)&amp;"رابط التقرير: "&amp;J347,"")&amp;CHAR(10)&amp;CHAR(10)&amp;"إذا رغبت، يمكننا توضيح لماذا هذا الكورس هو الأنسب لكم الآن.")</x:f>
      </x:c>
      <x:c r="N347" s="12" t="str">
        <x:f>IF(D347="","",HYPERLINK("https://wa.me/"&amp;REGEXREPLACE(D347,"[^\d]","")&amp;"?text="&amp;ENCODEURL(M347),"واتساب 2"))</x:f>
      </x:c>
      <x:c r="O347" s="12" t="str">
        <x:f>IF(A347="","","مرحبًا "&amp;C347&amp;CHAR(10)&amp;CHAR(10)&amp;"إذا كانت التحديات لديكم تحتاج حلًا أشمل، فالبرنامج الكامل المناسب لكم هو: "&amp;H347&amp;"."&amp;IF(I347&lt;&gt;"",CHAR(10)&amp;"كما يمكنكم أيضًا حجز: "&amp;I347&amp;".","")&amp;IF(J347&lt;&gt;"",CHAR(10)&amp;CHAR(10)&amp;"رابط التقرير: "&amp;J347,"")&amp;CHAR(10)&amp;CHAR(10)&amp;"يسعدنا مساعدتكم في اختيار المسار الأنسب حسب وضع العيادة الحالي.")</x:f>
      </x:c>
      <x:c r="P347" s="12" t="str">
        <x:f>IF(D347="","",HYPERLINK("https://wa.me/"&amp;REGEXREPLACE(D347,"[^\d]","")&amp;"?text="&amp;ENCODEURL(O347),"واتساب 3"))</x:f>
      </x:c>
    </x:row>
    <x:row r="348" ht="15" hidden="0" customHeight="1">
      <x:c r="A348" s="12" t="str">
        <x:f>IF(Leads!A348="","",Leads!A348)</x:f>
      </x:c>
      <x:c r="B348" s="12" t="str">
        <x:f>IF(Leads!F348="","",Leads!F348)</x:f>
      </x:c>
      <x:c r="C348" s="12" t="str">
        <x:f>IF(Leads!G348="","",Leads!G348)</x:f>
      </x:c>
      <x:c r="D348" s="12" t="str">
        <x:f>IF(Leads!O348="","",Leads!O348)</x:f>
      </x:c>
      <x:c r="E348" s="12" t="str">
        <x:f>IF(Leads!AV348="","",Leads!AV348)</x:f>
      </x:c>
      <x:c r="F348" s="12" t="str">
        <x:f>IF(Leads!AX348="","",Leads!AX348)</x:f>
      </x:c>
      <x:c r="G348" s="12" t="str">
        <x:f>IF(Leads!BC348="","",Leads!BC348)</x:f>
      </x:c>
      <x:c r="H348" s="12" t="str">
        <x:f>IF(Leads!BE348="","",Leads!BE348)</x:f>
      </x:c>
      <x:c r="I348" s="12" t="str">
        <x:f>IF(Leads!BG348="","",Leads!BG348)</x:f>
      </x:c>
      <x:c r="J348" s="12" t="str">
        <x:f>IF(Leads!BH348="","",Leads!BH348)</x:f>
      </x:c>
      <x:c r="K348" s="12" t="str">
        <x:f>IF(A348="","","مرحبًا "&amp;C348&amp;CHAR(10)&amp;CHAR(10)&amp;"شكرًا لإتمام تقييم DBD الخاص بعيادة "&amp;B348&amp;"."&amp;CHAR(10)&amp;"نتيجتكم الحالية: "&amp;E348&amp;"%."&amp;CHAR(10)&amp;"أولوية التحسين الأولى: "&amp;F348&amp;"."&amp;IF(J348&lt;&gt;"",CHAR(10)&amp;CHAR(10)&amp;"رابط التقرير: "&amp;J348,"")&amp;CHAR(10)&amp;CHAR(10)&amp;"إذا أحببت، يمكننا مساعدتك في فهم التقرير وتحديد أفضل خطوة تالية لعيادتكم.")</x:f>
      </x:c>
      <x:c r="L348" s="12" t="str">
        <x:f>IF(D348="","",HYPERLINK("https://wa.me/"&amp;REGEXREPLACE(D348,"[^\d]","")&amp;"?text="&amp;ENCODEURL(K348),"واتساب 1"))</x:f>
      </x:c>
      <x:c r="M348" s="12" t="str">
        <x:f>IF(A348="","","مرحبًا "&amp;C348&amp;CHAR(10)&amp;CHAR(10)&amp;"بناءً على نتيجة تقييم عيادة "&amp;B348&amp;"، فإن الترشيح الأقوى لكم الآن هو: "&amp;G348&amp;"."&amp;CHAR(10)&amp;"هذا الخيار يساعدكم في معالجة أكبر فجوة حالية بشكل عملي ومباشر."&amp;IF(J348&lt;&gt;"",CHAR(10)&amp;CHAR(10)&amp;"رابط التقرير: "&amp;J348,"")&amp;CHAR(10)&amp;CHAR(10)&amp;"إذا رغبت، يمكننا توضيح لماذا هذا الكورس هو الأنسب لكم الآن.")</x:f>
      </x:c>
      <x:c r="N348" s="12" t="str">
        <x:f>IF(D348="","",HYPERLINK("https://wa.me/"&amp;REGEXREPLACE(D348,"[^\d]","")&amp;"?text="&amp;ENCODEURL(M348),"واتساب 2"))</x:f>
      </x:c>
      <x:c r="O348" s="12" t="str">
        <x:f>IF(A348="","","مرحبًا "&amp;C348&amp;CHAR(10)&amp;CHAR(10)&amp;"إذا كانت التحديات لديكم تحتاج حلًا أشمل، فالبرنامج الكامل المناسب لكم هو: "&amp;H348&amp;"."&amp;IF(I348&lt;&gt;"",CHAR(10)&amp;"كما يمكنكم أيضًا حجز: "&amp;I348&amp;".","")&amp;IF(J348&lt;&gt;"",CHAR(10)&amp;CHAR(10)&amp;"رابط التقرير: "&amp;J348,"")&amp;CHAR(10)&amp;CHAR(10)&amp;"يسعدنا مساعدتكم في اختيار المسار الأنسب حسب وضع العيادة الحالي.")</x:f>
      </x:c>
      <x:c r="P348" s="12" t="str">
        <x:f>IF(D348="","",HYPERLINK("https://wa.me/"&amp;REGEXREPLACE(D348,"[^\d]","")&amp;"?text="&amp;ENCODEURL(O348),"واتساب 3"))</x:f>
      </x:c>
    </x:row>
    <x:row r="349" ht="15" hidden="0" customHeight="1">
      <x:c r="A349" s="12" t="str">
        <x:f>IF(Leads!A349="","",Leads!A349)</x:f>
      </x:c>
      <x:c r="B349" s="12" t="str">
        <x:f>IF(Leads!F349="","",Leads!F349)</x:f>
      </x:c>
      <x:c r="C349" s="12" t="str">
        <x:f>IF(Leads!G349="","",Leads!G349)</x:f>
      </x:c>
      <x:c r="D349" s="12" t="str">
        <x:f>IF(Leads!O349="","",Leads!O349)</x:f>
      </x:c>
      <x:c r="E349" s="12" t="str">
        <x:f>IF(Leads!AV349="","",Leads!AV349)</x:f>
      </x:c>
      <x:c r="F349" s="12" t="str">
        <x:f>IF(Leads!AX349="","",Leads!AX349)</x:f>
      </x:c>
      <x:c r="G349" s="12" t="str">
        <x:f>IF(Leads!BC349="","",Leads!BC349)</x:f>
      </x:c>
      <x:c r="H349" s="12" t="str">
        <x:f>IF(Leads!BE349="","",Leads!BE349)</x:f>
      </x:c>
      <x:c r="I349" s="12" t="str">
        <x:f>IF(Leads!BG349="","",Leads!BG349)</x:f>
      </x:c>
      <x:c r="J349" s="12" t="str">
        <x:f>IF(Leads!BH349="","",Leads!BH349)</x:f>
      </x:c>
      <x:c r="K349" s="12" t="str">
        <x:f>IF(A349="","","مرحبًا "&amp;C349&amp;CHAR(10)&amp;CHAR(10)&amp;"شكرًا لإتمام تقييم DBD الخاص بعيادة "&amp;B349&amp;"."&amp;CHAR(10)&amp;"نتيجتكم الحالية: "&amp;E349&amp;"%."&amp;CHAR(10)&amp;"أولوية التحسين الأولى: "&amp;F349&amp;"."&amp;IF(J349&lt;&gt;"",CHAR(10)&amp;CHAR(10)&amp;"رابط التقرير: "&amp;J349,"")&amp;CHAR(10)&amp;CHAR(10)&amp;"إذا أحببت، يمكننا مساعدتك في فهم التقرير وتحديد أفضل خطوة تالية لعيادتكم.")</x:f>
      </x:c>
      <x:c r="L349" s="12" t="str">
        <x:f>IF(D349="","",HYPERLINK("https://wa.me/"&amp;REGEXREPLACE(D349,"[^\d]","")&amp;"?text="&amp;ENCODEURL(K349),"واتساب 1"))</x:f>
      </x:c>
      <x:c r="M349" s="12" t="str">
        <x:f>IF(A349="","","مرحبًا "&amp;C349&amp;CHAR(10)&amp;CHAR(10)&amp;"بناءً على نتيجة تقييم عيادة "&amp;B349&amp;"، فإن الترشيح الأقوى لكم الآن هو: "&amp;G349&amp;"."&amp;CHAR(10)&amp;"هذا الخيار يساعدكم في معالجة أكبر فجوة حالية بشكل عملي ومباشر."&amp;IF(J349&lt;&gt;"",CHAR(10)&amp;CHAR(10)&amp;"رابط التقرير: "&amp;J349,"")&amp;CHAR(10)&amp;CHAR(10)&amp;"إذا رغبت، يمكننا توضيح لماذا هذا الكورس هو الأنسب لكم الآن.")</x:f>
      </x:c>
      <x:c r="N349" s="12" t="str">
        <x:f>IF(D349="","",HYPERLINK("https://wa.me/"&amp;REGEXREPLACE(D349,"[^\d]","")&amp;"?text="&amp;ENCODEURL(M349),"واتساب 2"))</x:f>
      </x:c>
      <x:c r="O349" s="12" t="str">
        <x:f>IF(A349="","","مرحبًا "&amp;C349&amp;CHAR(10)&amp;CHAR(10)&amp;"إذا كانت التحديات لديكم تحتاج حلًا أشمل، فالبرنامج الكامل المناسب لكم هو: "&amp;H349&amp;"."&amp;IF(I349&lt;&gt;"",CHAR(10)&amp;"كما يمكنكم أيضًا حجز: "&amp;I349&amp;".","")&amp;IF(J349&lt;&gt;"",CHAR(10)&amp;CHAR(10)&amp;"رابط التقرير: "&amp;J349,"")&amp;CHAR(10)&amp;CHAR(10)&amp;"يسعدنا مساعدتكم في اختيار المسار الأنسب حسب وضع العيادة الحالي.")</x:f>
      </x:c>
      <x:c r="P349" s="12" t="str">
        <x:f>IF(D349="","",HYPERLINK("https://wa.me/"&amp;REGEXREPLACE(D349,"[^\d]","")&amp;"?text="&amp;ENCODEURL(O349),"واتساب 3"))</x:f>
      </x:c>
    </x:row>
    <x:row r="350" ht="15" hidden="0" customHeight="1">
      <x:c r="A350" s="12" t="str">
        <x:f>IF(Leads!A350="","",Leads!A350)</x:f>
      </x:c>
      <x:c r="B350" s="12" t="str">
        <x:f>IF(Leads!F350="","",Leads!F350)</x:f>
      </x:c>
      <x:c r="C350" s="12" t="str">
        <x:f>IF(Leads!G350="","",Leads!G350)</x:f>
      </x:c>
      <x:c r="D350" s="12" t="str">
        <x:f>IF(Leads!O350="","",Leads!O350)</x:f>
      </x:c>
      <x:c r="E350" s="12" t="str">
        <x:f>IF(Leads!AV350="","",Leads!AV350)</x:f>
      </x:c>
      <x:c r="F350" s="12" t="str">
        <x:f>IF(Leads!AX350="","",Leads!AX350)</x:f>
      </x:c>
      <x:c r="G350" s="12" t="str">
        <x:f>IF(Leads!BC350="","",Leads!BC350)</x:f>
      </x:c>
      <x:c r="H350" s="12" t="str">
        <x:f>IF(Leads!BE350="","",Leads!BE350)</x:f>
      </x:c>
      <x:c r="I350" s="12" t="str">
        <x:f>IF(Leads!BG350="","",Leads!BG350)</x:f>
      </x:c>
      <x:c r="J350" s="12" t="str">
        <x:f>IF(Leads!BH350="","",Leads!BH350)</x:f>
      </x:c>
      <x:c r="K350" s="12" t="str">
        <x:f>IF(A350="","","مرحبًا "&amp;C350&amp;CHAR(10)&amp;CHAR(10)&amp;"شكرًا لإتمام تقييم DBD الخاص بعيادة "&amp;B350&amp;"."&amp;CHAR(10)&amp;"نتيجتكم الحالية: "&amp;E350&amp;"%."&amp;CHAR(10)&amp;"أولوية التحسين الأولى: "&amp;F350&amp;"."&amp;IF(J350&lt;&gt;"",CHAR(10)&amp;CHAR(10)&amp;"رابط التقرير: "&amp;J350,"")&amp;CHAR(10)&amp;CHAR(10)&amp;"إذا أحببت، يمكننا مساعدتك في فهم التقرير وتحديد أفضل خطوة تالية لعيادتكم.")</x:f>
      </x:c>
      <x:c r="L350" s="12" t="str">
        <x:f>IF(D350="","",HYPERLINK("https://wa.me/"&amp;REGEXREPLACE(D350,"[^\d]","")&amp;"?text="&amp;ENCODEURL(K350),"واتساب 1"))</x:f>
      </x:c>
      <x:c r="M350" s="12" t="str">
        <x:f>IF(A350="","","مرحبًا "&amp;C350&amp;CHAR(10)&amp;CHAR(10)&amp;"بناءً على نتيجة تقييم عيادة "&amp;B350&amp;"، فإن الترشيح الأقوى لكم الآن هو: "&amp;G350&amp;"."&amp;CHAR(10)&amp;"هذا الخيار يساعدكم في معالجة أكبر فجوة حالية بشكل عملي ومباشر."&amp;IF(J350&lt;&gt;"",CHAR(10)&amp;CHAR(10)&amp;"رابط التقرير: "&amp;J350,"")&amp;CHAR(10)&amp;CHAR(10)&amp;"إذا رغبت، يمكننا توضيح لماذا هذا الكورس هو الأنسب لكم الآن.")</x:f>
      </x:c>
      <x:c r="N350" s="12" t="str">
        <x:f>IF(D350="","",HYPERLINK("https://wa.me/"&amp;REGEXREPLACE(D350,"[^\d]","")&amp;"?text="&amp;ENCODEURL(M350),"واتساب 2"))</x:f>
      </x:c>
      <x:c r="O350" s="12" t="str">
        <x:f>IF(A350="","","مرحبًا "&amp;C350&amp;CHAR(10)&amp;CHAR(10)&amp;"إذا كانت التحديات لديكم تحتاج حلًا أشمل، فالبرنامج الكامل المناسب لكم هو: "&amp;H350&amp;"."&amp;IF(I350&lt;&gt;"",CHAR(10)&amp;"كما يمكنكم أيضًا حجز: "&amp;I350&amp;".","")&amp;IF(J350&lt;&gt;"",CHAR(10)&amp;CHAR(10)&amp;"رابط التقرير: "&amp;J350,"")&amp;CHAR(10)&amp;CHAR(10)&amp;"يسعدنا مساعدتكم في اختيار المسار الأنسب حسب وضع العيادة الحالي.")</x:f>
      </x:c>
      <x:c r="P350" s="12" t="str">
        <x:f>IF(D350="","",HYPERLINK("https://wa.me/"&amp;REGEXREPLACE(D350,"[^\d]","")&amp;"?text="&amp;ENCODEURL(O350),"واتساب 3"))</x:f>
      </x:c>
    </x:row>
    <x:row r="351" ht="15" hidden="0" customHeight="1">
      <x:c r="A351" s="12" t="str">
        <x:f>IF(Leads!A351="","",Leads!A351)</x:f>
      </x:c>
      <x:c r="B351" s="12" t="str">
        <x:f>IF(Leads!F351="","",Leads!F351)</x:f>
      </x:c>
      <x:c r="C351" s="12" t="str">
        <x:f>IF(Leads!G351="","",Leads!G351)</x:f>
      </x:c>
      <x:c r="D351" s="12" t="str">
        <x:f>IF(Leads!O351="","",Leads!O351)</x:f>
      </x:c>
      <x:c r="E351" s="12" t="str">
        <x:f>IF(Leads!AV351="","",Leads!AV351)</x:f>
      </x:c>
      <x:c r="F351" s="12" t="str">
        <x:f>IF(Leads!AX351="","",Leads!AX351)</x:f>
      </x:c>
      <x:c r="G351" s="12" t="str">
        <x:f>IF(Leads!BC351="","",Leads!BC351)</x:f>
      </x:c>
      <x:c r="H351" s="12" t="str">
        <x:f>IF(Leads!BE351="","",Leads!BE351)</x:f>
      </x:c>
      <x:c r="I351" s="12" t="str">
        <x:f>IF(Leads!BG351="","",Leads!BG351)</x:f>
      </x:c>
      <x:c r="J351" s="12" t="str">
        <x:f>IF(Leads!BH351="","",Leads!BH351)</x:f>
      </x:c>
      <x:c r="K351" s="12" t="str">
        <x:f>IF(A351="","","مرحبًا "&amp;C351&amp;CHAR(10)&amp;CHAR(10)&amp;"شكرًا لإتمام تقييم DBD الخاص بعيادة "&amp;B351&amp;"."&amp;CHAR(10)&amp;"نتيجتكم الحالية: "&amp;E351&amp;"%."&amp;CHAR(10)&amp;"أولوية التحسين الأولى: "&amp;F351&amp;"."&amp;IF(J351&lt;&gt;"",CHAR(10)&amp;CHAR(10)&amp;"رابط التقرير: "&amp;J351,"")&amp;CHAR(10)&amp;CHAR(10)&amp;"إذا أحببت، يمكننا مساعدتك في فهم التقرير وتحديد أفضل خطوة تالية لعيادتكم.")</x:f>
      </x:c>
      <x:c r="L351" s="12" t="str">
        <x:f>IF(D351="","",HYPERLINK("https://wa.me/"&amp;REGEXREPLACE(D351,"[^\d]","")&amp;"?text="&amp;ENCODEURL(K351),"واتساب 1"))</x:f>
      </x:c>
      <x:c r="M351" s="12" t="str">
        <x:f>IF(A351="","","مرحبًا "&amp;C351&amp;CHAR(10)&amp;CHAR(10)&amp;"بناءً على نتيجة تقييم عيادة "&amp;B351&amp;"، فإن الترشيح الأقوى لكم الآن هو: "&amp;G351&amp;"."&amp;CHAR(10)&amp;"هذا الخيار يساعدكم في معالجة أكبر فجوة حالية بشكل عملي ومباشر."&amp;IF(J351&lt;&gt;"",CHAR(10)&amp;CHAR(10)&amp;"رابط التقرير: "&amp;J351,"")&amp;CHAR(10)&amp;CHAR(10)&amp;"إذا رغبت، يمكننا توضيح لماذا هذا الكورس هو الأنسب لكم الآن.")</x:f>
      </x:c>
      <x:c r="N351" s="12" t="str">
        <x:f>IF(D351="","",HYPERLINK("https://wa.me/"&amp;REGEXREPLACE(D351,"[^\d]","")&amp;"?text="&amp;ENCODEURL(M351),"واتساب 2"))</x:f>
      </x:c>
      <x:c r="O351" s="12" t="str">
        <x:f>IF(A351="","","مرحبًا "&amp;C351&amp;CHAR(10)&amp;CHAR(10)&amp;"إذا كانت التحديات لديكم تحتاج حلًا أشمل، فالبرنامج الكامل المناسب لكم هو: "&amp;H351&amp;"."&amp;IF(I351&lt;&gt;"",CHAR(10)&amp;"كما يمكنكم أيضًا حجز: "&amp;I351&amp;".","")&amp;IF(J351&lt;&gt;"",CHAR(10)&amp;CHAR(10)&amp;"رابط التقرير: "&amp;J351,"")&amp;CHAR(10)&amp;CHAR(10)&amp;"يسعدنا مساعدتكم في اختيار المسار الأنسب حسب وضع العيادة الحالي.")</x:f>
      </x:c>
      <x:c r="P351" s="12" t="str">
        <x:f>IF(D351="","",HYPERLINK("https://wa.me/"&amp;REGEXREPLACE(D351,"[^\d]","")&amp;"?text="&amp;ENCODEURL(O351),"واتساب 3"))</x:f>
      </x:c>
    </x:row>
    <x:row r="352" ht="15" hidden="0" customHeight="1">
      <x:c r="A352" s="12" t="str">
        <x:f>IF(Leads!A352="","",Leads!A352)</x:f>
      </x:c>
      <x:c r="B352" s="12" t="str">
        <x:f>IF(Leads!F352="","",Leads!F352)</x:f>
      </x:c>
      <x:c r="C352" s="12" t="str">
        <x:f>IF(Leads!G352="","",Leads!G352)</x:f>
      </x:c>
      <x:c r="D352" s="12" t="str">
        <x:f>IF(Leads!O352="","",Leads!O352)</x:f>
      </x:c>
      <x:c r="E352" s="12" t="str">
        <x:f>IF(Leads!AV352="","",Leads!AV352)</x:f>
      </x:c>
      <x:c r="F352" s="12" t="str">
        <x:f>IF(Leads!AX352="","",Leads!AX352)</x:f>
      </x:c>
      <x:c r="G352" s="12" t="str">
        <x:f>IF(Leads!BC352="","",Leads!BC352)</x:f>
      </x:c>
      <x:c r="H352" s="12" t="str">
        <x:f>IF(Leads!BE352="","",Leads!BE352)</x:f>
      </x:c>
      <x:c r="I352" s="12" t="str">
        <x:f>IF(Leads!BG352="","",Leads!BG352)</x:f>
      </x:c>
      <x:c r="J352" s="12" t="str">
        <x:f>IF(Leads!BH352="","",Leads!BH352)</x:f>
      </x:c>
      <x:c r="K352" s="12" t="str">
        <x:f>IF(A352="","","مرحبًا "&amp;C352&amp;CHAR(10)&amp;CHAR(10)&amp;"شكرًا لإتمام تقييم DBD الخاص بعيادة "&amp;B352&amp;"."&amp;CHAR(10)&amp;"نتيجتكم الحالية: "&amp;E352&amp;"%."&amp;CHAR(10)&amp;"أولوية التحسين الأولى: "&amp;F352&amp;"."&amp;IF(J352&lt;&gt;"",CHAR(10)&amp;CHAR(10)&amp;"رابط التقرير: "&amp;J352,"")&amp;CHAR(10)&amp;CHAR(10)&amp;"إذا أحببت، يمكننا مساعدتك في فهم التقرير وتحديد أفضل خطوة تالية لعيادتكم.")</x:f>
      </x:c>
      <x:c r="L352" s="12" t="str">
        <x:f>IF(D352="","",HYPERLINK("https://wa.me/"&amp;REGEXREPLACE(D352,"[^\d]","")&amp;"?text="&amp;ENCODEURL(K352),"واتساب 1"))</x:f>
      </x:c>
      <x:c r="M352" s="12" t="str">
        <x:f>IF(A352="","","مرحبًا "&amp;C352&amp;CHAR(10)&amp;CHAR(10)&amp;"بناءً على نتيجة تقييم عيادة "&amp;B352&amp;"، فإن الترشيح الأقوى لكم الآن هو: "&amp;G352&amp;"."&amp;CHAR(10)&amp;"هذا الخيار يساعدكم في معالجة أكبر فجوة حالية بشكل عملي ومباشر."&amp;IF(J352&lt;&gt;"",CHAR(10)&amp;CHAR(10)&amp;"رابط التقرير: "&amp;J352,"")&amp;CHAR(10)&amp;CHAR(10)&amp;"إذا رغبت، يمكننا توضيح لماذا هذا الكورس هو الأنسب لكم الآن.")</x:f>
      </x:c>
      <x:c r="N352" s="12" t="str">
        <x:f>IF(D352="","",HYPERLINK("https://wa.me/"&amp;REGEXREPLACE(D352,"[^\d]","")&amp;"?text="&amp;ENCODEURL(M352),"واتساب 2"))</x:f>
      </x:c>
      <x:c r="O352" s="12" t="str">
        <x:f>IF(A352="","","مرحبًا "&amp;C352&amp;CHAR(10)&amp;CHAR(10)&amp;"إذا كانت التحديات لديكم تحتاج حلًا أشمل، فالبرنامج الكامل المناسب لكم هو: "&amp;H352&amp;"."&amp;IF(I352&lt;&gt;"",CHAR(10)&amp;"كما يمكنكم أيضًا حجز: "&amp;I352&amp;".","")&amp;IF(J352&lt;&gt;"",CHAR(10)&amp;CHAR(10)&amp;"رابط التقرير: "&amp;J352,"")&amp;CHAR(10)&amp;CHAR(10)&amp;"يسعدنا مساعدتكم في اختيار المسار الأنسب حسب وضع العيادة الحالي.")</x:f>
      </x:c>
      <x:c r="P352" s="12" t="str">
        <x:f>IF(D352="","",HYPERLINK("https://wa.me/"&amp;REGEXREPLACE(D352,"[^\d]","")&amp;"?text="&amp;ENCODEURL(O352),"واتساب 3"))</x:f>
      </x:c>
    </x:row>
    <x:row r="353" ht="15" hidden="0" customHeight="1">
      <x:c r="A353" s="12" t="str">
        <x:f>IF(Leads!A353="","",Leads!A353)</x:f>
      </x:c>
      <x:c r="B353" s="12" t="str">
        <x:f>IF(Leads!F353="","",Leads!F353)</x:f>
      </x:c>
      <x:c r="C353" s="12" t="str">
        <x:f>IF(Leads!G353="","",Leads!G353)</x:f>
      </x:c>
      <x:c r="D353" s="12" t="str">
        <x:f>IF(Leads!O353="","",Leads!O353)</x:f>
      </x:c>
      <x:c r="E353" s="12" t="str">
        <x:f>IF(Leads!AV353="","",Leads!AV353)</x:f>
      </x:c>
      <x:c r="F353" s="12" t="str">
        <x:f>IF(Leads!AX353="","",Leads!AX353)</x:f>
      </x:c>
      <x:c r="G353" s="12" t="str">
        <x:f>IF(Leads!BC353="","",Leads!BC353)</x:f>
      </x:c>
      <x:c r="H353" s="12" t="str">
        <x:f>IF(Leads!BE353="","",Leads!BE353)</x:f>
      </x:c>
      <x:c r="I353" s="12" t="str">
        <x:f>IF(Leads!BG353="","",Leads!BG353)</x:f>
      </x:c>
      <x:c r="J353" s="12" t="str">
        <x:f>IF(Leads!BH353="","",Leads!BH353)</x:f>
      </x:c>
      <x:c r="K353" s="12" t="str">
        <x:f>IF(A353="","","مرحبًا "&amp;C353&amp;CHAR(10)&amp;CHAR(10)&amp;"شكرًا لإتمام تقييم DBD الخاص بعيادة "&amp;B353&amp;"."&amp;CHAR(10)&amp;"نتيجتكم الحالية: "&amp;E353&amp;"%."&amp;CHAR(10)&amp;"أولوية التحسين الأولى: "&amp;F353&amp;"."&amp;IF(J353&lt;&gt;"",CHAR(10)&amp;CHAR(10)&amp;"رابط التقرير: "&amp;J353,"")&amp;CHAR(10)&amp;CHAR(10)&amp;"إذا أحببت، يمكننا مساعدتك في فهم التقرير وتحديد أفضل خطوة تالية لعيادتكم.")</x:f>
      </x:c>
      <x:c r="L353" s="12" t="str">
        <x:f>IF(D353="","",HYPERLINK("https://wa.me/"&amp;REGEXREPLACE(D353,"[^\d]","")&amp;"?text="&amp;ENCODEURL(K353),"واتساب 1"))</x:f>
      </x:c>
      <x:c r="M353" s="12" t="str">
        <x:f>IF(A353="","","مرحبًا "&amp;C353&amp;CHAR(10)&amp;CHAR(10)&amp;"بناءً على نتيجة تقييم عيادة "&amp;B353&amp;"، فإن الترشيح الأقوى لكم الآن هو: "&amp;G353&amp;"."&amp;CHAR(10)&amp;"هذا الخيار يساعدكم في معالجة أكبر فجوة حالية بشكل عملي ومباشر."&amp;IF(J353&lt;&gt;"",CHAR(10)&amp;CHAR(10)&amp;"رابط التقرير: "&amp;J353,"")&amp;CHAR(10)&amp;CHAR(10)&amp;"إذا رغبت، يمكننا توضيح لماذا هذا الكورس هو الأنسب لكم الآن.")</x:f>
      </x:c>
      <x:c r="N353" s="12" t="str">
        <x:f>IF(D353="","",HYPERLINK("https://wa.me/"&amp;REGEXREPLACE(D353,"[^\d]","")&amp;"?text="&amp;ENCODEURL(M353),"واتساب 2"))</x:f>
      </x:c>
      <x:c r="O353" s="12" t="str">
        <x:f>IF(A353="","","مرحبًا "&amp;C353&amp;CHAR(10)&amp;CHAR(10)&amp;"إذا كانت التحديات لديكم تحتاج حلًا أشمل، فالبرنامج الكامل المناسب لكم هو: "&amp;H353&amp;"."&amp;IF(I353&lt;&gt;"",CHAR(10)&amp;"كما يمكنكم أيضًا حجز: "&amp;I353&amp;".","")&amp;IF(J353&lt;&gt;"",CHAR(10)&amp;CHAR(10)&amp;"رابط التقرير: "&amp;J353,"")&amp;CHAR(10)&amp;CHAR(10)&amp;"يسعدنا مساعدتكم في اختيار المسار الأنسب حسب وضع العيادة الحالي.")</x:f>
      </x:c>
      <x:c r="P353" s="12" t="str">
        <x:f>IF(D353="","",HYPERLINK("https://wa.me/"&amp;REGEXREPLACE(D353,"[^\d]","")&amp;"?text="&amp;ENCODEURL(O353),"واتساب 3"))</x:f>
      </x:c>
    </x:row>
    <x:row r="354" ht="15" hidden="0" customHeight="1">
      <x:c r="A354" s="12" t="str">
        <x:f>IF(Leads!A354="","",Leads!A354)</x:f>
      </x:c>
      <x:c r="B354" s="12" t="str">
        <x:f>IF(Leads!F354="","",Leads!F354)</x:f>
      </x:c>
      <x:c r="C354" s="12" t="str">
        <x:f>IF(Leads!G354="","",Leads!G354)</x:f>
      </x:c>
      <x:c r="D354" s="12" t="str">
        <x:f>IF(Leads!O354="","",Leads!O354)</x:f>
      </x:c>
      <x:c r="E354" s="12" t="str">
        <x:f>IF(Leads!AV354="","",Leads!AV354)</x:f>
      </x:c>
      <x:c r="F354" s="12" t="str">
        <x:f>IF(Leads!AX354="","",Leads!AX354)</x:f>
      </x:c>
      <x:c r="G354" s="12" t="str">
        <x:f>IF(Leads!BC354="","",Leads!BC354)</x:f>
      </x:c>
      <x:c r="H354" s="12" t="str">
        <x:f>IF(Leads!BE354="","",Leads!BE354)</x:f>
      </x:c>
      <x:c r="I354" s="12" t="str">
        <x:f>IF(Leads!BG354="","",Leads!BG354)</x:f>
      </x:c>
      <x:c r="J354" s="12" t="str">
        <x:f>IF(Leads!BH354="","",Leads!BH354)</x:f>
      </x:c>
      <x:c r="K354" s="12" t="str">
        <x:f>IF(A354="","","مرحبًا "&amp;C354&amp;CHAR(10)&amp;CHAR(10)&amp;"شكرًا لإتمام تقييم DBD الخاص بعيادة "&amp;B354&amp;"."&amp;CHAR(10)&amp;"نتيجتكم الحالية: "&amp;E354&amp;"%."&amp;CHAR(10)&amp;"أولوية التحسين الأولى: "&amp;F354&amp;"."&amp;IF(J354&lt;&gt;"",CHAR(10)&amp;CHAR(10)&amp;"رابط التقرير: "&amp;J354,"")&amp;CHAR(10)&amp;CHAR(10)&amp;"إذا أحببت، يمكننا مساعدتك في فهم التقرير وتحديد أفضل خطوة تالية لعيادتكم.")</x:f>
      </x:c>
      <x:c r="L354" s="12" t="str">
        <x:f>IF(D354="","",HYPERLINK("https://wa.me/"&amp;REGEXREPLACE(D354,"[^\d]","")&amp;"?text="&amp;ENCODEURL(K354),"واتساب 1"))</x:f>
      </x:c>
      <x:c r="M354" s="12" t="str">
        <x:f>IF(A354="","","مرحبًا "&amp;C354&amp;CHAR(10)&amp;CHAR(10)&amp;"بناءً على نتيجة تقييم عيادة "&amp;B354&amp;"، فإن الترشيح الأقوى لكم الآن هو: "&amp;G354&amp;"."&amp;CHAR(10)&amp;"هذا الخيار يساعدكم في معالجة أكبر فجوة حالية بشكل عملي ومباشر."&amp;IF(J354&lt;&gt;"",CHAR(10)&amp;CHAR(10)&amp;"رابط التقرير: "&amp;J354,"")&amp;CHAR(10)&amp;CHAR(10)&amp;"إذا رغبت، يمكننا توضيح لماذا هذا الكورس هو الأنسب لكم الآن.")</x:f>
      </x:c>
      <x:c r="N354" s="12" t="str">
        <x:f>IF(D354="","",HYPERLINK("https://wa.me/"&amp;REGEXREPLACE(D354,"[^\d]","")&amp;"?text="&amp;ENCODEURL(M354),"واتساب 2"))</x:f>
      </x:c>
      <x:c r="O354" s="12" t="str">
        <x:f>IF(A354="","","مرحبًا "&amp;C354&amp;CHAR(10)&amp;CHAR(10)&amp;"إذا كانت التحديات لديكم تحتاج حلًا أشمل، فالبرنامج الكامل المناسب لكم هو: "&amp;H354&amp;"."&amp;IF(I354&lt;&gt;"",CHAR(10)&amp;"كما يمكنكم أيضًا حجز: "&amp;I354&amp;".","")&amp;IF(J354&lt;&gt;"",CHAR(10)&amp;CHAR(10)&amp;"رابط التقرير: "&amp;J354,"")&amp;CHAR(10)&amp;CHAR(10)&amp;"يسعدنا مساعدتكم في اختيار المسار الأنسب حسب وضع العيادة الحالي.")</x:f>
      </x:c>
      <x:c r="P354" s="12" t="str">
        <x:f>IF(D354="","",HYPERLINK("https://wa.me/"&amp;REGEXREPLACE(D354,"[^\d]","")&amp;"?text="&amp;ENCODEURL(O354),"واتساب 3"))</x:f>
      </x:c>
    </x:row>
    <x:row r="355" ht="15" hidden="0" customHeight="1">
      <x:c r="A355" s="12" t="str">
        <x:f>IF(Leads!A355="","",Leads!A355)</x:f>
      </x:c>
      <x:c r="B355" s="12" t="str">
        <x:f>IF(Leads!F355="","",Leads!F355)</x:f>
      </x:c>
      <x:c r="C355" s="12" t="str">
        <x:f>IF(Leads!G355="","",Leads!G355)</x:f>
      </x:c>
      <x:c r="D355" s="12" t="str">
        <x:f>IF(Leads!O355="","",Leads!O355)</x:f>
      </x:c>
      <x:c r="E355" s="12" t="str">
        <x:f>IF(Leads!AV355="","",Leads!AV355)</x:f>
      </x:c>
      <x:c r="F355" s="12" t="str">
        <x:f>IF(Leads!AX355="","",Leads!AX355)</x:f>
      </x:c>
      <x:c r="G355" s="12" t="str">
        <x:f>IF(Leads!BC355="","",Leads!BC355)</x:f>
      </x:c>
      <x:c r="H355" s="12" t="str">
        <x:f>IF(Leads!BE355="","",Leads!BE355)</x:f>
      </x:c>
      <x:c r="I355" s="12" t="str">
        <x:f>IF(Leads!BG355="","",Leads!BG355)</x:f>
      </x:c>
      <x:c r="J355" s="12" t="str">
        <x:f>IF(Leads!BH355="","",Leads!BH355)</x:f>
      </x:c>
      <x:c r="K355" s="12" t="str">
        <x:f>IF(A355="","","مرحبًا "&amp;C355&amp;CHAR(10)&amp;CHAR(10)&amp;"شكرًا لإتمام تقييم DBD الخاص بعيادة "&amp;B355&amp;"."&amp;CHAR(10)&amp;"نتيجتكم الحالية: "&amp;E355&amp;"%."&amp;CHAR(10)&amp;"أولوية التحسين الأولى: "&amp;F355&amp;"."&amp;IF(J355&lt;&gt;"",CHAR(10)&amp;CHAR(10)&amp;"رابط التقرير: "&amp;J355,"")&amp;CHAR(10)&amp;CHAR(10)&amp;"إذا أحببت، يمكننا مساعدتك في فهم التقرير وتحديد أفضل خطوة تالية لعيادتكم.")</x:f>
      </x:c>
      <x:c r="L355" s="12" t="str">
        <x:f>IF(D355="","",HYPERLINK("https://wa.me/"&amp;REGEXREPLACE(D355,"[^\d]","")&amp;"?text="&amp;ENCODEURL(K355),"واتساب 1"))</x:f>
      </x:c>
      <x:c r="M355" s="12" t="str">
        <x:f>IF(A355="","","مرحبًا "&amp;C355&amp;CHAR(10)&amp;CHAR(10)&amp;"بناءً على نتيجة تقييم عيادة "&amp;B355&amp;"، فإن الترشيح الأقوى لكم الآن هو: "&amp;G355&amp;"."&amp;CHAR(10)&amp;"هذا الخيار يساعدكم في معالجة أكبر فجوة حالية بشكل عملي ومباشر."&amp;IF(J355&lt;&gt;"",CHAR(10)&amp;CHAR(10)&amp;"رابط التقرير: "&amp;J355,"")&amp;CHAR(10)&amp;CHAR(10)&amp;"إذا رغبت، يمكننا توضيح لماذا هذا الكورس هو الأنسب لكم الآن.")</x:f>
      </x:c>
      <x:c r="N355" s="12" t="str">
        <x:f>IF(D355="","",HYPERLINK("https://wa.me/"&amp;REGEXREPLACE(D355,"[^\d]","")&amp;"?text="&amp;ENCODEURL(M355),"واتساب 2"))</x:f>
      </x:c>
      <x:c r="O355" s="12" t="str">
        <x:f>IF(A355="","","مرحبًا "&amp;C355&amp;CHAR(10)&amp;CHAR(10)&amp;"إذا كانت التحديات لديكم تحتاج حلًا أشمل، فالبرنامج الكامل المناسب لكم هو: "&amp;H355&amp;"."&amp;IF(I355&lt;&gt;"",CHAR(10)&amp;"كما يمكنكم أيضًا حجز: "&amp;I355&amp;".","")&amp;IF(J355&lt;&gt;"",CHAR(10)&amp;CHAR(10)&amp;"رابط التقرير: "&amp;J355,"")&amp;CHAR(10)&amp;CHAR(10)&amp;"يسعدنا مساعدتكم في اختيار المسار الأنسب حسب وضع العيادة الحالي.")</x:f>
      </x:c>
      <x:c r="P355" s="12" t="str">
        <x:f>IF(D355="","",HYPERLINK("https://wa.me/"&amp;REGEXREPLACE(D355,"[^\d]","")&amp;"?text="&amp;ENCODEURL(O355),"واتساب 3"))</x:f>
      </x:c>
    </x:row>
    <x:row r="356" ht="15" hidden="0" customHeight="1">
      <x:c r="A356" s="12" t="str">
        <x:f>IF(Leads!A356="","",Leads!A356)</x:f>
      </x:c>
      <x:c r="B356" s="12" t="str">
        <x:f>IF(Leads!F356="","",Leads!F356)</x:f>
      </x:c>
      <x:c r="C356" s="12" t="str">
        <x:f>IF(Leads!G356="","",Leads!G356)</x:f>
      </x:c>
      <x:c r="D356" s="12" t="str">
        <x:f>IF(Leads!O356="","",Leads!O356)</x:f>
      </x:c>
      <x:c r="E356" s="12" t="str">
        <x:f>IF(Leads!AV356="","",Leads!AV356)</x:f>
      </x:c>
      <x:c r="F356" s="12" t="str">
        <x:f>IF(Leads!AX356="","",Leads!AX356)</x:f>
      </x:c>
      <x:c r="G356" s="12" t="str">
        <x:f>IF(Leads!BC356="","",Leads!BC356)</x:f>
      </x:c>
      <x:c r="H356" s="12" t="str">
        <x:f>IF(Leads!BE356="","",Leads!BE356)</x:f>
      </x:c>
      <x:c r="I356" s="12" t="str">
        <x:f>IF(Leads!BG356="","",Leads!BG356)</x:f>
      </x:c>
      <x:c r="J356" s="12" t="str">
        <x:f>IF(Leads!BH356="","",Leads!BH356)</x:f>
      </x:c>
      <x:c r="K356" s="12" t="str">
        <x:f>IF(A356="","","مرحبًا "&amp;C356&amp;CHAR(10)&amp;CHAR(10)&amp;"شكرًا لإتمام تقييم DBD الخاص بعيادة "&amp;B356&amp;"."&amp;CHAR(10)&amp;"نتيجتكم الحالية: "&amp;E356&amp;"%."&amp;CHAR(10)&amp;"أولوية التحسين الأولى: "&amp;F356&amp;"."&amp;IF(J356&lt;&gt;"",CHAR(10)&amp;CHAR(10)&amp;"رابط التقرير: "&amp;J356,"")&amp;CHAR(10)&amp;CHAR(10)&amp;"إذا أحببت، يمكننا مساعدتك في فهم التقرير وتحديد أفضل خطوة تالية لعيادتكم.")</x:f>
      </x:c>
      <x:c r="L356" s="12" t="str">
        <x:f>IF(D356="","",HYPERLINK("https://wa.me/"&amp;REGEXREPLACE(D356,"[^\d]","")&amp;"?text="&amp;ENCODEURL(K356),"واتساب 1"))</x:f>
      </x:c>
      <x:c r="M356" s="12" t="str">
        <x:f>IF(A356="","","مرحبًا "&amp;C356&amp;CHAR(10)&amp;CHAR(10)&amp;"بناءً على نتيجة تقييم عيادة "&amp;B356&amp;"، فإن الترشيح الأقوى لكم الآن هو: "&amp;G356&amp;"."&amp;CHAR(10)&amp;"هذا الخيار يساعدكم في معالجة أكبر فجوة حالية بشكل عملي ومباشر."&amp;IF(J356&lt;&gt;"",CHAR(10)&amp;CHAR(10)&amp;"رابط التقرير: "&amp;J356,"")&amp;CHAR(10)&amp;CHAR(10)&amp;"إذا رغبت، يمكننا توضيح لماذا هذا الكورس هو الأنسب لكم الآن.")</x:f>
      </x:c>
      <x:c r="N356" s="12" t="str">
        <x:f>IF(D356="","",HYPERLINK("https://wa.me/"&amp;REGEXREPLACE(D356,"[^\d]","")&amp;"?text="&amp;ENCODEURL(M356),"واتساب 2"))</x:f>
      </x:c>
      <x:c r="O356" s="12" t="str">
        <x:f>IF(A356="","","مرحبًا "&amp;C356&amp;CHAR(10)&amp;CHAR(10)&amp;"إذا كانت التحديات لديكم تحتاج حلًا أشمل، فالبرنامج الكامل المناسب لكم هو: "&amp;H356&amp;"."&amp;IF(I356&lt;&gt;"",CHAR(10)&amp;"كما يمكنكم أيضًا حجز: "&amp;I356&amp;".","")&amp;IF(J356&lt;&gt;"",CHAR(10)&amp;CHAR(10)&amp;"رابط التقرير: "&amp;J356,"")&amp;CHAR(10)&amp;CHAR(10)&amp;"يسعدنا مساعدتكم في اختيار المسار الأنسب حسب وضع العيادة الحالي.")</x:f>
      </x:c>
      <x:c r="P356" s="12" t="str">
        <x:f>IF(D356="","",HYPERLINK("https://wa.me/"&amp;REGEXREPLACE(D356,"[^\d]","")&amp;"?text="&amp;ENCODEURL(O356),"واتساب 3"))</x:f>
      </x:c>
    </x:row>
    <x:row r="357" ht="15" hidden="0" customHeight="1">
      <x:c r="A357" s="12" t="str">
        <x:f>IF(Leads!A357="","",Leads!A357)</x:f>
      </x:c>
      <x:c r="B357" s="12" t="str">
        <x:f>IF(Leads!F357="","",Leads!F357)</x:f>
      </x:c>
      <x:c r="C357" s="12" t="str">
        <x:f>IF(Leads!G357="","",Leads!G357)</x:f>
      </x:c>
      <x:c r="D357" s="12" t="str">
        <x:f>IF(Leads!O357="","",Leads!O357)</x:f>
      </x:c>
      <x:c r="E357" s="12" t="str">
        <x:f>IF(Leads!AV357="","",Leads!AV357)</x:f>
      </x:c>
      <x:c r="F357" s="12" t="str">
        <x:f>IF(Leads!AX357="","",Leads!AX357)</x:f>
      </x:c>
      <x:c r="G357" s="12" t="str">
        <x:f>IF(Leads!BC357="","",Leads!BC357)</x:f>
      </x:c>
      <x:c r="H357" s="12" t="str">
        <x:f>IF(Leads!BE357="","",Leads!BE357)</x:f>
      </x:c>
      <x:c r="I357" s="12" t="str">
        <x:f>IF(Leads!BG357="","",Leads!BG357)</x:f>
      </x:c>
      <x:c r="J357" s="12" t="str">
        <x:f>IF(Leads!BH357="","",Leads!BH357)</x:f>
      </x:c>
      <x:c r="K357" s="12" t="str">
        <x:f>IF(A357="","","مرحبًا "&amp;C357&amp;CHAR(10)&amp;CHAR(10)&amp;"شكرًا لإتمام تقييم DBD الخاص بعيادة "&amp;B357&amp;"."&amp;CHAR(10)&amp;"نتيجتكم الحالية: "&amp;E357&amp;"%."&amp;CHAR(10)&amp;"أولوية التحسين الأولى: "&amp;F357&amp;"."&amp;IF(J357&lt;&gt;"",CHAR(10)&amp;CHAR(10)&amp;"رابط التقرير: "&amp;J357,"")&amp;CHAR(10)&amp;CHAR(10)&amp;"إذا أحببت، يمكننا مساعدتك في فهم التقرير وتحديد أفضل خطوة تالية لعيادتكم.")</x:f>
      </x:c>
      <x:c r="L357" s="12" t="str">
        <x:f>IF(D357="","",HYPERLINK("https://wa.me/"&amp;REGEXREPLACE(D357,"[^\d]","")&amp;"?text="&amp;ENCODEURL(K357),"واتساب 1"))</x:f>
      </x:c>
      <x:c r="M357" s="12" t="str">
        <x:f>IF(A357="","","مرحبًا "&amp;C357&amp;CHAR(10)&amp;CHAR(10)&amp;"بناءً على نتيجة تقييم عيادة "&amp;B357&amp;"، فإن الترشيح الأقوى لكم الآن هو: "&amp;G357&amp;"."&amp;CHAR(10)&amp;"هذا الخيار يساعدكم في معالجة أكبر فجوة حالية بشكل عملي ومباشر."&amp;IF(J357&lt;&gt;"",CHAR(10)&amp;CHAR(10)&amp;"رابط التقرير: "&amp;J357,"")&amp;CHAR(10)&amp;CHAR(10)&amp;"إذا رغبت، يمكننا توضيح لماذا هذا الكورس هو الأنسب لكم الآن.")</x:f>
      </x:c>
      <x:c r="N357" s="12" t="str">
        <x:f>IF(D357="","",HYPERLINK("https://wa.me/"&amp;REGEXREPLACE(D357,"[^\d]","")&amp;"?text="&amp;ENCODEURL(M357),"واتساب 2"))</x:f>
      </x:c>
      <x:c r="O357" s="12" t="str">
        <x:f>IF(A357="","","مرحبًا "&amp;C357&amp;CHAR(10)&amp;CHAR(10)&amp;"إذا كانت التحديات لديكم تحتاج حلًا أشمل، فالبرنامج الكامل المناسب لكم هو: "&amp;H357&amp;"."&amp;IF(I357&lt;&gt;"",CHAR(10)&amp;"كما يمكنكم أيضًا حجز: "&amp;I357&amp;".","")&amp;IF(J357&lt;&gt;"",CHAR(10)&amp;CHAR(10)&amp;"رابط التقرير: "&amp;J357,"")&amp;CHAR(10)&amp;CHAR(10)&amp;"يسعدنا مساعدتكم في اختيار المسار الأنسب حسب وضع العيادة الحالي.")</x:f>
      </x:c>
      <x:c r="P357" s="12" t="str">
        <x:f>IF(D357="","",HYPERLINK("https://wa.me/"&amp;REGEXREPLACE(D357,"[^\d]","")&amp;"?text="&amp;ENCODEURL(O357),"واتساب 3"))</x:f>
      </x:c>
    </x:row>
    <x:row r="358" ht="15" hidden="0" customHeight="1">
      <x:c r="A358" s="12" t="str">
        <x:f>IF(Leads!A358="","",Leads!A358)</x:f>
      </x:c>
      <x:c r="B358" s="12" t="str">
        <x:f>IF(Leads!F358="","",Leads!F358)</x:f>
      </x:c>
      <x:c r="C358" s="12" t="str">
        <x:f>IF(Leads!G358="","",Leads!G358)</x:f>
      </x:c>
      <x:c r="D358" s="12" t="str">
        <x:f>IF(Leads!O358="","",Leads!O358)</x:f>
      </x:c>
      <x:c r="E358" s="12" t="str">
        <x:f>IF(Leads!AV358="","",Leads!AV358)</x:f>
      </x:c>
      <x:c r="F358" s="12" t="str">
        <x:f>IF(Leads!AX358="","",Leads!AX358)</x:f>
      </x:c>
      <x:c r="G358" s="12" t="str">
        <x:f>IF(Leads!BC358="","",Leads!BC358)</x:f>
      </x:c>
      <x:c r="H358" s="12" t="str">
        <x:f>IF(Leads!BE358="","",Leads!BE358)</x:f>
      </x:c>
      <x:c r="I358" s="12" t="str">
        <x:f>IF(Leads!BG358="","",Leads!BG358)</x:f>
      </x:c>
      <x:c r="J358" s="12" t="str">
        <x:f>IF(Leads!BH358="","",Leads!BH358)</x:f>
      </x:c>
      <x:c r="K358" s="12" t="str">
        <x:f>IF(A358="","","مرحبًا "&amp;C358&amp;CHAR(10)&amp;CHAR(10)&amp;"شكرًا لإتمام تقييم DBD الخاص بعيادة "&amp;B358&amp;"."&amp;CHAR(10)&amp;"نتيجتكم الحالية: "&amp;E358&amp;"%."&amp;CHAR(10)&amp;"أولوية التحسين الأولى: "&amp;F358&amp;"."&amp;IF(J358&lt;&gt;"",CHAR(10)&amp;CHAR(10)&amp;"رابط التقرير: "&amp;J358,"")&amp;CHAR(10)&amp;CHAR(10)&amp;"إذا أحببت، يمكننا مساعدتك في فهم التقرير وتحديد أفضل خطوة تالية لعيادتكم.")</x:f>
      </x:c>
      <x:c r="L358" s="12" t="str">
        <x:f>IF(D358="","",HYPERLINK("https://wa.me/"&amp;REGEXREPLACE(D358,"[^\d]","")&amp;"?text="&amp;ENCODEURL(K358),"واتساب 1"))</x:f>
      </x:c>
      <x:c r="M358" s="12" t="str">
        <x:f>IF(A358="","","مرحبًا "&amp;C358&amp;CHAR(10)&amp;CHAR(10)&amp;"بناءً على نتيجة تقييم عيادة "&amp;B358&amp;"، فإن الترشيح الأقوى لكم الآن هو: "&amp;G358&amp;"."&amp;CHAR(10)&amp;"هذا الخيار يساعدكم في معالجة أكبر فجوة حالية بشكل عملي ومباشر."&amp;IF(J358&lt;&gt;"",CHAR(10)&amp;CHAR(10)&amp;"رابط التقرير: "&amp;J358,"")&amp;CHAR(10)&amp;CHAR(10)&amp;"إذا رغبت، يمكننا توضيح لماذا هذا الكورس هو الأنسب لكم الآن.")</x:f>
      </x:c>
      <x:c r="N358" s="12" t="str">
        <x:f>IF(D358="","",HYPERLINK("https://wa.me/"&amp;REGEXREPLACE(D358,"[^\d]","")&amp;"?text="&amp;ENCODEURL(M358),"واتساب 2"))</x:f>
      </x:c>
      <x:c r="O358" s="12" t="str">
        <x:f>IF(A358="","","مرحبًا "&amp;C358&amp;CHAR(10)&amp;CHAR(10)&amp;"إذا كانت التحديات لديكم تحتاج حلًا أشمل، فالبرنامج الكامل المناسب لكم هو: "&amp;H358&amp;"."&amp;IF(I358&lt;&gt;"",CHAR(10)&amp;"كما يمكنكم أيضًا حجز: "&amp;I358&amp;".","")&amp;IF(J358&lt;&gt;"",CHAR(10)&amp;CHAR(10)&amp;"رابط التقرير: "&amp;J358,"")&amp;CHAR(10)&amp;CHAR(10)&amp;"يسعدنا مساعدتكم في اختيار المسار الأنسب حسب وضع العيادة الحالي.")</x:f>
      </x:c>
      <x:c r="P358" s="12" t="str">
        <x:f>IF(D358="","",HYPERLINK("https://wa.me/"&amp;REGEXREPLACE(D358,"[^\d]","")&amp;"?text="&amp;ENCODEURL(O358),"واتساب 3"))</x:f>
      </x:c>
    </x:row>
    <x:row r="359" ht="15" hidden="0" customHeight="1">
      <x:c r="A359" s="12" t="str">
        <x:f>IF(Leads!A359="","",Leads!A359)</x:f>
      </x:c>
      <x:c r="B359" s="12" t="str">
        <x:f>IF(Leads!F359="","",Leads!F359)</x:f>
      </x:c>
      <x:c r="C359" s="12" t="str">
        <x:f>IF(Leads!G359="","",Leads!G359)</x:f>
      </x:c>
      <x:c r="D359" s="12" t="str">
        <x:f>IF(Leads!O359="","",Leads!O359)</x:f>
      </x:c>
      <x:c r="E359" s="12" t="str">
        <x:f>IF(Leads!AV359="","",Leads!AV359)</x:f>
      </x:c>
      <x:c r="F359" s="12" t="str">
        <x:f>IF(Leads!AX359="","",Leads!AX359)</x:f>
      </x:c>
      <x:c r="G359" s="12" t="str">
        <x:f>IF(Leads!BC359="","",Leads!BC359)</x:f>
      </x:c>
      <x:c r="H359" s="12" t="str">
        <x:f>IF(Leads!BE359="","",Leads!BE359)</x:f>
      </x:c>
      <x:c r="I359" s="12" t="str">
        <x:f>IF(Leads!BG359="","",Leads!BG359)</x:f>
      </x:c>
      <x:c r="J359" s="12" t="str">
        <x:f>IF(Leads!BH359="","",Leads!BH359)</x:f>
      </x:c>
      <x:c r="K359" s="12" t="str">
        <x:f>IF(A359="","","مرحبًا "&amp;C359&amp;CHAR(10)&amp;CHAR(10)&amp;"شكرًا لإتمام تقييم DBD الخاص بعيادة "&amp;B359&amp;"."&amp;CHAR(10)&amp;"نتيجتكم الحالية: "&amp;E359&amp;"%."&amp;CHAR(10)&amp;"أولوية التحسين الأولى: "&amp;F359&amp;"."&amp;IF(J359&lt;&gt;"",CHAR(10)&amp;CHAR(10)&amp;"رابط التقرير: "&amp;J359,"")&amp;CHAR(10)&amp;CHAR(10)&amp;"إذا أحببت، يمكننا مساعدتك في فهم التقرير وتحديد أفضل خطوة تالية لعيادتكم.")</x:f>
      </x:c>
      <x:c r="L359" s="12" t="str">
        <x:f>IF(D359="","",HYPERLINK("https://wa.me/"&amp;REGEXREPLACE(D359,"[^\d]","")&amp;"?text="&amp;ENCODEURL(K359),"واتساب 1"))</x:f>
      </x:c>
      <x:c r="M359" s="12" t="str">
        <x:f>IF(A359="","","مرحبًا "&amp;C359&amp;CHAR(10)&amp;CHAR(10)&amp;"بناءً على نتيجة تقييم عيادة "&amp;B359&amp;"، فإن الترشيح الأقوى لكم الآن هو: "&amp;G359&amp;"."&amp;CHAR(10)&amp;"هذا الخيار يساعدكم في معالجة أكبر فجوة حالية بشكل عملي ومباشر."&amp;IF(J359&lt;&gt;"",CHAR(10)&amp;CHAR(10)&amp;"رابط التقرير: "&amp;J359,"")&amp;CHAR(10)&amp;CHAR(10)&amp;"إذا رغبت، يمكننا توضيح لماذا هذا الكورس هو الأنسب لكم الآن.")</x:f>
      </x:c>
      <x:c r="N359" s="12" t="str">
        <x:f>IF(D359="","",HYPERLINK("https://wa.me/"&amp;REGEXREPLACE(D359,"[^\d]","")&amp;"?text="&amp;ENCODEURL(M359),"واتساب 2"))</x:f>
      </x:c>
      <x:c r="O359" s="12" t="str">
        <x:f>IF(A359="","","مرحبًا "&amp;C359&amp;CHAR(10)&amp;CHAR(10)&amp;"إذا كانت التحديات لديكم تحتاج حلًا أشمل، فالبرنامج الكامل المناسب لكم هو: "&amp;H359&amp;"."&amp;IF(I359&lt;&gt;"",CHAR(10)&amp;"كما يمكنكم أيضًا حجز: "&amp;I359&amp;".","")&amp;IF(J359&lt;&gt;"",CHAR(10)&amp;CHAR(10)&amp;"رابط التقرير: "&amp;J359,"")&amp;CHAR(10)&amp;CHAR(10)&amp;"يسعدنا مساعدتكم في اختيار المسار الأنسب حسب وضع العيادة الحالي.")</x:f>
      </x:c>
      <x:c r="P359" s="12" t="str">
        <x:f>IF(D359="","",HYPERLINK("https://wa.me/"&amp;REGEXREPLACE(D359,"[^\d]","")&amp;"?text="&amp;ENCODEURL(O359),"واتساب 3"))</x:f>
      </x:c>
    </x:row>
    <x:row r="360" ht="15" hidden="0" customHeight="1">
      <x:c r="A360" s="12" t="str">
        <x:f>IF(Leads!A360="","",Leads!A360)</x:f>
      </x:c>
      <x:c r="B360" s="12" t="str">
        <x:f>IF(Leads!F360="","",Leads!F360)</x:f>
      </x:c>
      <x:c r="C360" s="12" t="str">
        <x:f>IF(Leads!G360="","",Leads!G360)</x:f>
      </x:c>
      <x:c r="D360" s="12" t="str">
        <x:f>IF(Leads!O360="","",Leads!O360)</x:f>
      </x:c>
      <x:c r="E360" s="12" t="str">
        <x:f>IF(Leads!AV360="","",Leads!AV360)</x:f>
      </x:c>
      <x:c r="F360" s="12" t="str">
        <x:f>IF(Leads!AX360="","",Leads!AX360)</x:f>
      </x:c>
      <x:c r="G360" s="12" t="str">
        <x:f>IF(Leads!BC360="","",Leads!BC360)</x:f>
      </x:c>
      <x:c r="H360" s="12" t="str">
        <x:f>IF(Leads!BE360="","",Leads!BE360)</x:f>
      </x:c>
      <x:c r="I360" s="12" t="str">
        <x:f>IF(Leads!BG360="","",Leads!BG360)</x:f>
      </x:c>
      <x:c r="J360" s="12" t="str">
        <x:f>IF(Leads!BH360="","",Leads!BH360)</x:f>
      </x:c>
      <x:c r="K360" s="12" t="str">
        <x:f>IF(A360="","","مرحبًا "&amp;C360&amp;CHAR(10)&amp;CHAR(10)&amp;"شكرًا لإتمام تقييم DBD الخاص بعيادة "&amp;B360&amp;"."&amp;CHAR(10)&amp;"نتيجتكم الحالية: "&amp;E360&amp;"%."&amp;CHAR(10)&amp;"أولوية التحسين الأولى: "&amp;F360&amp;"."&amp;IF(J360&lt;&gt;"",CHAR(10)&amp;CHAR(10)&amp;"رابط التقرير: "&amp;J360,"")&amp;CHAR(10)&amp;CHAR(10)&amp;"إذا أحببت، يمكننا مساعدتك في فهم التقرير وتحديد أفضل خطوة تالية لعيادتكم.")</x:f>
      </x:c>
      <x:c r="L360" s="12" t="str">
        <x:f>IF(D360="","",HYPERLINK("https://wa.me/"&amp;REGEXREPLACE(D360,"[^\d]","")&amp;"?text="&amp;ENCODEURL(K360),"واتساب 1"))</x:f>
      </x:c>
      <x:c r="M360" s="12" t="str">
        <x:f>IF(A360="","","مرحبًا "&amp;C360&amp;CHAR(10)&amp;CHAR(10)&amp;"بناءً على نتيجة تقييم عيادة "&amp;B360&amp;"، فإن الترشيح الأقوى لكم الآن هو: "&amp;G360&amp;"."&amp;CHAR(10)&amp;"هذا الخيار يساعدكم في معالجة أكبر فجوة حالية بشكل عملي ومباشر."&amp;IF(J360&lt;&gt;"",CHAR(10)&amp;CHAR(10)&amp;"رابط التقرير: "&amp;J360,"")&amp;CHAR(10)&amp;CHAR(10)&amp;"إذا رغبت، يمكننا توضيح لماذا هذا الكورس هو الأنسب لكم الآن.")</x:f>
      </x:c>
      <x:c r="N360" s="12" t="str">
        <x:f>IF(D360="","",HYPERLINK("https://wa.me/"&amp;REGEXREPLACE(D360,"[^\d]","")&amp;"?text="&amp;ENCODEURL(M360),"واتساب 2"))</x:f>
      </x:c>
      <x:c r="O360" s="12" t="str">
        <x:f>IF(A360="","","مرحبًا "&amp;C360&amp;CHAR(10)&amp;CHAR(10)&amp;"إذا كانت التحديات لديكم تحتاج حلًا أشمل، فالبرنامج الكامل المناسب لكم هو: "&amp;H360&amp;"."&amp;IF(I360&lt;&gt;"",CHAR(10)&amp;"كما يمكنكم أيضًا حجز: "&amp;I360&amp;".","")&amp;IF(J360&lt;&gt;"",CHAR(10)&amp;CHAR(10)&amp;"رابط التقرير: "&amp;J360,"")&amp;CHAR(10)&amp;CHAR(10)&amp;"يسعدنا مساعدتكم في اختيار المسار الأنسب حسب وضع العيادة الحالي.")</x:f>
      </x:c>
      <x:c r="P360" s="12" t="str">
        <x:f>IF(D360="","",HYPERLINK("https://wa.me/"&amp;REGEXREPLACE(D360,"[^\d]","")&amp;"?text="&amp;ENCODEURL(O360),"واتساب 3"))</x:f>
      </x:c>
    </x:row>
    <x:row r="361" ht="15" hidden="0" customHeight="1">
      <x:c r="A361" s="12" t="str">
        <x:f>IF(Leads!A361="","",Leads!A361)</x:f>
      </x:c>
      <x:c r="B361" s="12" t="str">
        <x:f>IF(Leads!F361="","",Leads!F361)</x:f>
      </x:c>
      <x:c r="C361" s="12" t="str">
        <x:f>IF(Leads!G361="","",Leads!G361)</x:f>
      </x:c>
      <x:c r="D361" s="12" t="str">
        <x:f>IF(Leads!O361="","",Leads!O361)</x:f>
      </x:c>
      <x:c r="E361" s="12" t="str">
        <x:f>IF(Leads!AV361="","",Leads!AV361)</x:f>
      </x:c>
      <x:c r="F361" s="12" t="str">
        <x:f>IF(Leads!AX361="","",Leads!AX361)</x:f>
      </x:c>
      <x:c r="G361" s="12" t="str">
        <x:f>IF(Leads!BC361="","",Leads!BC361)</x:f>
      </x:c>
      <x:c r="H361" s="12" t="str">
        <x:f>IF(Leads!BE361="","",Leads!BE361)</x:f>
      </x:c>
      <x:c r="I361" s="12" t="str">
        <x:f>IF(Leads!BG361="","",Leads!BG361)</x:f>
      </x:c>
      <x:c r="J361" s="12" t="str">
        <x:f>IF(Leads!BH361="","",Leads!BH361)</x:f>
      </x:c>
      <x:c r="K361" s="12" t="str">
        <x:f>IF(A361="","","مرحبًا "&amp;C361&amp;CHAR(10)&amp;CHAR(10)&amp;"شكرًا لإتمام تقييم DBD الخاص بعيادة "&amp;B361&amp;"."&amp;CHAR(10)&amp;"نتيجتكم الحالية: "&amp;E361&amp;"%."&amp;CHAR(10)&amp;"أولوية التحسين الأولى: "&amp;F361&amp;"."&amp;IF(J361&lt;&gt;"",CHAR(10)&amp;CHAR(10)&amp;"رابط التقرير: "&amp;J361,"")&amp;CHAR(10)&amp;CHAR(10)&amp;"إذا أحببت، يمكننا مساعدتك في فهم التقرير وتحديد أفضل خطوة تالية لعيادتكم.")</x:f>
      </x:c>
      <x:c r="L361" s="12" t="str">
        <x:f>IF(D361="","",HYPERLINK("https://wa.me/"&amp;REGEXREPLACE(D361,"[^\d]","")&amp;"?text="&amp;ENCODEURL(K361),"واتساب 1"))</x:f>
      </x:c>
      <x:c r="M361" s="12" t="str">
        <x:f>IF(A361="","","مرحبًا "&amp;C361&amp;CHAR(10)&amp;CHAR(10)&amp;"بناءً على نتيجة تقييم عيادة "&amp;B361&amp;"، فإن الترشيح الأقوى لكم الآن هو: "&amp;G361&amp;"."&amp;CHAR(10)&amp;"هذا الخيار يساعدكم في معالجة أكبر فجوة حالية بشكل عملي ومباشر."&amp;IF(J361&lt;&gt;"",CHAR(10)&amp;CHAR(10)&amp;"رابط التقرير: "&amp;J361,"")&amp;CHAR(10)&amp;CHAR(10)&amp;"إذا رغبت، يمكننا توضيح لماذا هذا الكورس هو الأنسب لكم الآن.")</x:f>
      </x:c>
      <x:c r="N361" s="12" t="str">
        <x:f>IF(D361="","",HYPERLINK("https://wa.me/"&amp;REGEXREPLACE(D361,"[^\d]","")&amp;"?text="&amp;ENCODEURL(M361),"واتساب 2"))</x:f>
      </x:c>
      <x:c r="O361" s="12" t="str">
        <x:f>IF(A361="","","مرحبًا "&amp;C361&amp;CHAR(10)&amp;CHAR(10)&amp;"إذا كانت التحديات لديكم تحتاج حلًا أشمل، فالبرنامج الكامل المناسب لكم هو: "&amp;H361&amp;"."&amp;IF(I361&lt;&gt;"",CHAR(10)&amp;"كما يمكنكم أيضًا حجز: "&amp;I361&amp;".","")&amp;IF(J361&lt;&gt;"",CHAR(10)&amp;CHAR(10)&amp;"رابط التقرير: "&amp;J361,"")&amp;CHAR(10)&amp;CHAR(10)&amp;"يسعدنا مساعدتكم في اختيار المسار الأنسب حسب وضع العيادة الحالي.")</x:f>
      </x:c>
      <x:c r="P361" s="12" t="str">
        <x:f>IF(D361="","",HYPERLINK("https://wa.me/"&amp;REGEXREPLACE(D361,"[^\d]","")&amp;"?text="&amp;ENCODEURL(O361),"واتساب 3"))</x:f>
      </x:c>
    </x:row>
    <x:row r="362" ht="15" hidden="0" customHeight="1">
      <x:c r="A362" s="12" t="str">
        <x:f>IF(Leads!A362="","",Leads!A362)</x:f>
      </x:c>
      <x:c r="B362" s="12" t="str">
        <x:f>IF(Leads!F362="","",Leads!F362)</x:f>
      </x:c>
      <x:c r="C362" s="12" t="str">
        <x:f>IF(Leads!G362="","",Leads!G362)</x:f>
      </x:c>
      <x:c r="D362" s="12" t="str">
        <x:f>IF(Leads!O362="","",Leads!O362)</x:f>
      </x:c>
      <x:c r="E362" s="12" t="str">
        <x:f>IF(Leads!AV362="","",Leads!AV362)</x:f>
      </x:c>
      <x:c r="F362" s="12" t="str">
        <x:f>IF(Leads!AX362="","",Leads!AX362)</x:f>
      </x:c>
      <x:c r="G362" s="12" t="str">
        <x:f>IF(Leads!BC362="","",Leads!BC362)</x:f>
      </x:c>
      <x:c r="H362" s="12" t="str">
        <x:f>IF(Leads!BE362="","",Leads!BE362)</x:f>
      </x:c>
      <x:c r="I362" s="12" t="str">
        <x:f>IF(Leads!BG362="","",Leads!BG362)</x:f>
      </x:c>
      <x:c r="J362" s="12" t="str">
        <x:f>IF(Leads!BH362="","",Leads!BH362)</x:f>
      </x:c>
      <x:c r="K362" s="12" t="str">
        <x:f>IF(A362="","","مرحبًا "&amp;C362&amp;CHAR(10)&amp;CHAR(10)&amp;"شكرًا لإتمام تقييم DBD الخاص بعيادة "&amp;B362&amp;"."&amp;CHAR(10)&amp;"نتيجتكم الحالية: "&amp;E362&amp;"%."&amp;CHAR(10)&amp;"أولوية التحسين الأولى: "&amp;F362&amp;"."&amp;IF(J362&lt;&gt;"",CHAR(10)&amp;CHAR(10)&amp;"رابط التقرير: "&amp;J362,"")&amp;CHAR(10)&amp;CHAR(10)&amp;"إذا أحببت، يمكننا مساعدتك في فهم التقرير وتحديد أفضل خطوة تالية لعيادتكم.")</x:f>
      </x:c>
      <x:c r="L362" s="12" t="str">
        <x:f>IF(D362="","",HYPERLINK("https://wa.me/"&amp;REGEXREPLACE(D362,"[^\d]","")&amp;"?text="&amp;ENCODEURL(K362),"واتساب 1"))</x:f>
      </x:c>
      <x:c r="M362" s="12" t="str">
        <x:f>IF(A362="","","مرحبًا "&amp;C362&amp;CHAR(10)&amp;CHAR(10)&amp;"بناءً على نتيجة تقييم عيادة "&amp;B362&amp;"، فإن الترشيح الأقوى لكم الآن هو: "&amp;G362&amp;"."&amp;CHAR(10)&amp;"هذا الخيار يساعدكم في معالجة أكبر فجوة حالية بشكل عملي ومباشر."&amp;IF(J362&lt;&gt;"",CHAR(10)&amp;CHAR(10)&amp;"رابط التقرير: "&amp;J362,"")&amp;CHAR(10)&amp;CHAR(10)&amp;"إذا رغبت، يمكننا توضيح لماذا هذا الكورس هو الأنسب لكم الآن.")</x:f>
      </x:c>
      <x:c r="N362" s="12" t="str">
        <x:f>IF(D362="","",HYPERLINK("https://wa.me/"&amp;REGEXREPLACE(D362,"[^\d]","")&amp;"?text="&amp;ENCODEURL(M362),"واتساب 2"))</x:f>
      </x:c>
      <x:c r="O362" s="12" t="str">
        <x:f>IF(A362="","","مرحبًا "&amp;C362&amp;CHAR(10)&amp;CHAR(10)&amp;"إذا كانت التحديات لديكم تحتاج حلًا أشمل، فالبرنامج الكامل المناسب لكم هو: "&amp;H362&amp;"."&amp;IF(I362&lt;&gt;"",CHAR(10)&amp;"كما يمكنكم أيضًا حجز: "&amp;I362&amp;".","")&amp;IF(J362&lt;&gt;"",CHAR(10)&amp;CHAR(10)&amp;"رابط التقرير: "&amp;J362,"")&amp;CHAR(10)&amp;CHAR(10)&amp;"يسعدنا مساعدتكم في اختيار المسار الأنسب حسب وضع العيادة الحالي.")</x:f>
      </x:c>
      <x:c r="P362" s="12" t="str">
        <x:f>IF(D362="","",HYPERLINK("https://wa.me/"&amp;REGEXREPLACE(D362,"[^\d]","")&amp;"?text="&amp;ENCODEURL(O362),"واتساب 3"))</x:f>
      </x:c>
    </x:row>
    <x:row r="363" ht="15" hidden="0" customHeight="1">
      <x:c r="A363" s="12" t="str">
        <x:f>IF(Leads!A363="","",Leads!A363)</x:f>
      </x:c>
      <x:c r="B363" s="12" t="str">
        <x:f>IF(Leads!F363="","",Leads!F363)</x:f>
      </x:c>
      <x:c r="C363" s="12" t="str">
        <x:f>IF(Leads!G363="","",Leads!G363)</x:f>
      </x:c>
      <x:c r="D363" s="12" t="str">
        <x:f>IF(Leads!O363="","",Leads!O363)</x:f>
      </x:c>
      <x:c r="E363" s="12" t="str">
        <x:f>IF(Leads!AV363="","",Leads!AV363)</x:f>
      </x:c>
      <x:c r="F363" s="12" t="str">
        <x:f>IF(Leads!AX363="","",Leads!AX363)</x:f>
      </x:c>
      <x:c r="G363" s="12" t="str">
        <x:f>IF(Leads!BC363="","",Leads!BC363)</x:f>
      </x:c>
      <x:c r="H363" s="12" t="str">
        <x:f>IF(Leads!BE363="","",Leads!BE363)</x:f>
      </x:c>
      <x:c r="I363" s="12" t="str">
        <x:f>IF(Leads!BG363="","",Leads!BG363)</x:f>
      </x:c>
      <x:c r="J363" s="12" t="str">
        <x:f>IF(Leads!BH363="","",Leads!BH363)</x:f>
      </x:c>
      <x:c r="K363" s="12" t="str">
        <x:f>IF(A363="","","مرحبًا "&amp;C363&amp;CHAR(10)&amp;CHAR(10)&amp;"شكرًا لإتمام تقييم DBD الخاص بعيادة "&amp;B363&amp;"."&amp;CHAR(10)&amp;"نتيجتكم الحالية: "&amp;E363&amp;"%."&amp;CHAR(10)&amp;"أولوية التحسين الأولى: "&amp;F363&amp;"."&amp;IF(J363&lt;&gt;"",CHAR(10)&amp;CHAR(10)&amp;"رابط التقرير: "&amp;J363,"")&amp;CHAR(10)&amp;CHAR(10)&amp;"إذا أحببت، يمكننا مساعدتك في فهم التقرير وتحديد أفضل خطوة تالية لعيادتكم.")</x:f>
      </x:c>
      <x:c r="L363" s="12" t="str">
        <x:f>IF(D363="","",HYPERLINK("https://wa.me/"&amp;REGEXREPLACE(D363,"[^\d]","")&amp;"?text="&amp;ENCODEURL(K363),"واتساب 1"))</x:f>
      </x:c>
      <x:c r="M363" s="12" t="str">
        <x:f>IF(A363="","","مرحبًا "&amp;C363&amp;CHAR(10)&amp;CHAR(10)&amp;"بناءً على نتيجة تقييم عيادة "&amp;B363&amp;"، فإن الترشيح الأقوى لكم الآن هو: "&amp;G363&amp;"."&amp;CHAR(10)&amp;"هذا الخيار يساعدكم في معالجة أكبر فجوة حالية بشكل عملي ومباشر."&amp;IF(J363&lt;&gt;"",CHAR(10)&amp;CHAR(10)&amp;"رابط التقرير: "&amp;J363,"")&amp;CHAR(10)&amp;CHAR(10)&amp;"إذا رغبت، يمكننا توضيح لماذا هذا الكورس هو الأنسب لكم الآن.")</x:f>
      </x:c>
      <x:c r="N363" s="12" t="str">
        <x:f>IF(D363="","",HYPERLINK("https://wa.me/"&amp;REGEXREPLACE(D363,"[^\d]","")&amp;"?text="&amp;ENCODEURL(M363),"واتساب 2"))</x:f>
      </x:c>
      <x:c r="O363" s="12" t="str">
        <x:f>IF(A363="","","مرحبًا "&amp;C363&amp;CHAR(10)&amp;CHAR(10)&amp;"إذا كانت التحديات لديكم تحتاج حلًا أشمل، فالبرنامج الكامل المناسب لكم هو: "&amp;H363&amp;"."&amp;IF(I363&lt;&gt;"",CHAR(10)&amp;"كما يمكنكم أيضًا حجز: "&amp;I363&amp;".","")&amp;IF(J363&lt;&gt;"",CHAR(10)&amp;CHAR(10)&amp;"رابط التقرير: "&amp;J363,"")&amp;CHAR(10)&amp;CHAR(10)&amp;"يسعدنا مساعدتكم في اختيار المسار الأنسب حسب وضع العيادة الحالي.")</x:f>
      </x:c>
      <x:c r="P363" s="12" t="str">
        <x:f>IF(D363="","",HYPERLINK("https://wa.me/"&amp;REGEXREPLACE(D363,"[^\d]","")&amp;"?text="&amp;ENCODEURL(O363),"واتساب 3"))</x:f>
      </x:c>
    </x:row>
    <x:row r="364" ht="15" hidden="0" customHeight="1">
      <x:c r="A364" s="12" t="str">
        <x:f>IF(Leads!A364="","",Leads!A364)</x:f>
      </x:c>
      <x:c r="B364" s="12" t="str">
        <x:f>IF(Leads!F364="","",Leads!F364)</x:f>
      </x:c>
      <x:c r="C364" s="12" t="str">
        <x:f>IF(Leads!G364="","",Leads!G364)</x:f>
      </x:c>
      <x:c r="D364" s="12" t="str">
        <x:f>IF(Leads!O364="","",Leads!O364)</x:f>
      </x:c>
      <x:c r="E364" s="12" t="str">
        <x:f>IF(Leads!AV364="","",Leads!AV364)</x:f>
      </x:c>
      <x:c r="F364" s="12" t="str">
        <x:f>IF(Leads!AX364="","",Leads!AX364)</x:f>
      </x:c>
      <x:c r="G364" s="12" t="str">
        <x:f>IF(Leads!BC364="","",Leads!BC364)</x:f>
      </x:c>
      <x:c r="H364" s="12" t="str">
        <x:f>IF(Leads!BE364="","",Leads!BE364)</x:f>
      </x:c>
      <x:c r="I364" s="12" t="str">
        <x:f>IF(Leads!BG364="","",Leads!BG364)</x:f>
      </x:c>
      <x:c r="J364" s="12" t="str">
        <x:f>IF(Leads!BH364="","",Leads!BH364)</x:f>
      </x:c>
      <x:c r="K364" s="12" t="str">
        <x:f>IF(A364="","","مرحبًا "&amp;C364&amp;CHAR(10)&amp;CHAR(10)&amp;"شكرًا لإتمام تقييم DBD الخاص بعيادة "&amp;B364&amp;"."&amp;CHAR(10)&amp;"نتيجتكم الحالية: "&amp;E364&amp;"%."&amp;CHAR(10)&amp;"أولوية التحسين الأولى: "&amp;F364&amp;"."&amp;IF(J364&lt;&gt;"",CHAR(10)&amp;CHAR(10)&amp;"رابط التقرير: "&amp;J364,"")&amp;CHAR(10)&amp;CHAR(10)&amp;"إذا أحببت، يمكننا مساعدتك في فهم التقرير وتحديد أفضل خطوة تالية لعيادتكم.")</x:f>
      </x:c>
      <x:c r="L364" s="12" t="str">
        <x:f>IF(D364="","",HYPERLINK("https://wa.me/"&amp;REGEXREPLACE(D364,"[^\d]","")&amp;"?text="&amp;ENCODEURL(K364),"واتساب 1"))</x:f>
      </x:c>
      <x:c r="M364" s="12" t="str">
        <x:f>IF(A364="","","مرحبًا "&amp;C364&amp;CHAR(10)&amp;CHAR(10)&amp;"بناءً على نتيجة تقييم عيادة "&amp;B364&amp;"، فإن الترشيح الأقوى لكم الآن هو: "&amp;G364&amp;"."&amp;CHAR(10)&amp;"هذا الخيار يساعدكم في معالجة أكبر فجوة حالية بشكل عملي ومباشر."&amp;IF(J364&lt;&gt;"",CHAR(10)&amp;CHAR(10)&amp;"رابط التقرير: "&amp;J364,"")&amp;CHAR(10)&amp;CHAR(10)&amp;"إذا رغبت، يمكننا توضيح لماذا هذا الكورس هو الأنسب لكم الآن.")</x:f>
      </x:c>
      <x:c r="N364" s="12" t="str">
        <x:f>IF(D364="","",HYPERLINK("https://wa.me/"&amp;REGEXREPLACE(D364,"[^\d]","")&amp;"?text="&amp;ENCODEURL(M364),"واتساب 2"))</x:f>
      </x:c>
      <x:c r="O364" s="12" t="str">
        <x:f>IF(A364="","","مرحبًا "&amp;C364&amp;CHAR(10)&amp;CHAR(10)&amp;"إذا كانت التحديات لديكم تحتاج حلًا أشمل، فالبرنامج الكامل المناسب لكم هو: "&amp;H364&amp;"."&amp;IF(I364&lt;&gt;"",CHAR(10)&amp;"كما يمكنكم أيضًا حجز: "&amp;I364&amp;".","")&amp;IF(J364&lt;&gt;"",CHAR(10)&amp;CHAR(10)&amp;"رابط التقرير: "&amp;J364,"")&amp;CHAR(10)&amp;CHAR(10)&amp;"يسعدنا مساعدتكم في اختيار المسار الأنسب حسب وضع العيادة الحالي.")</x:f>
      </x:c>
      <x:c r="P364" s="12" t="str">
        <x:f>IF(D364="","",HYPERLINK("https://wa.me/"&amp;REGEXREPLACE(D364,"[^\d]","")&amp;"?text="&amp;ENCODEURL(O364),"واتساب 3"))</x:f>
      </x:c>
    </x:row>
    <x:row r="365" ht="15" hidden="0" customHeight="1">
      <x:c r="A365" s="12" t="str">
        <x:f>IF(Leads!A365="","",Leads!A365)</x:f>
      </x:c>
      <x:c r="B365" s="12" t="str">
        <x:f>IF(Leads!F365="","",Leads!F365)</x:f>
      </x:c>
      <x:c r="C365" s="12" t="str">
        <x:f>IF(Leads!G365="","",Leads!G365)</x:f>
      </x:c>
      <x:c r="D365" s="12" t="str">
        <x:f>IF(Leads!O365="","",Leads!O365)</x:f>
      </x:c>
      <x:c r="E365" s="12" t="str">
        <x:f>IF(Leads!AV365="","",Leads!AV365)</x:f>
      </x:c>
      <x:c r="F365" s="12" t="str">
        <x:f>IF(Leads!AX365="","",Leads!AX365)</x:f>
      </x:c>
      <x:c r="G365" s="12" t="str">
        <x:f>IF(Leads!BC365="","",Leads!BC365)</x:f>
      </x:c>
      <x:c r="H365" s="12" t="str">
        <x:f>IF(Leads!BE365="","",Leads!BE365)</x:f>
      </x:c>
      <x:c r="I365" s="12" t="str">
        <x:f>IF(Leads!BG365="","",Leads!BG365)</x:f>
      </x:c>
      <x:c r="J365" s="12" t="str">
        <x:f>IF(Leads!BH365="","",Leads!BH365)</x:f>
      </x:c>
      <x:c r="K365" s="12" t="str">
        <x:f>IF(A365="","","مرحبًا "&amp;C365&amp;CHAR(10)&amp;CHAR(10)&amp;"شكرًا لإتمام تقييم DBD الخاص بعيادة "&amp;B365&amp;"."&amp;CHAR(10)&amp;"نتيجتكم الحالية: "&amp;E365&amp;"%."&amp;CHAR(10)&amp;"أولوية التحسين الأولى: "&amp;F365&amp;"."&amp;IF(J365&lt;&gt;"",CHAR(10)&amp;CHAR(10)&amp;"رابط التقرير: "&amp;J365,"")&amp;CHAR(10)&amp;CHAR(10)&amp;"إذا أحببت، يمكننا مساعدتك في فهم التقرير وتحديد أفضل خطوة تالية لعيادتكم.")</x:f>
      </x:c>
      <x:c r="L365" s="12" t="str">
        <x:f>IF(D365="","",HYPERLINK("https://wa.me/"&amp;REGEXREPLACE(D365,"[^\d]","")&amp;"?text="&amp;ENCODEURL(K365),"واتساب 1"))</x:f>
      </x:c>
      <x:c r="M365" s="12" t="str">
        <x:f>IF(A365="","","مرحبًا "&amp;C365&amp;CHAR(10)&amp;CHAR(10)&amp;"بناءً على نتيجة تقييم عيادة "&amp;B365&amp;"، فإن الترشيح الأقوى لكم الآن هو: "&amp;G365&amp;"."&amp;CHAR(10)&amp;"هذا الخيار يساعدكم في معالجة أكبر فجوة حالية بشكل عملي ومباشر."&amp;IF(J365&lt;&gt;"",CHAR(10)&amp;CHAR(10)&amp;"رابط التقرير: "&amp;J365,"")&amp;CHAR(10)&amp;CHAR(10)&amp;"إذا رغبت، يمكننا توضيح لماذا هذا الكورس هو الأنسب لكم الآن.")</x:f>
      </x:c>
      <x:c r="N365" s="12" t="str">
        <x:f>IF(D365="","",HYPERLINK("https://wa.me/"&amp;REGEXREPLACE(D365,"[^\d]","")&amp;"?text="&amp;ENCODEURL(M365),"واتساب 2"))</x:f>
      </x:c>
      <x:c r="O365" s="12" t="str">
        <x:f>IF(A365="","","مرحبًا "&amp;C365&amp;CHAR(10)&amp;CHAR(10)&amp;"إذا كانت التحديات لديكم تحتاج حلًا أشمل، فالبرنامج الكامل المناسب لكم هو: "&amp;H365&amp;"."&amp;IF(I365&lt;&gt;"",CHAR(10)&amp;"كما يمكنكم أيضًا حجز: "&amp;I365&amp;".","")&amp;IF(J365&lt;&gt;"",CHAR(10)&amp;CHAR(10)&amp;"رابط التقرير: "&amp;J365,"")&amp;CHAR(10)&amp;CHAR(10)&amp;"يسعدنا مساعدتكم في اختيار المسار الأنسب حسب وضع العيادة الحالي.")</x:f>
      </x:c>
      <x:c r="P365" s="12" t="str">
        <x:f>IF(D365="","",HYPERLINK("https://wa.me/"&amp;REGEXREPLACE(D365,"[^\d]","")&amp;"?text="&amp;ENCODEURL(O365),"واتساب 3"))</x:f>
      </x:c>
    </x:row>
    <x:row r="366" ht="15" hidden="0" customHeight="1">
      <x:c r="A366" s="12" t="str">
        <x:f>IF(Leads!A366="","",Leads!A366)</x:f>
      </x:c>
      <x:c r="B366" s="12" t="str">
        <x:f>IF(Leads!F366="","",Leads!F366)</x:f>
      </x:c>
      <x:c r="C366" s="12" t="str">
        <x:f>IF(Leads!G366="","",Leads!G366)</x:f>
      </x:c>
      <x:c r="D366" s="12" t="str">
        <x:f>IF(Leads!O366="","",Leads!O366)</x:f>
      </x:c>
      <x:c r="E366" s="12" t="str">
        <x:f>IF(Leads!AV366="","",Leads!AV366)</x:f>
      </x:c>
      <x:c r="F366" s="12" t="str">
        <x:f>IF(Leads!AX366="","",Leads!AX366)</x:f>
      </x:c>
      <x:c r="G366" s="12" t="str">
        <x:f>IF(Leads!BC366="","",Leads!BC366)</x:f>
      </x:c>
      <x:c r="H366" s="12" t="str">
        <x:f>IF(Leads!BE366="","",Leads!BE366)</x:f>
      </x:c>
      <x:c r="I366" s="12" t="str">
        <x:f>IF(Leads!BG366="","",Leads!BG366)</x:f>
      </x:c>
      <x:c r="J366" s="12" t="str">
        <x:f>IF(Leads!BH366="","",Leads!BH366)</x:f>
      </x:c>
      <x:c r="K366" s="12" t="str">
        <x:f>IF(A366="","","مرحبًا "&amp;C366&amp;CHAR(10)&amp;CHAR(10)&amp;"شكرًا لإتمام تقييم DBD الخاص بعيادة "&amp;B366&amp;"."&amp;CHAR(10)&amp;"نتيجتكم الحالية: "&amp;E366&amp;"%."&amp;CHAR(10)&amp;"أولوية التحسين الأولى: "&amp;F366&amp;"."&amp;IF(J366&lt;&gt;"",CHAR(10)&amp;CHAR(10)&amp;"رابط التقرير: "&amp;J366,"")&amp;CHAR(10)&amp;CHAR(10)&amp;"إذا أحببت، يمكننا مساعدتك في فهم التقرير وتحديد أفضل خطوة تالية لعيادتكم.")</x:f>
      </x:c>
      <x:c r="L366" s="12" t="str">
        <x:f>IF(D366="","",HYPERLINK("https://wa.me/"&amp;REGEXREPLACE(D366,"[^\d]","")&amp;"?text="&amp;ENCODEURL(K366),"واتساب 1"))</x:f>
      </x:c>
      <x:c r="M366" s="12" t="str">
        <x:f>IF(A366="","","مرحبًا "&amp;C366&amp;CHAR(10)&amp;CHAR(10)&amp;"بناءً على نتيجة تقييم عيادة "&amp;B366&amp;"، فإن الترشيح الأقوى لكم الآن هو: "&amp;G366&amp;"."&amp;CHAR(10)&amp;"هذا الخيار يساعدكم في معالجة أكبر فجوة حالية بشكل عملي ومباشر."&amp;IF(J366&lt;&gt;"",CHAR(10)&amp;CHAR(10)&amp;"رابط التقرير: "&amp;J366,"")&amp;CHAR(10)&amp;CHAR(10)&amp;"إذا رغبت، يمكننا توضيح لماذا هذا الكورس هو الأنسب لكم الآن.")</x:f>
      </x:c>
      <x:c r="N366" s="12" t="str">
        <x:f>IF(D366="","",HYPERLINK("https://wa.me/"&amp;REGEXREPLACE(D366,"[^\d]","")&amp;"?text="&amp;ENCODEURL(M366),"واتساب 2"))</x:f>
      </x:c>
      <x:c r="O366" s="12" t="str">
        <x:f>IF(A366="","","مرحبًا "&amp;C366&amp;CHAR(10)&amp;CHAR(10)&amp;"إذا كانت التحديات لديكم تحتاج حلًا أشمل، فالبرنامج الكامل المناسب لكم هو: "&amp;H366&amp;"."&amp;IF(I366&lt;&gt;"",CHAR(10)&amp;"كما يمكنكم أيضًا حجز: "&amp;I366&amp;".","")&amp;IF(J366&lt;&gt;"",CHAR(10)&amp;CHAR(10)&amp;"رابط التقرير: "&amp;J366,"")&amp;CHAR(10)&amp;CHAR(10)&amp;"يسعدنا مساعدتكم في اختيار المسار الأنسب حسب وضع العيادة الحالي.")</x:f>
      </x:c>
      <x:c r="P366" s="12" t="str">
        <x:f>IF(D366="","",HYPERLINK("https://wa.me/"&amp;REGEXREPLACE(D366,"[^\d]","")&amp;"?text="&amp;ENCODEURL(O366),"واتساب 3"))</x:f>
      </x:c>
    </x:row>
    <x:row r="367" ht="15" hidden="0" customHeight="1">
      <x:c r="A367" s="12" t="str">
        <x:f>IF(Leads!A367="","",Leads!A367)</x:f>
      </x:c>
      <x:c r="B367" s="12" t="str">
        <x:f>IF(Leads!F367="","",Leads!F367)</x:f>
      </x:c>
      <x:c r="C367" s="12" t="str">
        <x:f>IF(Leads!G367="","",Leads!G367)</x:f>
      </x:c>
      <x:c r="D367" s="12" t="str">
        <x:f>IF(Leads!O367="","",Leads!O367)</x:f>
      </x:c>
      <x:c r="E367" s="12" t="str">
        <x:f>IF(Leads!AV367="","",Leads!AV367)</x:f>
      </x:c>
      <x:c r="F367" s="12" t="str">
        <x:f>IF(Leads!AX367="","",Leads!AX367)</x:f>
      </x:c>
      <x:c r="G367" s="12" t="str">
        <x:f>IF(Leads!BC367="","",Leads!BC367)</x:f>
      </x:c>
      <x:c r="H367" s="12" t="str">
        <x:f>IF(Leads!BE367="","",Leads!BE367)</x:f>
      </x:c>
      <x:c r="I367" s="12" t="str">
        <x:f>IF(Leads!BG367="","",Leads!BG367)</x:f>
      </x:c>
      <x:c r="J367" s="12" t="str">
        <x:f>IF(Leads!BH367="","",Leads!BH367)</x:f>
      </x:c>
      <x:c r="K367" s="12" t="str">
        <x:f>IF(A367="","","مرحبًا "&amp;C367&amp;CHAR(10)&amp;CHAR(10)&amp;"شكرًا لإتمام تقييم DBD الخاص بعيادة "&amp;B367&amp;"."&amp;CHAR(10)&amp;"نتيجتكم الحالية: "&amp;E367&amp;"%."&amp;CHAR(10)&amp;"أولوية التحسين الأولى: "&amp;F367&amp;"."&amp;IF(J367&lt;&gt;"",CHAR(10)&amp;CHAR(10)&amp;"رابط التقرير: "&amp;J367,"")&amp;CHAR(10)&amp;CHAR(10)&amp;"إذا أحببت، يمكننا مساعدتك في فهم التقرير وتحديد أفضل خطوة تالية لعيادتكم.")</x:f>
      </x:c>
      <x:c r="L367" s="12" t="str">
        <x:f>IF(D367="","",HYPERLINK("https://wa.me/"&amp;REGEXREPLACE(D367,"[^\d]","")&amp;"?text="&amp;ENCODEURL(K367),"واتساب 1"))</x:f>
      </x:c>
      <x:c r="M367" s="12" t="str">
        <x:f>IF(A367="","","مرحبًا "&amp;C367&amp;CHAR(10)&amp;CHAR(10)&amp;"بناءً على نتيجة تقييم عيادة "&amp;B367&amp;"، فإن الترشيح الأقوى لكم الآن هو: "&amp;G367&amp;"."&amp;CHAR(10)&amp;"هذا الخيار يساعدكم في معالجة أكبر فجوة حالية بشكل عملي ومباشر."&amp;IF(J367&lt;&gt;"",CHAR(10)&amp;CHAR(10)&amp;"رابط التقرير: "&amp;J367,"")&amp;CHAR(10)&amp;CHAR(10)&amp;"إذا رغبت، يمكننا توضيح لماذا هذا الكورس هو الأنسب لكم الآن.")</x:f>
      </x:c>
      <x:c r="N367" s="12" t="str">
        <x:f>IF(D367="","",HYPERLINK("https://wa.me/"&amp;REGEXREPLACE(D367,"[^\d]","")&amp;"?text="&amp;ENCODEURL(M367),"واتساب 2"))</x:f>
      </x:c>
      <x:c r="O367" s="12" t="str">
        <x:f>IF(A367="","","مرحبًا "&amp;C367&amp;CHAR(10)&amp;CHAR(10)&amp;"إذا كانت التحديات لديكم تحتاج حلًا أشمل، فالبرنامج الكامل المناسب لكم هو: "&amp;H367&amp;"."&amp;IF(I367&lt;&gt;"",CHAR(10)&amp;"كما يمكنكم أيضًا حجز: "&amp;I367&amp;".","")&amp;IF(J367&lt;&gt;"",CHAR(10)&amp;CHAR(10)&amp;"رابط التقرير: "&amp;J367,"")&amp;CHAR(10)&amp;CHAR(10)&amp;"يسعدنا مساعدتكم في اختيار المسار الأنسب حسب وضع العيادة الحالي.")</x:f>
      </x:c>
      <x:c r="P367" s="12" t="str">
        <x:f>IF(D367="","",HYPERLINK("https://wa.me/"&amp;REGEXREPLACE(D367,"[^\d]","")&amp;"?text="&amp;ENCODEURL(O367),"واتساب 3"))</x:f>
      </x:c>
    </x:row>
    <x:row r="368" ht="15" hidden="0" customHeight="1">
      <x:c r="A368" s="12" t="str">
        <x:f>IF(Leads!A368="","",Leads!A368)</x:f>
      </x:c>
      <x:c r="B368" s="12" t="str">
        <x:f>IF(Leads!F368="","",Leads!F368)</x:f>
      </x:c>
      <x:c r="C368" s="12" t="str">
        <x:f>IF(Leads!G368="","",Leads!G368)</x:f>
      </x:c>
      <x:c r="D368" s="12" t="str">
        <x:f>IF(Leads!O368="","",Leads!O368)</x:f>
      </x:c>
      <x:c r="E368" s="12" t="str">
        <x:f>IF(Leads!AV368="","",Leads!AV368)</x:f>
      </x:c>
      <x:c r="F368" s="12" t="str">
        <x:f>IF(Leads!AX368="","",Leads!AX368)</x:f>
      </x:c>
      <x:c r="G368" s="12" t="str">
        <x:f>IF(Leads!BC368="","",Leads!BC368)</x:f>
      </x:c>
      <x:c r="H368" s="12" t="str">
        <x:f>IF(Leads!BE368="","",Leads!BE368)</x:f>
      </x:c>
      <x:c r="I368" s="12" t="str">
        <x:f>IF(Leads!BG368="","",Leads!BG368)</x:f>
      </x:c>
      <x:c r="J368" s="12" t="str">
        <x:f>IF(Leads!BH368="","",Leads!BH368)</x:f>
      </x:c>
      <x:c r="K368" s="12" t="str">
        <x:f>IF(A368="","","مرحبًا "&amp;C368&amp;CHAR(10)&amp;CHAR(10)&amp;"شكرًا لإتمام تقييم DBD الخاص بعيادة "&amp;B368&amp;"."&amp;CHAR(10)&amp;"نتيجتكم الحالية: "&amp;E368&amp;"%."&amp;CHAR(10)&amp;"أولوية التحسين الأولى: "&amp;F368&amp;"."&amp;IF(J368&lt;&gt;"",CHAR(10)&amp;CHAR(10)&amp;"رابط التقرير: "&amp;J368,"")&amp;CHAR(10)&amp;CHAR(10)&amp;"إذا أحببت، يمكننا مساعدتك في فهم التقرير وتحديد أفضل خطوة تالية لعيادتكم.")</x:f>
      </x:c>
      <x:c r="L368" s="12" t="str">
        <x:f>IF(D368="","",HYPERLINK("https://wa.me/"&amp;REGEXREPLACE(D368,"[^\d]","")&amp;"?text="&amp;ENCODEURL(K368),"واتساب 1"))</x:f>
      </x:c>
      <x:c r="M368" s="12" t="str">
        <x:f>IF(A368="","","مرحبًا "&amp;C368&amp;CHAR(10)&amp;CHAR(10)&amp;"بناءً على نتيجة تقييم عيادة "&amp;B368&amp;"، فإن الترشيح الأقوى لكم الآن هو: "&amp;G368&amp;"."&amp;CHAR(10)&amp;"هذا الخيار يساعدكم في معالجة أكبر فجوة حالية بشكل عملي ومباشر."&amp;IF(J368&lt;&gt;"",CHAR(10)&amp;CHAR(10)&amp;"رابط التقرير: "&amp;J368,"")&amp;CHAR(10)&amp;CHAR(10)&amp;"إذا رغبت، يمكننا توضيح لماذا هذا الكورس هو الأنسب لكم الآن.")</x:f>
      </x:c>
      <x:c r="N368" s="12" t="str">
        <x:f>IF(D368="","",HYPERLINK("https://wa.me/"&amp;REGEXREPLACE(D368,"[^\d]","")&amp;"?text="&amp;ENCODEURL(M368),"واتساب 2"))</x:f>
      </x:c>
      <x:c r="O368" s="12" t="str">
        <x:f>IF(A368="","","مرحبًا "&amp;C368&amp;CHAR(10)&amp;CHAR(10)&amp;"إذا كانت التحديات لديكم تحتاج حلًا أشمل، فالبرنامج الكامل المناسب لكم هو: "&amp;H368&amp;"."&amp;IF(I368&lt;&gt;"",CHAR(10)&amp;"كما يمكنكم أيضًا حجز: "&amp;I368&amp;".","")&amp;IF(J368&lt;&gt;"",CHAR(10)&amp;CHAR(10)&amp;"رابط التقرير: "&amp;J368,"")&amp;CHAR(10)&amp;CHAR(10)&amp;"يسعدنا مساعدتكم في اختيار المسار الأنسب حسب وضع العيادة الحالي.")</x:f>
      </x:c>
      <x:c r="P368" s="12" t="str">
        <x:f>IF(D368="","",HYPERLINK("https://wa.me/"&amp;REGEXREPLACE(D368,"[^\d]","")&amp;"?text="&amp;ENCODEURL(O368),"واتساب 3"))</x:f>
      </x:c>
    </x:row>
    <x:row r="369" ht="15" hidden="0" customHeight="1">
      <x:c r="A369" s="12" t="str">
        <x:f>IF(Leads!A369="","",Leads!A369)</x:f>
      </x:c>
      <x:c r="B369" s="12" t="str">
        <x:f>IF(Leads!F369="","",Leads!F369)</x:f>
      </x:c>
      <x:c r="C369" s="12" t="str">
        <x:f>IF(Leads!G369="","",Leads!G369)</x:f>
      </x:c>
      <x:c r="D369" s="12" t="str">
        <x:f>IF(Leads!O369="","",Leads!O369)</x:f>
      </x:c>
      <x:c r="E369" s="12" t="str">
        <x:f>IF(Leads!AV369="","",Leads!AV369)</x:f>
      </x:c>
      <x:c r="F369" s="12" t="str">
        <x:f>IF(Leads!AX369="","",Leads!AX369)</x:f>
      </x:c>
      <x:c r="G369" s="12" t="str">
        <x:f>IF(Leads!BC369="","",Leads!BC369)</x:f>
      </x:c>
      <x:c r="H369" s="12" t="str">
        <x:f>IF(Leads!BE369="","",Leads!BE369)</x:f>
      </x:c>
      <x:c r="I369" s="12" t="str">
        <x:f>IF(Leads!BG369="","",Leads!BG369)</x:f>
      </x:c>
      <x:c r="J369" s="12" t="str">
        <x:f>IF(Leads!BH369="","",Leads!BH369)</x:f>
      </x:c>
      <x:c r="K369" s="12" t="str">
        <x:f>IF(A369="","","مرحبًا "&amp;C369&amp;CHAR(10)&amp;CHAR(10)&amp;"شكرًا لإتمام تقييم DBD الخاص بعيادة "&amp;B369&amp;"."&amp;CHAR(10)&amp;"نتيجتكم الحالية: "&amp;E369&amp;"%."&amp;CHAR(10)&amp;"أولوية التحسين الأولى: "&amp;F369&amp;"."&amp;IF(J369&lt;&gt;"",CHAR(10)&amp;CHAR(10)&amp;"رابط التقرير: "&amp;J369,"")&amp;CHAR(10)&amp;CHAR(10)&amp;"إذا أحببت، يمكننا مساعدتك في فهم التقرير وتحديد أفضل خطوة تالية لعيادتكم.")</x:f>
      </x:c>
      <x:c r="L369" s="12" t="str">
        <x:f>IF(D369="","",HYPERLINK("https://wa.me/"&amp;REGEXREPLACE(D369,"[^\d]","")&amp;"?text="&amp;ENCODEURL(K369),"واتساب 1"))</x:f>
      </x:c>
      <x:c r="M369" s="12" t="str">
        <x:f>IF(A369="","","مرحبًا "&amp;C369&amp;CHAR(10)&amp;CHAR(10)&amp;"بناءً على نتيجة تقييم عيادة "&amp;B369&amp;"، فإن الترشيح الأقوى لكم الآن هو: "&amp;G369&amp;"."&amp;CHAR(10)&amp;"هذا الخيار يساعدكم في معالجة أكبر فجوة حالية بشكل عملي ومباشر."&amp;IF(J369&lt;&gt;"",CHAR(10)&amp;CHAR(10)&amp;"رابط التقرير: "&amp;J369,"")&amp;CHAR(10)&amp;CHAR(10)&amp;"إذا رغبت، يمكننا توضيح لماذا هذا الكورس هو الأنسب لكم الآن.")</x:f>
      </x:c>
      <x:c r="N369" s="12" t="str">
        <x:f>IF(D369="","",HYPERLINK("https://wa.me/"&amp;REGEXREPLACE(D369,"[^\d]","")&amp;"?text="&amp;ENCODEURL(M369),"واتساب 2"))</x:f>
      </x:c>
      <x:c r="O369" s="12" t="str">
        <x:f>IF(A369="","","مرحبًا "&amp;C369&amp;CHAR(10)&amp;CHAR(10)&amp;"إذا كانت التحديات لديكم تحتاج حلًا أشمل، فالبرنامج الكامل المناسب لكم هو: "&amp;H369&amp;"."&amp;IF(I369&lt;&gt;"",CHAR(10)&amp;"كما يمكنكم أيضًا حجز: "&amp;I369&amp;".","")&amp;IF(J369&lt;&gt;"",CHAR(10)&amp;CHAR(10)&amp;"رابط التقرير: "&amp;J369,"")&amp;CHAR(10)&amp;CHAR(10)&amp;"يسعدنا مساعدتكم في اختيار المسار الأنسب حسب وضع العيادة الحالي.")</x:f>
      </x:c>
      <x:c r="P369" s="12" t="str">
        <x:f>IF(D369="","",HYPERLINK("https://wa.me/"&amp;REGEXREPLACE(D369,"[^\d]","")&amp;"?text="&amp;ENCODEURL(O369),"واتساب 3"))</x:f>
      </x:c>
    </x:row>
    <x:row r="370" ht="15" hidden="0" customHeight="1">
      <x:c r="A370" s="12" t="str">
        <x:f>IF(Leads!A370="","",Leads!A370)</x:f>
      </x:c>
      <x:c r="B370" s="12" t="str">
        <x:f>IF(Leads!F370="","",Leads!F370)</x:f>
      </x:c>
      <x:c r="C370" s="12" t="str">
        <x:f>IF(Leads!G370="","",Leads!G370)</x:f>
      </x:c>
      <x:c r="D370" s="12" t="str">
        <x:f>IF(Leads!O370="","",Leads!O370)</x:f>
      </x:c>
      <x:c r="E370" s="12" t="str">
        <x:f>IF(Leads!AV370="","",Leads!AV370)</x:f>
      </x:c>
      <x:c r="F370" s="12" t="str">
        <x:f>IF(Leads!AX370="","",Leads!AX370)</x:f>
      </x:c>
      <x:c r="G370" s="12" t="str">
        <x:f>IF(Leads!BC370="","",Leads!BC370)</x:f>
      </x:c>
      <x:c r="H370" s="12" t="str">
        <x:f>IF(Leads!BE370="","",Leads!BE370)</x:f>
      </x:c>
      <x:c r="I370" s="12" t="str">
        <x:f>IF(Leads!BG370="","",Leads!BG370)</x:f>
      </x:c>
      <x:c r="J370" s="12" t="str">
        <x:f>IF(Leads!BH370="","",Leads!BH370)</x:f>
      </x:c>
      <x:c r="K370" s="12" t="str">
        <x:f>IF(A370="","","مرحبًا "&amp;C370&amp;CHAR(10)&amp;CHAR(10)&amp;"شكرًا لإتمام تقييم DBD الخاص بعيادة "&amp;B370&amp;"."&amp;CHAR(10)&amp;"نتيجتكم الحالية: "&amp;E370&amp;"%."&amp;CHAR(10)&amp;"أولوية التحسين الأولى: "&amp;F370&amp;"."&amp;IF(J370&lt;&gt;"",CHAR(10)&amp;CHAR(10)&amp;"رابط التقرير: "&amp;J370,"")&amp;CHAR(10)&amp;CHAR(10)&amp;"إذا أحببت، يمكننا مساعدتك في فهم التقرير وتحديد أفضل خطوة تالية لعيادتكم.")</x:f>
      </x:c>
      <x:c r="L370" s="12" t="str">
        <x:f>IF(D370="","",HYPERLINK("https://wa.me/"&amp;REGEXREPLACE(D370,"[^\d]","")&amp;"?text="&amp;ENCODEURL(K370),"واتساب 1"))</x:f>
      </x:c>
      <x:c r="M370" s="12" t="str">
        <x:f>IF(A370="","","مرحبًا "&amp;C370&amp;CHAR(10)&amp;CHAR(10)&amp;"بناءً على نتيجة تقييم عيادة "&amp;B370&amp;"، فإن الترشيح الأقوى لكم الآن هو: "&amp;G370&amp;"."&amp;CHAR(10)&amp;"هذا الخيار يساعدكم في معالجة أكبر فجوة حالية بشكل عملي ومباشر."&amp;IF(J370&lt;&gt;"",CHAR(10)&amp;CHAR(10)&amp;"رابط التقرير: "&amp;J370,"")&amp;CHAR(10)&amp;CHAR(10)&amp;"إذا رغبت، يمكننا توضيح لماذا هذا الكورس هو الأنسب لكم الآن.")</x:f>
      </x:c>
      <x:c r="N370" s="12" t="str">
        <x:f>IF(D370="","",HYPERLINK("https://wa.me/"&amp;REGEXREPLACE(D370,"[^\d]","")&amp;"?text="&amp;ENCODEURL(M370),"واتساب 2"))</x:f>
      </x:c>
      <x:c r="O370" s="12" t="str">
        <x:f>IF(A370="","","مرحبًا "&amp;C370&amp;CHAR(10)&amp;CHAR(10)&amp;"إذا كانت التحديات لديكم تحتاج حلًا أشمل، فالبرنامج الكامل المناسب لكم هو: "&amp;H370&amp;"."&amp;IF(I370&lt;&gt;"",CHAR(10)&amp;"كما يمكنكم أيضًا حجز: "&amp;I370&amp;".","")&amp;IF(J370&lt;&gt;"",CHAR(10)&amp;CHAR(10)&amp;"رابط التقرير: "&amp;J370,"")&amp;CHAR(10)&amp;CHAR(10)&amp;"يسعدنا مساعدتكم في اختيار المسار الأنسب حسب وضع العيادة الحالي.")</x:f>
      </x:c>
      <x:c r="P370" s="12" t="str">
        <x:f>IF(D370="","",HYPERLINK("https://wa.me/"&amp;REGEXREPLACE(D370,"[^\d]","")&amp;"?text="&amp;ENCODEURL(O370),"واتساب 3"))</x:f>
      </x:c>
    </x:row>
    <x:row r="371" ht="15" hidden="0" customHeight="1">
      <x:c r="A371" s="12" t="str">
        <x:f>IF(Leads!A371="","",Leads!A371)</x:f>
      </x:c>
      <x:c r="B371" s="12" t="str">
        <x:f>IF(Leads!F371="","",Leads!F371)</x:f>
      </x:c>
      <x:c r="C371" s="12" t="str">
        <x:f>IF(Leads!G371="","",Leads!G371)</x:f>
      </x:c>
      <x:c r="D371" s="12" t="str">
        <x:f>IF(Leads!O371="","",Leads!O371)</x:f>
      </x:c>
      <x:c r="E371" s="12" t="str">
        <x:f>IF(Leads!AV371="","",Leads!AV371)</x:f>
      </x:c>
      <x:c r="F371" s="12" t="str">
        <x:f>IF(Leads!AX371="","",Leads!AX371)</x:f>
      </x:c>
      <x:c r="G371" s="12" t="str">
        <x:f>IF(Leads!BC371="","",Leads!BC371)</x:f>
      </x:c>
      <x:c r="H371" s="12" t="str">
        <x:f>IF(Leads!BE371="","",Leads!BE371)</x:f>
      </x:c>
      <x:c r="I371" s="12" t="str">
        <x:f>IF(Leads!BG371="","",Leads!BG371)</x:f>
      </x:c>
      <x:c r="J371" s="12" t="str">
        <x:f>IF(Leads!BH371="","",Leads!BH371)</x:f>
      </x:c>
      <x:c r="K371" s="12" t="str">
        <x:f>IF(A371="","","مرحبًا "&amp;C371&amp;CHAR(10)&amp;CHAR(10)&amp;"شكرًا لإتمام تقييم DBD الخاص بعيادة "&amp;B371&amp;"."&amp;CHAR(10)&amp;"نتيجتكم الحالية: "&amp;E371&amp;"%."&amp;CHAR(10)&amp;"أولوية التحسين الأولى: "&amp;F371&amp;"."&amp;IF(J371&lt;&gt;"",CHAR(10)&amp;CHAR(10)&amp;"رابط التقرير: "&amp;J371,"")&amp;CHAR(10)&amp;CHAR(10)&amp;"إذا أحببت، يمكننا مساعدتك في فهم التقرير وتحديد أفضل خطوة تالية لعيادتكم.")</x:f>
      </x:c>
      <x:c r="L371" s="12" t="str">
        <x:f>IF(D371="","",HYPERLINK("https://wa.me/"&amp;REGEXREPLACE(D371,"[^\d]","")&amp;"?text="&amp;ENCODEURL(K371),"واتساب 1"))</x:f>
      </x:c>
      <x:c r="M371" s="12" t="str">
        <x:f>IF(A371="","","مرحبًا "&amp;C371&amp;CHAR(10)&amp;CHAR(10)&amp;"بناءً على نتيجة تقييم عيادة "&amp;B371&amp;"، فإن الترشيح الأقوى لكم الآن هو: "&amp;G371&amp;"."&amp;CHAR(10)&amp;"هذا الخيار يساعدكم في معالجة أكبر فجوة حالية بشكل عملي ومباشر."&amp;IF(J371&lt;&gt;"",CHAR(10)&amp;CHAR(10)&amp;"رابط التقرير: "&amp;J371,"")&amp;CHAR(10)&amp;CHAR(10)&amp;"إذا رغبت، يمكننا توضيح لماذا هذا الكورس هو الأنسب لكم الآن.")</x:f>
      </x:c>
      <x:c r="N371" s="12" t="str">
        <x:f>IF(D371="","",HYPERLINK("https://wa.me/"&amp;REGEXREPLACE(D371,"[^\d]","")&amp;"?text="&amp;ENCODEURL(M371),"واتساب 2"))</x:f>
      </x:c>
      <x:c r="O371" s="12" t="str">
        <x:f>IF(A371="","","مرحبًا "&amp;C371&amp;CHAR(10)&amp;CHAR(10)&amp;"إذا كانت التحديات لديكم تحتاج حلًا أشمل، فالبرنامج الكامل المناسب لكم هو: "&amp;H371&amp;"."&amp;IF(I371&lt;&gt;"",CHAR(10)&amp;"كما يمكنكم أيضًا حجز: "&amp;I371&amp;".","")&amp;IF(J371&lt;&gt;"",CHAR(10)&amp;CHAR(10)&amp;"رابط التقرير: "&amp;J371,"")&amp;CHAR(10)&amp;CHAR(10)&amp;"يسعدنا مساعدتكم في اختيار المسار الأنسب حسب وضع العيادة الحالي.")</x:f>
      </x:c>
      <x:c r="P371" s="12" t="str">
        <x:f>IF(D371="","",HYPERLINK("https://wa.me/"&amp;REGEXREPLACE(D371,"[^\d]","")&amp;"?text="&amp;ENCODEURL(O371),"واتساب 3"))</x:f>
      </x:c>
    </x:row>
    <x:row r="372" ht="15" hidden="0" customHeight="1">
      <x:c r="A372" s="12" t="str">
        <x:f>IF(Leads!A372="","",Leads!A372)</x:f>
      </x:c>
      <x:c r="B372" s="12" t="str">
        <x:f>IF(Leads!F372="","",Leads!F372)</x:f>
      </x:c>
      <x:c r="C372" s="12" t="str">
        <x:f>IF(Leads!G372="","",Leads!G372)</x:f>
      </x:c>
      <x:c r="D372" s="12" t="str">
        <x:f>IF(Leads!O372="","",Leads!O372)</x:f>
      </x:c>
      <x:c r="E372" s="12" t="str">
        <x:f>IF(Leads!AV372="","",Leads!AV372)</x:f>
      </x:c>
      <x:c r="F372" s="12" t="str">
        <x:f>IF(Leads!AX372="","",Leads!AX372)</x:f>
      </x:c>
      <x:c r="G372" s="12" t="str">
        <x:f>IF(Leads!BC372="","",Leads!BC372)</x:f>
      </x:c>
      <x:c r="H372" s="12" t="str">
        <x:f>IF(Leads!BE372="","",Leads!BE372)</x:f>
      </x:c>
      <x:c r="I372" s="12" t="str">
        <x:f>IF(Leads!BG372="","",Leads!BG372)</x:f>
      </x:c>
      <x:c r="J372" s="12" t="str">
        <x:f>IF(Leads!BH372="","",Leads!BH372)</x:f>
      </x:c>
      <x:c r="K372" s="12" t="str">
        <x:f>IF(A372="","","مرحبًا "&amp;C372&amp;CHAR(10)&amp;CHAR(10)&amp;"شكرًا لإتمام تقييم DBD الخاص بعيادة "&amp;B372&amp;"."&amp;CHAR(10)&amp;"نتيجتكم الحالية: "&amp;E372&amp;"%."&amp;CHAR(10)&amp;"أولوية التحسين الأولى: "&amp;F372&amp;"."&amp;IF(J372&lt;&gt;"",CHAR(10)&amp;CHAR(10)&amp;"رابط التقرير: "&amp;J372,"")&amp;CHAR(10)&amp;CHAR(10)&amp;"إذا أحببت، يمكننا مساعدتك في فهم التقرير وتحديد أفضل خطوة تالية لعيادتكم.")</x:f>
      </x:c>
      <x:c r="L372" s="12" t="str">
        <x:f>IF(D372="","",HYPERLINK("https://wa.me/"&amp;REGEXREPLACE(D372,"[^\d]","")&amp;"?text="&amp;ENCODEURL(K372),"واتساب 1"))</x:f>
      </x:c>
      <x:c r="M372" s="12" t="str">
        <x:f>IF(A372="","","مرحبًا "&amp;C372&amp;CHAR(10)&amp;CHAR(10)&amp;"بناءً على نتيجة تقييم عيادة "&amp;B372&amp;"، فإن الترشيح الأقوى لكم الآن هو: "&amp;G372&amp;"."&amp;CHAR(10)&amp;"هذا الخيار يساعدكم في معالجة أكبر فجوة حالية بشكل عملي ومباشر."&amp;IF(J372&lt;&gt;"",CHAR(10)&amp;CHAR(10)&amp;"رابط التقرير: "&amp;J372,"")&amp;CHAR(10)&amp;CHAR(10)&amp;"إذا رغبت، يمكننا توضيح لماذا هذا الكورس هو الأنسب لكم الآن.")</x:f>
      </x:c>
      <x:c r="N372" s="12" t="str">
        <x:f>IF(D372="","",HYPERLINK("https://wa.me/"&amp;REGEXREPLACE(D372,"[^\d]","")&amp;"?text="&amp;ENCODEURL(M372),"واتساب 2"))</x:f>
      </x:c>
      <x:c r="O372" s="12" t="str">
        <x:f>IF(A372="","","مرحبًا "&amp;C372&amp;CHAR(10)&amp;CHAR(10)&amp;"إذا كانت التحديات لديكم تحتاج حلًا أشمل، فالبرنامج الكامل المناسب لكم هو: "&amp;H372&amp;"."&amp;IF(I372&lt;&gt;"",CHAR(10)&amp;"كما يمكنكم أيضًا حجز: "&amp;I372&amp;".","")&amp;IF(J372&lt;&gt;"",CHAR(10)&amp;CHAR(10)&amp;"رابط التقرير: "&amp;J372,"")&amp;CHAR(10)&amp;CHAR(10)&amp;"يسعدنا مساعدتكم في اختيار المسار الأنسب حسب وضع العيادة الحالي.")</x:f>
      </x:c>
      <x:c r="P372" s="12" t="str">
        <x:f>IF(D372="","",HYPERLINK("https://wa.me/"&amp;REGEXREPLACE(D372,"[^\d]","")&amp;"?text="&amp;ENCODEURL(O372),"واتساب 3"))</x:f>
      </x:c>
    </x:row>
    <x:row r="373" ht="15" hidden="0" customHeight="1">
      <x:c r="A373" s="12" t="str">
        <x:f>IF(Leads!A373="","",Leads!A373)</x:f>
      </x:c>
      <x:c r="B373" s="12" t="str">
        <x:f>IF(Leads!F373="","",Leads!F373)</x:f>
      </x:c>
      <x:c r="C373" s="12" t="str">
        <x:f>IF(Leads!G373="","",Leads!G373)</x:f>
      </x:c>
      <x:c r="D373" s="12" t="str">
        <x:f>IF(Leads!O373="","",Leads!O373)</x:f>
      </x:c>
      <x:c r="E373" s="12" t="str">
        <x:f>IF(Leads!AV373="","",Leads!AV373)</x:f>
      </x:c>
      <x:c r="F373" s="12" t="str">
        <x:f>IF(Leads!AX373="","",Leads!AX373)</x:f>
      </x:c>
      <x:c r="G373" s="12" t="str">
        <x:f>IF(Leads!BC373="","",Leads!BC373)</x:f>
      </x:c>
      <x:c r="H373" s="12" t="str">
        <x:f>IF(Leads!BE373="","",Leads!BE373)</x:f>
      </x:c>
      <x:c r="I373" s="12" t="str">
        <x:f>IF(Leads!BG373="","",Leads!BG373)</x:f>
      </x:c>
      <x:c r="J373" s="12" t="str">
        <x:f>IF(Leads!BH373="","",Leads!BH373)</x:f>
      </x:c>
      <x:c r="K373" s="12" t="str">
        <x:f>IF(A373="","","مرحبًا "&amp;C373&amp;CHAR(10)&amp;CHAR(10)&amp;"شكرًا لإتمام تقييم DBD الخاص بعيادة "&amp;B373&amp;"."&amp;CHAR(10)&amp;"نتيجتكم الحالية: "&amp;E373&amp;"%."&amp;CHAR(10)&amp;"أولوية التحسين الأولى: "&amp;F373&amp;"."&amp;IF(J373&lt;&gt;"",CHAR(10)&amp;CHAR(10)&amp;"رابط التقرير: "&amp;J373,"")&amp;CHAR(10)&amp;CHAR(10)&amp;"إذا أحببت، يمكننا مساعدتك في فهم التقرير وتحديد أفضل خطوة تالية لعيادتكم.")</x:f>
      </x:c>
      <x:c r="L373" s="12" t="str">
        <x:f>IF(D373="","",HYPERLINK("https://wa.me/"&amp;REGEXREPLACE(D373,"[^\d]","")&amp;"?text="&amp;ENCODEURL(K373),"واتساب 1"))</x:f>
      </x:c>
      <x:c r="M373" s="12" t="str">
        <x:f>IF(A373="","","مرحبًا "&amp;C373&amp;CHAR(10)&amp;CHAR(10)&amp;"بناءً على نتيجة تقييم عيادة "&amp;B373&amp;"، فإن الترشيح الأقوى لكم الآن هو: "&amp;G373&amp;"."&amp;CHAR(10)&amp;"هذا الخيار يساعدكم في معالجة أكبر فجوة حالية بشكل عملي ومباشر."&amp;IF(J373&lt;&gt;"",CHAR(10)&amp;CHAR(10)&amp;"رابط التقرير: "&amp;J373,"")&amp;CHAR(10)&amp;CHAR(10)&amp;"إذا رغبت، يمكننا توضيح لماذا هذا الكورس هو الأنسب لكم الآن.")</x:f>
      </x:c>
      <x:c r="N373" s="12" t="str">
        <x:f>IF(D373="","",HYPERLINK("https://wa.me/"&amp;REGEXREPLACE(D373,"[^\d]","")&amp;"?text="&amp;ENCODEURL(M373),"واتساب 2"))</x:f>
      </x:c>
      <x:c r="O373" s="12" t="str">
        <x:f>IF(A373="","","مرحبًا "&amp;C373&amp;CHAR(10)&amp;CHAR(10)&amp;"إذا كانت التحديات لديكم تحتاج حلًا أشمل، فالبرنامج الكامل المناسب لكم هو: "&amp;H373&amp;"."&amp;IF(I373&lt;&gt;"",CHAR(10)&amp;"كما يمكنكم أيضًا حجز: "&amp;I373&amp;".","")&amp;IF(J373&lt;&gt;"",CHAR(10)&amp;CHAR(10)&amp;"رابط التقرير: "&amp;J373,"")&amp;CHAR(10)&amp;CHAR(10)&amp;"يسعدنا مساعدتكم في اختيار المسار الأنسب حسب وضع العيادة الحالي.")</x:f>
      </x:c>
      <x:c r="P373" s="12" t="str">
        <x:f>IF(D373="","",HYPERLINK("https://wa.me/"&amp;REGEXREPLACE(D373,"[^\d]","")&amp;"?text="&amp;ENCODEURL(O373),"واتساب 3"))</x:f>
      </x:c>
    </x:row>
    <x:row r="374" ht="15" hidden="0" customHeight="1">
      <x:c r="A374" s="12" t="str">
        <x:f>IF(Leads!A374="","",Leads!A374)</x:f>
      </x:c>
      <x:c r="B374" s="12" t="str">
        <x:f>IF(Leads!F374="","",Leads!F374)</x:f>
      </x:c>
      <x:c r="C374" s="12" t="str">
        <x:f>IF(Leads!G374="","",Leads!G374)</x:f>
      </x:c>
      <x:c r="D374" s="12" t="str">
        <x:f>IF(Leads!O374="","",Leads!O374)</x:f>
      </x:c>
      <x:c r="E374" s="12" t="str">
        <x:f>IF(Leads!AV374="","",Leads!AV374)</x:f>
      </x:c>
      <x:c r="F374" s="12" t="str">
        <x:f>IF(Leads!AX374="","",Leads!AX374)</x:f>
      </x:c>
      <x:c r="G374" s="12" t="str">
        <x:f>IF(Leads!BC374="","",Leads!BC374)</x:f>
      </x:c>
      <x:c r="H374" s="12" t="str">
        <x:f>IF(Leads!BE374="","",Leads!BE374)</x:f>
      </x:c>
      <x:c r="I374" s="12" t="str">
        <x:f>IF(Leads!BG374="","",Leads!BG374)</x:f>
      </x:c>
      <x:c r="J374" s="12" t="str">
        <x:f>IF(Leads!BH374="","",Leads!BH374)</x:f>
      </x:c>
      <x:c r="K374" s="12" t="str">
        <x:f>IF(A374="","","مرحبًا "&amp;C374&amp;CHAR(10)&amp;CHAR(10)&amp;"شكرًا لإتمام تقييم DBD الخاص بعيادة "&amp;B374&amp;"."&amp;CHAR(10)&amp;"نتيجتكم الحالية: "&amp;E374&amp;"%."&amp;CHAR(10)&amp;"أولوية التحسين الأولى: "&amp;F374&amp;"."&amp;IF(J374&lt;&gt;"",CHAR(10)&amp;CHAR(10)&amp;"رابط التقرير: "&amp;J374,"")&amp;CHAR(10)&amp;CHAR(10)&amp;"إذا أحببت، يمكننا مساعدتك في فهم التقرير وتحديد أفضل خطوة تالية لعيادتكم.")</x:f>
      </x:c>
      <x:c r="L374" s="12" t="str">
        <x:f>IF(D374="","",HYPERLINK("https://wa.me/"&amp;REGEXREPLACE(D374,"[^\d]","")&amp;"?text="&amp;ENCODEURL(K374),"واتساب 1"))</x:f>
      </x:c>
      <x:c r="M374" s="12" t="str">
        <x:f>IF(A374="","","مرحبًا "&amp;C374&amp;CHAR(10)&amp;CHAR(10)&amp;"بناءً على نتيجة تقييم عيادة "&amp;B374&amp;"، فإن الترشيح الأقوى لكم الآن هو: "&amp;G374&amp;"."&amp;CHAR(10)&amp;"هذا الخيار يساعدكم في معالجة أكبر فجوة حالية بشكل عملي ومباشر."&amp;IF(J374&lt;&gt;"",CHAR(10)&amp;CHAR(10)&amp;"رابط التقرير: "&amp;J374,"")&amp;CHAR(10)&amp;CHAR(10)&amp;"إذا رغبت، يمكننا توضيح لماذا هذا الكورس هو الأنسب لكم الآن.")</x:f>
      </x:c>
      <x:c r="N374" s="12" t="str">
        <x:f>IF(D374="","",HYPERLINK("https://wa.me/"&amp;REGEXREPLACE(D374,"[^\d]","")&amp;"?text="&amp;ENCODEURL(M374),"واتساب 2"))</x:f>
      </x:c>
      <x:c r="O374" s="12" t="str">
        <x:f>IF(A374="","","مرحبًا "&amp;C374&amp;CHAR(10)&amp;CHAR(10)&amp;"إذا كانت التحديات لديكم تحتاج حلًا أشمل، فالبرنامج الكامل المناسب لكم هو: "&amp;H374&amp;"."&amp;IF(I374&lt;&gt;"",CHAR(10)&amp;"كما يمكنكم أيضًا حجز: "&amp;I374&amp;".","")&amp;IF(J374&lt;&gt;"",CHAR(10)&amp;CHAR(10)&amp;"رابط التقرير: "&amp;J374,"")&amp;CHAR(10)&amp;CHAR(10)&amp;"يسعدنا مساعدتكم في اختيار المسار الأنسب حسب وضع العيادة الحالي.")</x:f>
      </x:c>
      <x:c r="P374" s="12" t="str">
        <x:f>IF(D374="","",HYPERLINK("https://wa.me/"&amp;REGEXREPLACE(D374,"[^\d]","")&amp;"?text="&amp;ENCODEURL(O374),"واتساب 3"))</x:f>
      </x:c>
    </x:row>
    <x:row r="375" ht="15" hidden="0" customHeight="1">
      <x:c r="A375" s="12" t="str">
        <x:f>IF(Leads!A375="","",Leads!A375)</x:f>
      </x:c>
      <x:c r="B375" s="12" t="str">
        <x:f>IF(Leads!F375="","",Leads!F375)</x:f>
      </x:c>
      <x:c r="C375" s="12" t="str">
        <x:f>IF(Leads!G375="","",Leads!G375)</x:f>
      </x:c>
      <x:c r="D375" s="12" t="str">
        <x:f>IF(Leads!O375="","",Leads!O375)</x:f>
      </x:c>
      <x:c r="E375" s="12" t="str">
        <x:f>IF(Leads!AV375="","",Leads!AV375)</x:f>
      </x:c>
      <x:c r="F375" s="12" t="str">
        <x:f>IF(Leads!AX375="","",Leads!AX375)</x:f>
      </x:c>
      <x:c r="G375" s="12" t="str">
        <x:f>IF(Leads!BC375="","",Leads!BC375)</x:f>
      </x:c>
      <x:c r="H375" s="12" t="str">
        <x:f>IF(Leads!BE375="","",Leads!BE375)</x:f>
      </x:c>
      <x:c r="I375" s="12" t="str">
        <x:f>IF(Leads!BG375="","",Leads!BG375)</x:f>
      </x:c>
      <x:c r="J375" s="12" t="str">
        <x:f>IF(Leads!BH375="","",Leads!BH375)</x:f>
      </x:c>
      <x:c r="K375" s="12" t="str">
        <x:f>IF(A375="","","مرحبًا "&amp;C375&amp;CHAR(10)&amp;CHAR(10)&amp;"شكرًا لإتمام تقييم DBD الخاص بعيادة "&amp;B375&amp;"."&amp;CHAR(10)&amp;"نتيجتكم الحالية: "&amp;E375&amp;"%."&amp;CHAR(10)&amp;"أولوية التحسين الأولى: "&amp;F375&amp;"."&amp;IF(J375&lt;&gt;"",CHAR(10)&amp;CHAR(10)&amp;"رابط التقرير: "&amp;J375,"")&amp;CHAR(10)&amp;CHAR(10)&amp;"إذا أحببت، يمكننا مساعدتك في فهم التقرير وتحديد أفضل خطوة تالية لعيادتكم.")</x:f>
      </x:c>
      <x:c r="L375" s="12" t="str">
        <x:f>IF(D375="","",HYPERLINK("https://wa.me/"&amp;REGEXREPLACE(D375,"[^\d]","")&amp;"?text="&amp;ENCODEURL(K375),"واتساب 1"))</x:f>
      </x:c>
      <x:c r="M375" s="12" t="str">
        <x:f>IF(A375="","","مرحبًا "&amp;C375&amp;CHAR(10)&amp;CHAR(10)&amp;"بناءً على نتيجة تقييم عيادة "&amp;B375&amp;"، فإن الترشيح الأقوى لكم الآن هو: "&amp;G375&amp;"."&amp;CHAR(10)&amp;"هذا الخيار يساعدكم في معالجة أكبر فجوة حالية بشكل عملي ومباشر."&amp;IF(J375&lt;&gt;"",CHAR(10)&amp;CHAR(10)&amp;"رابط التقرير: "&amp;J375,"")&amp;CHAR(10)&amp;CHAR(10)&amp;"إذا رغبت، يمكننا توضيح لماذا هذا الكورس هو الأنسب لكم الآن.")</x:f>
      </x:c>
      <x:c r="N375" s="12" t="str">
        <x:f>IF(D375="","",HYPERLINK("https://wa.me/"&amp;REGEXREPLACE(D375,"[^\d]","")&amp;"?text="&amp;ENCODEURL(M375),"واتساب 2"))</x:f>
      </x:c>
      <x:c r="O375" s="12" t="str">
        <x:f>IF(A375="","","مرحبًا "&amp;C375&amp;CHAR(10)&amp;CHAR(10)&amp;"إذا كانت التحديات لديكم تحتاج حلًا أشمل، فالبرنامج الكامل المناسب لكم هو: "&amp;H375&amp;"."&amp;IF(I375&lt;&gt;"",CHAR(10)&amp;"كما يمكنكم أيضًا حجز: "&amp;I375&amp;".","")&amp;IF(J375&lt;&gt;"",CHAR(10)&amp;CHAR(10)&amp;"رابط التقرير: "&amp;J375,"")&amp;CHAR(10)&amp;CHAR(10)&amp;"يسعدنا مساعدتكم في اختيار المسار الأنسب حسب وضع العيادة الحالي.")</x:f>
      </x:c>
      <x:c r="P375" s="12" t="str">
        <x:f>IF(D375="","",HYPERLINK("https://wa.me/"&amp;REGEXREPLACE(D375,"[^\d]","")&amp;"?text="&amp;ENCODEURL(O375),"واتساب 3"))</x:f>
      </x:c>
    </x:row>
    <x:row r="376" ht="15" hidden="0" customHeight="1">
      <x:c r="A376" s="12" t="str">
        <x:f>IF(Leads!A376="","",Leads!A376)</x:f>
      </x:c>
      <x:c r="B376" s="12" t="str">
        <x:f>IF(Leads!F376="","",Leads!F376)</x:f>
      </x:c>
      <x:c r="C376" s="12" t="str">
        <x:f>IF(Leads!G376="","",Leads!G376)</x:f>
      </x:c>
      <x:c r="D376" s="12" t="str">
        <x:f>IF(Leads!O376="","",Leads!O376)</x:f>
      </x:c>
      <x:c r="E376" s="12" t="str">
        <x:f>IF(Leads!AV376="","",Leads!AV376)</x:f>
      </x:c>
      <x:c r="F376" s="12" t="str">
        <x:f>IF(Leads!AX376="","",Leads!AX376)</x:f>
      </x:c>
      <x:c r="G376" s="12" t="str">
        <x:f>IF(Leads!BC376="","",Leads!BC376)</x:f>
      </x:c>
      <x:c r="H376" s="12" t="str">
        <x:f>IF(Leads!BE376="","",Leads!BE376)</x:f>
      </x:c>
      <x:c r="I376" s="12" t="str">
        <x:f>IF(Leads!BG376="","",Leads!BG376)</x:f>
      </x:c>
      <x:c r="J376" s="12" t="str">
        <x:f>IF(Leads!BH376="","",Leads!BH376)</x:f>
      </x:c>
      <x:c r="K376" s="12" t="str">
        <x:f>IF(A376="","","مرحبًا "&amp;C376&amp;CHAR(10)&amp;CHAR(10)&amp;"شكرًا لإتمام تقييم DBD الخاص بعيادة "&amp;B376&amp;"."&amp;CHAR(10)&amp;"نتيجتكم الحالية: "&amp;E376&amp;"%."&amp;CHAR(10)&amp;"أولوية التحسين الأولى: "&amp;F376&amp;"."&amp;IF(J376&lt;&gt;"",CHAR(10)&amp;CHAR(10)&amp;"رابط التقرير: "&amp;J376,"")&amp;CHAR(10)&amp;CHAR(10)&amp;"إذا أحببت، يمكننا مساعدتك في فهم التقرير وتحديد أفضل خطوة تالية لعيادتكم.")</x:f>
      </x:c>
      <x:c r="L376" s="12" t="str">
        <x:f>IF(D376="","",HYPERLINK("https://wa.me/"&amp;REGEXREPLACE(D376,"[^\d]","")&amp;"?text="&amp;ENCODEURL(K376),"واتساب 1"))</x:f>
      </x:c>
      <x:c r="M376" s="12" t="str">
        <x:f>IF(A376="","","مرحبًا "&amp;C376&amp;CHAR(10)&amp;CHAR(10)&amp;"بناءً على نتيجة تقييم عيادة "&amp;B376&amp;"، فإن الترشيح الأقوى لكم الآن هو: "&amp;G376&amp;"."&amp;CHAR(10)&amp;"هذا الخيار يساعدكم في معالجة أكبر فجوة حالية بشكل عملي ومباشر."&amp;IF(J376&lt;&gt;"",CHAR(10)&amp;CHAR(10)&amp;"رابط التقرير: "&amp;J376,"")&amp;CHAR(10)&amp;CHAR(10)&amp;"إذا رغبت، يمكننا توضيح لماذا هذا الكورس هو الأنسب لكم الآن.")</x:f>
      </x:c>
      <x:c r="N376" s="12" t="str">
        <x:f>IF(D376="","",HYPERLINK("https://wa.me/"&amp;REGEXREPLACE(D376,"[^\d]","")&amp;"?text="&amp;ENCODEURL(M376),"واتساب 2"))</x:f>
      </x:c>
      <x:c r="O376" s="12" t="str">
        <x:f>IF(A376="","","مرحبًا "&amp;C376&amp;CHAR(10)&amp;CHAR(10)&amp;"إذا كانت التحديات لديكم تحتاج حلًا أشمل، فالبرنامج الكامل المناسب لكم هو: "&amp;H376&amp;"."&amp;IF(I376&lt;&gt;"",CHAR(10)&amp;"كما يمكنكم أيضًا حجز: "&amp;I376&amp;".","")&amp;IF(J376&lt;&gt;"",CHAR(10)&amp;CHAR(10)&amp;"رابط التقرير: "&amp;J376,"")&amp;CHAR(10)&amp;CHAR(10)&amp;"يسعدنا مساعدتكم في اختيار المسار الأنسب حسب وضع العيادة الحالي.")</x:f>
      </x:c>
      <x:c r="P376" s="12" t="str">
        <x:f>IF(D376="","",HYPERLINK("https://wa.me/"&amp;REGEXREPLACE(D376,"[^\d]","")&amp;"?text="&amp;ENCODEURL(O376),"واتساب 3"))</x:f>
      </x:c>
    </x:row>
    <x:row r="377" ht="15" hidden="0" customHeight="1">
      <x:c r="A377" s="12" t="str">
        <x:f>IF(Leads!A377="","",Leads!A377)</x:f>
      </x:c>
      <x:c r="B377" s="12" t="str">
        <x:f>IF(Leads!F377="","",Leads!F377)</x:f>
      </x:c>
      <x:c r="C377" s="12" t="str">
        <x:f>IF(Leads!G377="","",Leads!G377)</x:f>
      </x:c>
      <x:c r="D377" s="12" t="str">
        <x:f>IF(Leads!O377="","",Leads!O377)</x:f>
      </x:c>
      <x:c r="E377" s="12" t="str">
        <x:f>IF(Leads!AV377="","",Leads!AV377)</x:f>
      </x:c>
      <x:c r="F377" s="12" t="str">
        <x:f>IF(Leads!AX377="","",Leads!AX377)</x:f>
      </x:c>
      <x:c r="G377" s="12" t="str">
        <x:f>IF(Leads!BC377="","",Leads!BC377)</x:f>
      </x:c>
      <x:c r="H377" s="12" t="str">
        <x:f>IF(Leads!BE377="","",Leads!BE377)</x:f>
      </x:c>
      <x:c r="I377" s="12" t="str">
        <x:f>IF(Leads!BG377="","",Leads!BG377)</x:f>
      </x:c>
      <x:c r="J377" s="12" t="str">
        <x:f>IF(Leads!BH377="","",Leads!BH377)</x:f>
      </x:c>
      <x:c r="K377" s="12" t="str">
        <x:f>IF(A377="","","مرحبًا "&amp;C377&amp;CHAR(10)&amp;CHAR(10)&amp;"شكرًا لإتمام تقييم DBD الخاص بعيادة "&amp;B377&amp;"."&amp;CHAR(10)&amp;"نتيجتكم الحالية: "&amp;E377&amp;"%."&amp;CHAR(10)&amp;"أولوية التحسين الأولى: "&amp;F377&amp;"."&amp;IF(J377&lt;&gt;"",CHAR(10)&amp;CHAR(10)&amp;"رابط التقرير: "&amp;J377,"")&amp;CHAR(10)&amp;CHAR(10)&amp;"إذا أحببت، يمكننا مساعدتك في فهم التقرير وتحديد أفضل خطوة تالية لعيادتكم.")</x:f>
      </x:c>
      <x:c r="L377" s="12" t="str">
        <x:f>IF(D377="","",HYPERLINK("https://wa.me/"&amp;REGEXREPLACE(D377,"[^\d]","")&amp;"?text="&amp;ENCODEURL(K377),"واتساب 1"))</x:f>
      </x:c>
      <x:c r="M377" s="12" t="str">
        <x:f>IF(A377="","","مرحبًا "&amp;C377&amp;CHAR(10)&amp;CHAR(10)&amp;"بناءً على نتيجة تقييم عيادة "&amp;B377&amp;"، فإن الترشيح الأقوى لكم الآن هو: "&amp;G377&amp;"."&amp;CHAR(10)&amp;"هذا الخيار يساعدكم في معالجة أكبر فجوة حالية بشكل عملي ومباشر."&amp;IF(J377&lt;&gt;"",CHAR(10)&amp;CHAR(10)&amp;"رابط التقرير: "&amp;J377,"")&amp;CHAR(10)&amp;CHAR(10)&amp;"إذا رغبت، يمكننا توضيح لماذا هذا الكورس هو الأنسب لكم الآن.")</x:f>
      </x:c>
      <x:c r="N377" s="12" t="str">
        <x:f>IF(D377="","",HYPERLINK("https://wa.me/"&amp;REGEXREPLACE(D377,"[^\d]","")&amp;"?text="&amp;ENCODEURL(M377),"واتساب 2"))</x:f>
      </x:c>
      <x:c r="O377" s="12" t="str">
        <x:f>IF(A377="","","مرحبًا "&amp;C377&amp;CHAR(10)&amp;CHAR(10)&amp;"إذا كانت التحديات لديكم تحتاج حلًا أشمل، فالبرنامج الكامل المناسب لكم هو: "&amp;H377&amp;"."&amp;IF(I377&lt;&gt;"",CHAR(10)&amp;"كما يمكنكم أيضًا حجز: "&amp;I377&amp;".","")&amp;IF(J377&lt;&gt;"",CHAR(10)&amp;CHAR(10)&amp;"رابط التقرير: "&amp;J377,"")&amp;CHAR(10)&amp;CHAR(10)&amp;"يسعدنا مساعدتكم في اختيار المسار الأنسب حسب وضع العيادة الحالي.")</x:f>
      </x:c>
      <x:c r="P377" s="12" t="str">
        <x:f>IF(D377="","",HYPERLINK("https://wa.me/"&amp;REGEXREPLACE(D377,"[^\d]","")&amp;"?text="&amp;ENCODEURL(O377),"واتساب 3"))</x:f>
      </x:c>
    </x:row>
    <x:row r="378" ht="15" hidden="0" customHeight="1">
      <x:c r="A378" s="12" t="str">
        <x:f>IF(Leads!A378="","",Leads!A378)</x:f>
      </x:c>
      <x:c r="B378" s="12" t="str">
        <x:f>IF(Leads!F378="","",Leads!F378)</x:f>
      </x:c>
      <x:c r="C378" s="12" t="str">
        <x:f>IF(Leads!G378="","",Leads!G378)</x:f>
      </x:c>
      <x:c r="D378" s="12" t="str">
        <x:f>IF(Leads!O378="","",Leads!O378)</x:f>
      </x:c>
      <x:c r="E378" s="12" t="str">
        <x:f>IF(Leads!AV378="","",Leads!AV378)</x:f>
      </x:c>
      <x:c r="F378" s="12" t="str">
        <x:f>IF(Leads!AX378="","",Leads!AX378)</x:f>
      </x:c>
      <x:c r="G378" s="12" t="str">
        <x:f>IF(Leads!BC378="","",Leads!BC378)</x:f>
      </x:c>
      <x:c r="H378" s="12" t="str">
        <x:f>IF(Leads!BE378="","",Leads!BE378)</x:f>
      </x:c>
      <x:c r="I378" s="12" t="str">
        <x:f>IF(Leads!BG378="","",Leads!BG378)</x:f>
      </x:c>
      <x:c r="J378" s="12" t="str">
        <x:f>IF(Leads!BH378="","",Leads!BH378)</x:f>
      </x:c>
      <x:c r="K378" s="12" t="str">
        <x:f>IF(A378="","","مرحبًا "&amp;C378&amp;CHAR(10)&amp;CHAR(10)&amp;"شكرًا لإتمام تقييم DBD الخاص بعيادة "&amp;B378&amp;"."&amp;CHAR(10)&amp;"نتيجتكم الحالية: "&amp;E378&amp;"%."&amp;CHAR(10)&amp;"أولوية التحسين الأولى: "&amp;F378&amp;"."&amp;IF(J378&lt;&gt;"",CHAR(10)&amp;CHAR(10)&amp;"رابط التقرير: "&amp;J378,"")&amp;CHAR(10)&amp;CHAR(10)&amp;"إذا أحببت، يمكننا مساعدتك في فهم التقرير وتحديد أفضل خطوة تالية لعيادتكم.")</x:f>
      </x:c>
      <x:c r="L378" s="12" t="str">
        <x:f>IF(D378="","",HYPERLINK("https://wa.me/"&amp;REGEXREPLACE(D378,"[^\d]","")&amp;"?text="&amp;ENCODEURL(K378),"واتساب 1"))</x:f>
      </x:c>
      <x:c r="M378" s="12" t="str">
        <x:f>IF(A378="","","مرحبًا "&amp;C378&amp;CHAR(10)&amp;CHAR(10)&amp;"بناءً على نتيجة تقييم عيادة "&amp;B378&amp;"، فإن الترشيح الأقوى لكم الآن هو: "&amp;G378&amp;"."&amp;CHAR(10)&amp;"هذا الخيار يساعدكم في معالجة أكبر فجوة حالية بشكل عملي ومباشر."&amp;IF(J378&lt;&gt;"",CHAR(10)&amp;CHAR(10)&amp;"رابط التقرير: "&amp;J378,"")&amp;CHAR(10)&amp;CHAR(10)&amp;"إذا رغبت، يمكننا توضيح لماذا هذا الكورس هو الأنسب لكم الآن.")</x:f>
      </x:c>
      <x:c r="N378" s="12" t="str">
        <x:f>IF(D378="","",HYPERLINK("https://wa.me/"&amp;REGEXREPLACE(D378,"[^\d]","")&amp;"?text="&amp;ENCODEURL(M378),"واتساب 2"))</x:f>
      </x:c>
      <x:c r="O378" s="12" t="str">
        <x:f>IF(A378="","","مرحبًا "&amp;C378&amp;CHAR(10)&amp;CHAR(10)&amp;"إذا كانت التحديات لديكم تحتاج حلًا أشمل، فالبرنامج الكامل المناسب لكم هو: "&amp;H378&amp;"."&amp;IF(I378&lt;&gt;"",CHAR(10)&amp;"كما يمكنكم أيضًا حجز: "&amp;I378&amp;".","")&amp;IF(J378&lt;&gt;"",CHAR(10)&amp;CHAR(10)&amp;"رابط التقرير: "&amp;J378,"")&amp;CHAR(10)&amp;CHAR(10)&amp;"يسعدنا مساعدتكم في اختيار المسار الأنسب حسب وضع العيادة الحالي.")</x:f>
      </x:c>
      <x:c r="P378" s="12" t="str">
        <x:f>IF(D378="","",HYPERLINK("https://wa.me/"&amp;REGEXREPLACE(D378,"[^\d]","")&amp;"?text="&amp;ENCODEURL(O378),"واتساب 3"))</x:f>
      </x:c>
    </x:row>
    <x:row r="379" ht="15" hidden="0" customHeight="1">
      <x:c r="A379" s="12" t="str">
        <x:f>IF(Leads!A379="","",Leads!A379)</x:f>
      </x:c>
      <x:c r="B379" s="12" t="str">
        <x:f>IF(Leads!F379="","",Leads!F379)</x:f>
      </x:c>
      <x:c r="C379" s="12" t="str">
        <x:f>IF(Leads!G379="","",Leads!G379)</x:f>
      </x:c>
      <x:c r="D379" s="12" t="str">
        <x:f>IF(Leads!O379="","",Leads!O379)</x:f>
      </x:c>
      <x:c r="E379" s="12" t="str">
        <x:f>IF(Leads!AV379="","",Leads!AV379)</x:f>
      </x:c>
      <x:c r="F379" s="12" t="str">
        <x:f>IF(Leads!AX379="","",Leads!AX379)</x:f>
      </x:c>
      <x:c r="G379" s="12" t="str">
        <x:f>IF(Leads!BC379="","",Leads!BC379)</x:f>
      </x:c>
      <x:c r="H379" s="12" t="str">
        <x:f>IF(Leads!BE379="","",Leads!BE379)</x:f>
      </x:c>
      <x:c r="I379" s="12" t="str">
        <x:f>IF(Leads!BG379="","",Leads!BG379)</x:f>
      </x:c>
      <x:c r="J379" s="12" t="str">
        <x:f>IF(Leads!BH379="","",Leads!BH379)</x:f>
      </x:c>
      <x:c r="K379" s="12" t="str">
        <x:f>IF(A379="","","مرحبًا "&amp;C379&amp;CHAR(10)&amp;CHAR(10)&amp;"شكرًا لإتمام تقييم DBD الخاص بعيادة "&amp;B379&amp;"."&amp;CHAR(10)&amp;"نتيجتكم الحالية: "&amp;E379&amp;"%."&amp;CHAR(10)&amp;"أولوية التحسين الأولى: "&amp;F379&amp;"."&amp;IF(J379&lt;&gt;"",CHAR(10)&amp;CHAR(10)&amp;"رابط التقرير: "&amp;J379,"")&amp;CHAR(10)&amp;CHAR(10)&amp;"إذا أحببت، يمكننا مساعدتك في فهم التقرير وتحديد أفضل خطوة تالية لعيادتكم.")</x:f>
      </x:c>
      <x:c r="L379" s="12" t="str">
        <x:f>IF(D379="","",HYPERLINK("https://wa.me/"&amp;REGEXREPLACE(D379,"[^\d]","")&amp;"?text="&amp;ENCODEURL(K379),"واتساب 1"))</x:f>
      </x:c>
      <x:c r="M379" s="12" t="str">
        <x:f>IF(A379="","","مرحبًا "&amp;C379&amp;CHAR(10)&amp;CHAR(10)&amp;"بناءً على نتيجة تقييم عيادة "&amp;B379&amp;"، فإن الترشيح الأقوى لكم الآن هو: "&amp;G379&amp;"."&amp;CHAR(10)&amp;"هذا الخيار يساعدكم في معالجة أكبر فجوة حالية بشكل عملي ومباشر."&amp;IF(J379&lt;&gt;"",CHAR(10)&amp;CHAR(10)&amp;"رابط التقرير: "&amp;J379,"")&amp;CHAR(10)&amp;CHAR(10)&amp;"إذا رغبت، يمكننا توضيح لماذا هذا الكورس هو الأنسب لكم الآن.")</x:f>
      </x:c>
      <x:c r="N379" s="12" t="str">
        <x:f>IF(D379="","",HYPERLINK("https://wa.me/"&amp;REGEXREPLACE(D379,"[^\d]","")&amp;"?text="&amp;ENCODEURL(M379),"واتساب 2"))</x:f>
      </x:c>
      <x:c r="O379" s="12" t="str">
        <x:f>IF(A379="","","مرحبًا "&amp;C379&amp;CHAR(10)&amp;CHAR(10)&amp;"إذا كانت التحديات لديكم تحتاج حلًا أشمل، فالبرنامج الكامل المناسب لكم هو: "&amp;H379&amp;"."&amp;IF(I379&lt;&gt;"",CHAR(10)&amp;"كما يمكنكم أيضًا حجز: "&amp;I379&amp;".","")&amp;IF(J379&lt;&gt;"",CHAR(10)&amp;CHAR(10)&amp;"رابط التقرير: "&amp;J379,"")&amp;CHAR(10)&amp;CHAR(10)&amp;"يسعدنا مساعدتكم في اختيار المسار الأنسب حسب وضع العيادة الحالي.")</x:f>
      </x:c>
      <x:c r="P379" s="12" t="str">
        <x:f>IF(D379="","",HYPERLINK("https://wa.me/"&amp;REGEXREPLACE(D379,"[^\d]","")&amp;"?text="&amp;ENCODEURL(O379),"واتساب 3"))</x:f>
      </x:c>
    </x:row>
    <x:row r="380" ht="15" hidden="0" customHeight="1">
      <x:c r="A380" s="12" t="str">
        <x:f>IF(Leads!A380="","",Leads!A380)</x:f>
      </x:c>
      <x:c r="B380" s="12" t="str">
        <x:f>IF(Leads!F380="","",Leads!F380)</x:f>
      </x:c>
      <x:c r="C380" s="12" t="str">
        <x:f>IF(Leads!G380="","",Leads!G380)</x:f>
      </x:c>
      <x:c r="D380" s="12" t="str">
        <x:f>IF(Leads!O380="","",Leads!O380)</x:f>
      </x:c>
      <x:c r="E380" s="12" t="str">
        <x:f>IF(Leads!AV380="","",Leads!AV380)</x:f>
      </x:c>
      <x:c r="F380" s="12" t="str">
        <x:f>IF(Leads!AX380="","",Leads!AX380)</x:f>
      </x:c>
      <x:c r="G380" s="12" t="str">
        <x:f>IF(Leads!BC380="","",Leads!BC380)</x:f>
      </x:c>
      <x:c r="H380" s="12" t="str">
        <x:f>IF(Leads!BE380="","",Leads!BE380)</x:f>
      </x:c>
      <x:c r="I380" s="12" t="str">
        <x:f>IF(Leads!BG380="","",Leads!BG380)</x:f>
      </x:c>
      <x:c r="J380" s="12" t="str">
        <x:f>IF(Leads!BH380="","",Leads!BH380)</x:f>
      </x:c>
      <x:c r="K380" s="12" t="str">
        <x:f>IF(A380="","","مرحبًا "&amp;C380&amp;CHAR(10)&amp;CHAR(10)&amp;"شكرًا لإتمام تقييم DBD الخاص بعيادة "&amp;B380&amp;"."&amp;CHAR(10)&amp;"نتيجتكم الحالية: "&amp;E380&amp;"%."&amp;CHAR(10)&amp;"أولوية التحسين الأولى: "&amp;F380&amp;"."&amp;IF(J380&lt;&gt;"",CHAR(10)&amp;CHAR(10)&amp;"رابط التقرير: "&amp;J380,"")&amp;CHAR(10)&amp;CHAR(10)&amp;"إذا أحببت، يمكننا مساعدتك في فهم التقرير وتحديد أفضل خطوة تالية لعيادتكم.")</x:f>
      </x:c>
      <x:c r="L380" s="12" t="str">
        <x:f>IF(D380="","",HYPERLINK("https://wa.me/"&amp;REGEXREPLACE(D380,"[^\d]","")&amp;"?text="&amp;ENCODEURL(K380),"واتساب 1"))</x:f>
      </x:c>
      <x:c r="M380" s="12" t="str">
        <x:f>IF(A380="","","مرحبًا "&amp;C380&amp;CHAR(10)&amp;CHAR(10)&amp;"بناءً على نتيجة تقييم عيادة "&amp;B380&amp;"، فإن الترشيح الأقوى لكم الآن هو: "&amp;G380&amp;"."&amp;CHAR(10)&amp;"هذا الخيار يساعدكم في معالجة أكبر فجوة حالية بشكل عملي ومباشر."&amp;IF(J380&lt;&gt;"",CHAR(10)&amp;CHAR(10)&amp;"رابط التقرير: "&amp;J380,"")&amp;CHAR(10)&amp;CHAR(10)&amp;"إذا رغبت، يمكننا توضيح لماذا هذا الكورس هو الأنسب لكم الآن.")</x:f>
      </x:c>
      <x:c r="N380" s="12" t="str">
        <x:f>IF(D380="","",HYPERLINK("https://wa.me/"&amp;REGEXREPLACE(D380,"[^\d]","")&amp;"?text="&amp;ENCODEURL(M380),"واتساب 2"))</x:f>
      </x:c>
      <x:c r="O380" s="12" t="str">
        <x:f>IF(A380="","","مرحبًا "&amp;C380&amp;CHAR(10)&amp;CHAR(10)&amp;"إذا كانت التحديات لديكم تحتاج حلًا أشمل، فالبرنامج الكامل المناسب لكم هو: "&amp;H380&amp;"."&amp;IF(I380&lt;&gt;"",CHAR(10)&amp;"كما يمكنكم أيضًا حجز: "&amp;I380&amp;".","")&amp;IF(J380&lt;&gt;"",CHAR(10)&amp;CHAR(10)&amp;"رابط التقرير: "&amp;J380,"")&amp;CHAR(10)&amp;CHAR(10)&amp;"يسعدنا مساعدتكم في اختيار المسار الأنسب حسب وضع العيادة الحالي.")</x:f>
      </x:c>
      <x:c r="P380" s="12" t="str">
        <x:f>IF(D380="","",HYPERLINK("https://wa.me/"&amp;REGEXREPLACE(D380,"[^\d]","")&amp;"?text="&amp;ENCODEURL(O380),"واتساب 3"))</x:f>
      </x:c>
    </x:row>
    <x:row r="381" ht="15" hidden="0" customHeight="1">
      <x:c r="A381" s="12" t="str">
        <x:f>IF(Leads!A381="","",Leads!A381)</x:f>
      </x:c>
      <x:c r="B381" s="12" t="str">
        <x:f>IF(Leads!F381="","",Leads!F381)</x:f>
      </x:c>
      <x:c r="C381" s="12" t="str">
        <x:f>IF(Leads!G381="","",Leads!G381)</x:f>
      </x:c>
      <x:c r="D381" s="12" t="str">
        <x:f>IF(Leads!O381="","",Leads!O381)</x:f>
      </x:c>
      <x:c r="E381" s="12" t="str">
        <x:f>IF(Leads!AV381="","",Leads!AV381)</x:f>
      </x:c>
      <x:c r="F381" s="12" t="str">
        <x:f>IF(Leads!AX381="","",Leads!AX381)</x:f>
      </x:c>
      <x:c r="G381" s="12" t="str">
        <x:f>IF(Leads!BC381="","",Leads!BC381)</x:f>
      </x:c>
      <x:c r="H381" s="12" t="str">
        <x:f>IF(Leads!BE381="","",Leads!BE381)</x:f>
      </x:c>
      <x:c r="I381" s="12" t="str">
        <x:f>IF(Leads!BG381="","",Leads!BG381)</x:f>
      </x:c>
      <x:c r="J381" s="12" t="str">
        <x:f>IF(Leads!BH381="","",Leads!BH381)</x:f>
      </x:c>
      <x:c r="K381" s="12" t="str">
        <x:f>IF(A381="","","مرحبًا "&amp;C381&amp;CHAR(10)&amp;CHAR(10)&amp;"شكرًا لإتمام تقييم DBD الخاص بعيادة "&amp;B381&amp;"."&amp;CHAR(10)&amp;"نتيجتكم الحالية: "&amp;E381&amp;"%."&amp;CHAR(10)&amp;"أولوية التحسين الأولى: "&amp;F381&amp;"."&amp;IF(J381&lt;&gt;"",CHAR(10)&amp;CHAR(10)&amp;"رابط التقرير: "&amp;J381,"")&amp;CHAR(10)&amp;CHAR(10)&amp;"إذا أحببت، يمكننا مساعدتك في فهم التقرير وتحديد أفضل خطوة تالية لعيادتكم.")</x:f>
      </x:c>
      <x:c r="L381" s="12" t="str">
        <x:f>IF(D381="","",HYPERLINK("https://wa.me/"&amp;REGEXREPLACE(D381,"[^\d]","")&amp;"?text="&amp;ENCODEURL(K381),"واتساب 1"))</x:f>
      </x:c>
      <x:c r="M381" s="12" t="str">
        <x:f>IF(A381="","","مرحبًا "&amp;C381&amp;CHAR(10)&amp;CHAR(10)&amp;"بناءً على نتيجة تقييم عيادة "&amp;B381&amp;"، فإن الترشيح الأقوى لكم الآن هو: "&amp;G381&amp;"."&amp;CHAR(10)&amp;"هذا الخيار يساعدكم في معالجة أكبر فجوة حالية بشكل عملي ومباشر."&amp;IF(J381&lt;&gt;"",CHAR(10)&amp;CHAR(10)&amp;"رابط التقرير: "&amp;J381,"")&amp;CHAR(10)&amp;CHAR(10)&amp;"إذا رغبت، يمكننا توضيح لماذا هذا الكورس هو الأنسب لكم الآن.")</x:f>
      </x:c>
      <x:c r="N381" s="12" t="str">
        <x:f>IF(D381="","",HYPERLINK("https://wa.me/"&amp;REGEXREPLACE(D381,"[^\d]","")&amp;"?text="&amp;ENCODEURL(M381),"واتساب 2"))</x:f>
      </x:c>
      <x:c r="O381" s="12" t="str">
        <x:f>IF(A381="","","مرحبًا "&amp;C381&amp;CHAR(10)&amp;CHAR(10)&amp;"إذا كانت التحديات لديكم تحتاج حلًا أشمل، فالبرنامج الكامل المناسب لكم هو: "&amp;H381&amp;"."&amp;IF(I381&lt;&gt;"",CHAR(10)&amp;"كما يمكنكم أيضًا حجز: "&amp;I381&amp;".","")&amp;IF(J381&lt;&gt;"",CHAR(10)&amp;CHAR(10)&amp;"رابط التقرير: "&amp;J381,"")&amp;CHAR(10)&amp;CHAR(10)&amp;"يسعدنا مساعدتكم في اختيار المسار الأنسب حسب وضع العيادة الحالي.")</x:f>
      </x:c>
      <x:c r="P381" s="12" t="str">
        <x:f>IF(D381="","",HYPERLINK("https://wa.me/"&amp;REGEXREPLACE(D381,"[^\d]","")&amp;"?text="&amp;ENCODEURL(O381),"واتساب 3"))</x:f>
      </x:c>
    </x:row>
    <x:row r="382" ht="15" hidden="0" customHeight="1">
      <x:c r="A382" s="12" t="str">
        <x:f>IF(Leads!A382="","",Leads!A382)</x:f>
      </x:c>
      <x:c r="B382" s="12" t="str">
        <x:f>IF(Leads!F382="","",Leads!F382)</x:f>
      </x:c>
      <x:c r="C382" s="12" t="str">
        <x:f>IF(Leads!G382="","",Leads!G382)</x:f>
      </x:c>
      <x:c r="D382" s="12" t="str">
        <x:f>IF(Leads!O382="","",Leads!O382)</x:f>
      </x:c>
      <x:c r="E382" s="12" t="str">
        <x:f>IF(Leads!AV382="","",Leads!AV382)</x:f>
      </x:c>
      <x:c r="F382" s="12" t="str">
        <x:f>IF(Leads!AX382="","",Leads!AX382)</x:f>
      </x:c>
      <x:c r="G382" s="12" t="str">
        <x:f>IF(Leads!BC382="","",Leads!BC382)</x:f>
      </x:c>
      <x:c r="H382" s="12" t="str">
        <x:f>IF(Leads!BE382="","",Leads!BE382)</x:f>
      </x:c>
      <x:c r="I382" s="12" t="str">
        <x:f>IF(Leads!BG382="","",Leads!BG382)</x:f>
      </x:c>
      <x:c r="J382" s="12" t="str">
        <x:f>IF(Leads!BH382="","",Leads!BH382)</x:f>
      </x:c>
      <x:c r="K382" s="12" t="str">
        <x:f>IF(A382="","","مرحبًا "&amp;C382&amp;CHAR(10)&amp;CHAR(10)&amp;"شكرًا لإتمام تقييم DBD الخاص بعيادة "&amp;B382&amp;"."&amp;CHAR(10)&amp;"نتيجتكم الحالية: "&amp;E382&amp;"%."&amp;CHAR(10)&amp;"أولوية التحسين الأولى: "&amp;F382&amp;"."&amp;IF(J382&lt;&gt;"",CHAR(10)&amp;CHAR(10)&amp;"رابط التقرير: "&amp;J382,"")&amp;CHAR(10)&amp;CHAR(10)&amp;"إذا أحببت، يمكننا مساعدتك في فهم التقرير وتحديد أفضل خطوة تالية لعيادتكم.")</x:f>
      </x:c>
      <x:c r="L382" s="12" t="str">
        <x:f>IF(D382="","",HYPERLINK("https://wa.me/"&amp;REGEXREPLACE(D382,"[^\d]","")&amp;"?text="&amp;ENCODEURL(K382),"واتساب 1"))</x:f>
      </x:c>
      <x:c r="M382" s="12" t="str">
        <x:f>IF(A382="","","مرحبًا "&amp;C382&amp;CHAR(10)&amp;CHAR(10)&amp;"بناءً على نتيجة تقييم عيادة "&amp;B382&amp;"، فإن الترشيح الأقوى لكم الآن هو: "&amp;G382&amp;"."&amp;CHAR(10)&amp;"هذا الخيار يساعدكم في معالجة أكبر فجوة حالية بشكل عملي ومباشر."&amp;IF(J382&lt;&gt;"",CHAR(10)&amp;CHAR(10)&amp;"رابط التقرير: "&amp;J382,"")&amp;CHAR(10)&amp;CHAR(10)&amp;"إذا رغبت، يمكننا توضيح لماذا هذا الكورس هو الأنسب لكم الآن.")</x:f>
      </x:c>
      <x:c r="N382" s="12" t="str">
        <x:f>IF(D382="","",HYPERLINK("https://wa.me/"&amp;REGEXREPLACE(D382,"[^\d]","")&amp;"?text="&amp;ENCODEURL(M382),"واتساب 2"))</x:f>
      </x:c>
      <x:c r="O382" s="12" t="str">
        <x:f>IF(A382="","","مرحبًا "&amp;C382&amp;CHAR(10)&amp;CHAR(10)&amp;"إذا كانت التحديات لديكم تحتاج حلًا أشمل، فالبرنامج الكامل المناسب لكم هو: "&amp;H382&amp;"."&amp;IF(I382&lt;&gt;"",CHAR(10)&amp;"كما يمكنكم أيضًا حجز: "&amp;I382&amp;".","")&amp;IF(J382&lt;&gt;"",CHAR(10)&amp;CHAR(10)&amp;"رابط التقرير: "&amp;J382,"")&amp;CHAR(10)&amp;CHAR(10)&amp;"يسعدنا مساعدتكم في اختيار المسار الأنسب حسب وضع العيادة الحالي.")</x:f>
      </x:c>
      <x:c r="P382" s="12" t="str">
        <x:f>IF(D382="","",HYPERLINK("https://wa.me/"&amp;REGEXREPLACE(D382,"[^\d]","")&amp;"?text="&amp;ENCODEURL(O382),"واتساب 3"))</x:f>
      </x:c>
    </x:row>
    <x:row r="383" ht="15" hidden="0" customHeight="1">
      <x:c r="A383" s="12" t="str">
        <x:f>IF(Leads!A383="","",Leads!A383)</x:f>
      </x:c>
      <x:c r="B383" s="12" t="str">
        <x:f>IF(Leads!F383="","",Leads!F383)</x:f>
      </x:c>
      <x:c r="C383" s="12" t="str">
        <x:f>IF(Leads!G383="","",Leads!G383)</x:f>
      </x:c>
      <x:c r="D383" s="12" t="str">
        <x:f>IF(Leads!O383="","",Leads!O383)</x:f>
      </x:c>
      <x:c r="E383" s="12" t="str">
        <x:f>IF(Leads!AV383="","",Leads!AV383)</x:f>
      </x:c>
      <x:c r="F383" s="12" t="str">
        <x:f>IF(Leads!AX383="","",Leads!AX383)</x:f>
      </x:c>
      <x:c r="G383" s="12" t="str">
        <x:f>IF(Leads!BC383="","",Leads!BC383)</x:f>
      </x:c>
      <x:c r="H383" s="12" t="str">
        <x:f>IF(Leads!BE383="","",Leads!BE383)</x:f>
      </x:c>
      <x:c r="I383" s="12" t="str">
        <x:f>IF(Leads!BG383="","",Leads!BG383)</x:f>
      </x:c>
      <x:c r="J383" s="12" t="str">
        <x:f>IF(Leads!BH383="","",Leads!BH383)</x:f>
      </x:c>
      <x:c r="K383" s="12" t="str">
        <x:f>IF(A383="","","مرحبًا "&amp;C383&amp;CHAR(10)&amp;CHAR(10)&amp;"شكرًا لإتمام تقييم DBD الخاص بعيادة "&amp;B383&amp;"."&amp;CHAR(10)&amp;"نتيجتكم الحالية: "&amp;E383&amp;"%."&amp;CHAR(10)&amp;"أولوية التحسين الأولى: "&amp;F383&amp;"."&amp;IF(J383&lt;&gt;"",CHAR(10)&amp;CHAR(10)&amp;"رابط التقرير: "&amp;J383,"")&amp;CHAR(10)&amp;CHAR(10)&amp;"إذا أحببت، يمكننا مساعدتك في فهم التقرير وتحديد أفضل خطوة تالية لعيادتكم.")</x:f>
      </x:c>
      <x:c r="L383" s="12" t="str">
        <x:f>IF(D383="","",HYPERLINK("https://wa.me/"&amp;REGEXREPLACE(D383,"[^\d]","")&amp;"?text="&amp;ENCODEURL(K383),"واتساب 1"))</x:f>
      </x:c>
      <x:c r="M383" s="12" t="str">
        <x:f>IF(A383="","","مرحبًا "&amp;C383&amp;CHAR(10)&amp;CHAR(10)&amp;"بناءً على نتيجة تقييم عيادة "&amp;B383&amp;"، فإن الترشيح الأقوى لكم الآن هو: "&amp;G383&amp;"."&amp;CHAR(10)&amp;"هذا الخيار يساعدكم في معالجة أكبر فجوة حالية بشكل عملي ومباشر."&amp;IF(J383&lt;&gt;"",CHAR(10)&amp;CHAR(10)&amp;"رابط التقرير: "&amp;J383,"")&amp;CHAR(10)&amp;CHAR(10)&amp;"إذا رغبت، يمكننا توضيح لماذا هذا الكورس هو الأنسب لكم الآن.")</x:f>
      </x:c>
      <x:c r="N383" s="12" t="str">
        <x:f>IF(D383="","",HYPERLINK("https://wa.me/"&amp;REGEXREPLACE(D383,"[^\d]","")&amp;"?text="&amp;ENCODEURL(M383),"واتساب 2"))</x:f>
      </x:c>
      <x:c r="O383" s="12" t="str">
        <x:f>IF(A383="","","مرحبًا "&amp;C383&amp;CHAR(10)&amp;CHAR(10)&amp;"إذا كانت التحديات لديكم تحتاج حلًا أشمل، فالبرنامج الكامل المناسب لكم هو: "&amp;H383&amp;"."&amp;IF(I383&lt;&gt;"",CHAR(10)&amp;"كما يمكنكم أيضًا حجز: "&amp;I383&amp;".","")&amp;IF(J383&lt;&gt;"",CHAR(10)&amp;CHAR(10)&amp;"رابط التقرير: "&amp;J383,"")&amp;CHAR(10)&amp;CHAR(10)&amp;"يسعدنا مساعدتكم في اختيار المسار الأنسب حسب وضع العيادة الحالي.")</x:f>
      </x:c>
      <x:c r="P383" s="12" t="str">
        <x:f>IF(D383="","",HYPERLINK("https://wa.me/"&amp;REGEXREPLACE(D383,"[^\d]","")&amp;"?text="&amp;ENCODEURL(O383),"واتساب 3"))</x:f>
      </x:c>
    </x:row>
    <x:row r="384" ht="15" hidden="0" customHeight="1">
      <x:c r="A384" s="12" t="str">
        <x:f>IF(Leads!A384="","",Leads!A384)</x:f>
      </x:c>
      <x:c r="B384" s="12" t="str">
        <x:f>IF(Leads!F384="","",Leads!F384)</x:f>
      </x:c>
      <x:c r="C384" s="12" t="str">
        <x:f>IF(Leads!G384="","",Leads!G384)</x:f>
      </x:c>
      <x:c r="D384" s="12" t="str">
        <x:f>IF(Leads!O384="","",Leads!O384)</x:f>
      </x:c>
      <x:c r="E384" s="12" t="str">
        <x:f>IF(Leads!AV384="","",Leads!AV384)</x:f>
      </x:c>
      <x:c r="F384" s="12" t="str">
        <x:f>IF(Leads!AX384="","",Leads!AX384)</x:f>
      </x:c>
      <x:c r="G384" s="12" t="str">
        <x:f>IF(Leads!BC384="","",Leads!BC384)</x:f>
      </x:c>
      <x:c r="H384" s="12" t="str">
        <x:f>IF(Leads!BE384="","",Leads!BE384)</x:f>
      </x:c>
      <x:c r="I384" s="12" t="str">
        <x:f>IF(Leads!BG384="","",Leads!BG384)</x:f>
      </x:c>
      <x:c r="J384" s="12" t="str">
        <x:f>IF(Leads!BH384="","",Leads!BH384)</x:f>
      </x:c>
      <x:c r="K384" s="12" t="str">
        <x:f>IF(A384="","","مرحبًا "&amp;C384&amp;CHAR(10)&amp;CHAR(10)&amp;"شكرًا لإتمام تقييم DBD الخاص بعيادة "&amp;B384&amp;"."&amp;CHAR(10)&amp;"نتيجتكم الحالية: "&amp;E384&amp;"%."&amp;CHAR(10)&amp;"أولوية التحسين الأولى: "&amp;F384&amp;"."&amp;IF(J384&lt;&gt;"",CHAR(10)&amp;CHAR(10)&amp;"رابط التقرير: "&amp;J384,"")&amp;CHAR(10)&amp;CHAR(10)&amp;"إذا أحببت، يمكننا مساعدتك في فهم التقرير وتحديد أفضل خطوة تالية لعيادتكم.")</x:f>
      </x:c>
      <x:c r="L384" s="12" t="str">
        <x:f>IF(D384="","",HYPERLINK("https://wa.me/"&amp;REGEXREPLACE(D384,"[^\d]","")&amp;"?text="&amp;ENCODEURL(K384),"واتساب 1"))</x:f>
      </x:c>
      <x:c r="M384" s="12" t="str">
        <x:f>IF(A384="","","مرحبًا "&amp;C384&amp;CHAR(10)&amp;CHAR(10)&amp;"بناءً على نتيجة تقييم عيادة "&amp;B384&amp;"، فإن الترشيح الأقوى لكم الآن هو: "&amp;G384&amp;"."&amp;CHAR(10)&amp;"هذا الخيار يساعدكم في معالجة أكبر فجوة حالية بشكل عملي ومباشر."&amp;IF(J384&lt;&gt;"",CHAR(10)&amp;CHAR(10)&amp;"رابط التقرير: "&amp;J384,"")&amp;CHAR(10)&amp;CHAR(10)&amp;"إذا رغبت، يمكننا توضيح لماذا هذا الكورس هو الأنسب لكم الآن.")</x:f>
      </x:c>
      <x:c r="N384" s="12" t="str">
        <x:f>IF(D384="","",HYPERLINK("https://wa.me/"&amp;REGEXREPLACE(D384,"[^\d]","")&amp;"?text="&amp;ENCODEURL(M384),"واتساب 2"))</x:f>
      </x:c>
      <x:c r="O384" s="12" t="str">
        <x:f>IF(A384="","","مرحبًا "&amp;C384&amp;CHAR(10)&amp;CHAR(10)&amp;"إذا كانت التحديات لديكم تحتاج حلًا أشمل، فالبرنامج الكامل المناسب لكم هو: "&amp;H384&amp;"."&amp;IF(I384&lt;&gt;"",CHAR(10)&amp;"كما يمكنكم أيضًا حجز: "&amp;I384&amp;".","")&amp;IF(J384&lt;&gt;"",CHAR(10)&amp;CHAR(10)&amp;"رابط التقرير: "&amp;J384,"")&amp;CHAR(10)&amp;CHAR(10)&amp;"يسعدنا مساعدتكم في اختيار المسار الأنسب حسب وضع العيادة الحالي.")</x:f>
      </x:c>
      <x:c r="P384" s="12" t="str">
        <x:f>IF(D384="","",HYPERLINK("https://wa.me/"&amp;REGEXREPLACE(D384,"[^\d]","")&amp;"?text="&amp;ENCODEURL(O384),"واتساب 3"))</x:f>
      </x:c>
    </x:row>
    <x:row r="385" ht="15" hidden="0" customHeight="1">
      <x:c r="A385" s="12" t="str">
        <x:f>IF(Leads!A385="","",Leads!A385)</x:f>
      </x:c>
      <x:c r="B385" s="12" t="str">
        <x:f>IF(Leads!F385="","",Leads!F385)</x:f>
      </x:c>
      <x:c r="C385" s="12" t="str">
        <x:f>IF(Leads!G385="","",Leads!G385)</x:f>
      </x:c>
      <x:c r="D385" s="12" t="str">
        <x:f>IF(Leads!O385="","",Leads!O385)</x:f>
      </x:c>
      <x:c r="E385" s="12" t="str">
        <x:f>IF(Leads!AV385="","",Leads!AV385)</x:f>
      </x:c>
      <x:c r="F385" s="12" t="str">
        <x:f>IF(Leads!AX385="","",Leads!AX385)</x:f>
      </x:c>
      <x:c r="G385" s="12" t="str">
        <x:f>IF(Leads!BC385="","",Leads!BC385)</x:f>
      </x:c>
      <x:c r="H385" s="12" t="str">
        <x:f>IF(Leads!BE385="","",Leads!BE385)</x:f>
      </x:c>
      <x:c r="I385" s="12" t="str">
        <x:f>IF(Leads!BG385="","",Leads!BG385)</x:f>
      </x:c>
      <x:c r="J385" s="12" t="str">
        <x:f>IF(Leads!BH385="","",Leads!BH385)</x:f>
      </x:c>
      <x:c r="K385" s="12" t="str">
        <x:f>IF(A385="","","مرحبًا "&amp;C385&amp;CHAR(10)&amp;CHAR(10)&amp;"شكرًا لإتمام تقييم DBD الخاص بعيادة "&amp;B385&amp;"."&amp;CHAR(10)&amp;"نتيجتكم الحالية: "&amp;E385&amp;"%."&amp;CHAR(10)&amp;"أولوية التحسين الأولى: "&amp;F385&amp;"."&amp;IF(J385&lt;&gt;"",CHAR(10)&amp;CHAR(10)&amp;"رابط التقرير: "&amp;J385,"")&amp;CHAR(10)&amp;CHAR(10)&amp;"إذا أحببت، يمكننا مساعدتك في فهم التقرير وتحديد أفضل خطوة تالية لعيادتكم.")</x:f>
      </x:c>
      <x:c r="L385" s="12" t="str">
        <x:f>IF(D385="","",HYPERLINK("https://wa.me/"&amp;REGEXREPLACE(D385,"[^\d]","")&amp;"?text="&amp;ENCODEURL(K385),"واتساب 1"))</x:f>
      </x:c>
      <x:c r="M385" s="12" t="str">
        <x:f>IF(A385="","","مرحبًا "&amp;C385&amp;CHAR(10)&amp;CHAR(10)&amp;"بناءً على نتيجة تقييم عيادة "&amp;B385&amp;"، فإن الترشيح الأقوى لكم الآن هو: "&amp;G385&amp;"."&amp;CHAR(10)&amp;"هذا الخيار يساعدكم في معالجة أكبر فجوة حالية بشكل عملي ومباشر."&amp;IF(J385&lt;&gt;"",CHAR(10)&amp;CHAR(10)&amp;"رابط التقرير: "&amp;J385,"")&amp;CHAR(10)&amp;CHAR(10)&amp;"إذا رغبت، يمكننا توضيح لماذا هذا الكورس هو الأنسب لكم الآن.")</x:f>
      </x:c>
      <x:c r="N385" s="12" t="str">
        <x:f>IF(D385="","",HYPERLINK("https://wa.me/"&amp;REGEXREPLACE(D385,"[^\d]","")&amp;"?text="&amp;ENCODEURL(M385),"واتساب 2"))</x:f>
      </x:c>
      <x:c r="O385" s="12" t="str">
        <x:f>IF(A385="","","مرحبًا "&amp;C385&amp;CHAR(10)&amp;CHAR(10)&amp;"إذا كانت التحديات لديكم تحتاج حلًا أشمل، فالبرنامج الكامل المناسب لكم هو: "&amp;H385&amp;"."&amp;IF(I385&lt;&gt;"",CHAR(10)&amp;"كما يمكنكم أيضًا حجز: "&amp;I385&amp;".","")&amp;IF(J385&lt;&gt;"",CHAR(10)&amp;CHAR(10)&amp;"رابط التقرير: "&amp;J385,"")&amp;CHAR(10)&amp;CHAR(10)&amp;"يسعدنا مساعدتكم في اختيار المسار الأنسب حسب وضع العيادة الحالي.")</x:f>
      </x:c>
      <x:c r="P385" s="12" t="str">
        <x:f>IF(D385="","",HYPERLINK("https://wa.me/"&amp;REGEXREPLACE(D385,"[^\d]","")&amp;"?text="&amp;ENCODEURL(O385),"واتساب 3"))</x:f>
      </x:c>
    </x:row>
    <x:row r="386" ht="15" hidden="0" customHeight="1">
      <x:c r="A386" s="12" t="str">
        <x:f>IF(Leads!A386="","",Leads!A386)</x:f>
      </x:c>
      <x:c r="B386" s="12" t="str">
        <x:f>IF(Leads!F386="","",Leads!F386)</x:f>
      </x:c>
      <x:c r="C386" s="12" t="str">
        <x:f>IF(Leads!G386="","",Leads!G386)</x:f>
      </x:c>
      <x:c r="D386" s="12" t="str">
        <x:f>IF(Leads!O386="","",Leads!O386)</x:f>
      </x:c>
      <x:c r="E386" s="12" t="str">
        <x:f>IF(Leads!AV386="","",Leads!AV386)</x:f>
      </x:c>
      <x:c r="F386" s="12" t="str">
        <x:f>IF(Leads!AX386="","",Leads!AX386)</x:f>
      </x:c>
      <x:c r="G386" s="12" t="str">
        <x:f>IF(Leads!BC386="","",Leads!BC386)</x:f>
      </x:c>
      <x:c r="H386" s="12" t="str">
        <x:f>IF(Leads!BE386="","",Leads!BE386)</x:f>
      </x:c>
      <x:c r="I386" s="12" t="str">
        <x:f>IF(Leads!BG386="","",Leads!BG386)</x:f>
      </x:c>
      <x:c r="J386" s="12" t="str">
        <x:f>IF(Leads!BH386="","",Leads!BH386)</x:f>
      </x:c>
      <x:c r="K386" s="12" t="str">
        <x:f>IF(A386="","","مرحبًا "&amp;C386&amp;CHAR(10)&amp;CHAR(10)&amp;"شكرًا لإتمام تقييم DBD الخاص بعيادة "&amp;B386&amp;"."&amp;CHAR(10)&amp;"نتيجتكم الحالية: "&amp;E386&amp;"%."&amp;CHAR(10)&amp;"أولوية التحسين الأولى: "&amp;F386&amp;"."&amp;IF(J386&lt;&gt;"",CHAR(10)&amp;CHAR(10)&amp;"رابط التقرير: "&amp;J386,"")&amp;CHAR(10)&amp;CHAR(10)&amp;"إذا أحببت، يمكننا مساعدتك في فهم التقرير وتحديد أفضل خطوة تالية لعيادتكم.")</x:f>
      </x:c>
      <x:c r="L386" s="12" t="str">
        <x:f>IF(D386="","",HYPERLINK("https://wa.me/"&amp;REGEXREPLACE(D386,"[^\d]","")&amp;"?text="&amp;ENCODEURL(K386),"واتساب 1"))</x:f>
      </x:c>
      <x:c r="M386" s="12" t="str">
        <x:f>IF(A386="","","مرحبًا "&amp;C386&amp;CHAR(10)&amp;CHAR(10)&amp;"بناءً على نتيجة تقييم عيادة "&amp;B386&amp;"، فإن الترشيح الأقوى لكم الآن هو: "&amp;G386&amp;"."&amp;CHAR(10)&amp;"هذا الخيار يساعدكم في معالجة أكبر فجوة حالية بشكل عملي ومباشر."&amp;IF(J386&lt;&gt;"",CHAR(10)&amp;CHAR(10)&amp;"رابط التقرير: "&amp;J386,"")&amp;CHAR(10)&amp;CHAR(10)&amp;"إذا رغبت، يمكننا توضيح لماذا هذا الكورس هو الأنسب لكم الآن.")</x:f>
      </x:c>
      <x:c r="N386" s="12" t="str">
        <x:f>IF(D386="","",HYPERLINK("https://wa.me/"&amp;REGEXREPLACE(D386,"[^\d]","")&amp;"?text="&amp;ENCODEURL(M386),"واتساب 2"))</x:f>
      </x:c>
      <x:c r="O386" s="12" t="str">
        <x:f>IF(A386="","","مرحبًا "&amp;C386&amp;CHAR(10)&amp;CHAR(10)&amp;"إذا كانت التحديات لديكم تحتاج حلًا أشمل، فالبرنامج الكامل المناسب لكم هو: "&amp;H386&amp;"."&amp;IF(I386&lt;&gt;"",CHAR(10)&amp;"كما يمكنكم أيضًا حجز: "&amp;I386&amp;".","")&amp;IF(J386&lt;&gt;"",CHAR(10)&amp;CHAR(10)&amp;"رابط التقرير: "&amp;J386,"")&amp;CHAR(10)&amp;CHAR(10)&amp;"يسعدنا مساعدتكم في اختيار المسار الأنسب حسب وضع العيادة الحالي.")</x:f>
      </x:c>
      <x:c r="P386" s="12" t="str">
        <x:f>IF(D386="","",HYPERLINK("https://wa.me/"&amp;REGEXREPLACE(D386,"[^\d]","")&amp;"?text="&amp;ENCODEURL(O386),"واتساب 3"))</x:f>
      </x:c>
    </x:row>
    <x:row r="387" ht="15" hidden="0" customHeight="1">
      <x:c r="A387" s="12" t="str">
        <x:f>IF(Leads!A387="","",Leads!A387)</x:f>
      </x:c>
      <x:c r="B387" s="12" t="str">
        <x:f>IF(Leads!F387="","",Leads!F387)</x:f>
      </x:c>
      <x:c r="C387" s="12" t="str">
        <x:f>IF(Leads!G387="","",Leads!G387)</x:f>
      </x:c>
      <x:c r="D387" s="12" t="str">
        <x:f>IF(Leads!O387="","",Leads!O387)</x:f>
      </x:c>
      <x:c r="E387" s="12" t="str">
        <x:f>IF(Leads!AV387="","",Leads!AV387)</x:f>
      </x:c>
      <x:c r="F387" s="12" t="str">
        <x:f>IF(Leads!AX387="","",Leads!AX387)</x:f>
      </x:c>
      <x:c r="G387" s="12" t="str">
        <x:f>IF(Leads!BC387="","",Leads!BC387)</x:f>
      </x:c>
      <x:c r="H387" s="12" t="str">
        <x:f>IF(Leads!BE387="","",Leads!BE387)</x:f>
      </x:c>
      <x:c r="I387" s="12" t="str">
        <x:f>IF(Leads!BG387="","",Leads!BG387)</x:f>
      </x:c>
      <x:c r="J387" s="12" t="str">
        <x:f>IF(Leads!BH387="","",Leads!BH387)</x:f>
      </x:c>
      <x:c r="K387" s="12" t="str">
        <x:f>IF(A387="","","مرحبًا "&amp;C387&amp;CHAR(10)&amp;CHAR(10)&amp;"شكرًا لإتمام تقييم DBD الخاص بعيادة "&amp;B387&amp;"."&amp;CHAR(10)&amp;"نتيجتكم الحالية: "&amp;E387&amp;"%."&amp;CHAR(10)&amp;"أولوية التحسين الأولى: "&amp;F387&amp;"."&amp;IF(J387&lt;&gt;"",CHAR(10)&amp;CHAR(10)&amp;"رابط التقرير: "&amp;J387,"")&amp;CHAR(10)&amp;CHAR(10)&amp;"إذا أحببت، يمكننا مساعدتك في فهم التقرير وتحديد أفضل خطوة تالية لعيادتكم.")</x:f>
      </x:c>
      <x:c r="L387" s="12" t="str">
        <x:f>IF(D387="","",HYPERLINK("https://wa.me/"&amp;REGEXREPLACE(D387,"[^\d]","")&amp;"?text="&amp;ENCODEURL(K387),"واتساب 1"))</x:f>
      </x:c>
      <x:c r="M387" s="12" t="str">
        <x:f>IF(A387="","","مرحبًا "&amp;C387&amp;CHAR(10)&amp;CHAR(10)&amp;"بناءً على نتيجة تقييم عيادة "&amp;B387&amp;"، فإن الترشيح الأقوى لكم الآن هو: "&amp;G387&amp;"."&amp;CHAR(10)&amp;"هذا الخيار يساعدكم في معالجة أكبر فجوة حالية بشكل عملي ومباشر."&amp;IF(J387&lt;&gt;"",CHAR(10)&amp;CHAR(10)&amp;"رابط التقرير: "&amp;J387,"")&amp;CHAR(10)&amp;CHAR(10)&amp;"إذا رغبت، يمكننا توضيح لماذا هذا الكورس هو الأنسب لكم الآن.")</x:f>
      </x:c>
      <x:c r="N387" s="12" t="str">
        <x:f>IF(D387="","",HYPERLINK("https://wa.me/"&amp;REGEXREPLACE(D387,"[^\d]","")&amp;"?text="&amp;ENCODEURL(M387),"واتساب 2"))</x:f>
      </x:c>
      <x:c r="O387" s="12" t="str">
        <x:f>IF(A387="","","مرحبًا "&amp;C387&amp;CHAR(10)&amp;CHAR(10)&amp;"إذا كانت التحديات لديكم تحتاج حلًا أشمل، فالبرنامج الكامل المناسب لكم هو: "&amp;H387&amp;"."&amp;IF(I387&lt;&gt;"",CHAR(10)&amp;"كما يمكنكم أيضًا حجز: "&amp;I387&amp;".","")&amp;IF(J387&lt;&gt;"",CHAR(10)&amp;CHAR(10)&amp;"رابط التقرير: "&amp;J387,"")&amp;CHAR(10)&amp;CHAR(10)&amp;"يسعدنا مساعدتكم في اختيار المسار الأنسب حسب وضع العيادة الحالي.")</x:f>
      </x:c>
      <x:c r="P387" s="12" t="str">
        <x:f>IF(D387="","",HYPERLINK("https://wa.me/"&amp;REGEXREPLACE(D387,"[^\d]","")&amp;"?text="&amp;ENCODEURL(O387),"واتساب 3"))</x:f>
      </x:c>
    </x:row>
    <x:row r="388" ht="15" hidden="0" customHeight="1">
      <x:c r="A388" s="12" t="str">
        <x:f>IF(Leads!A388="","",Leads!A388)</x:f>
      </x:c>
      <x:c r="B388" s="12" t="str">
        <x:f>IF(Leads!F388="","",Leads!F388)</x:f>
      </x:c>
      <x:c r="C388" s="12" t="str">
        <x:f>IF(Leads!G388="","",Leads!G388)</x:f>
      </x:c>
      <x:c r="D388" s="12" t="str">
        <x:f>IF(Leads!O388="","",Leads!O388)</x:f>
      </x:c>
      <x:c r="E388" s="12" t="str">
        <x:f>IF(Leads!AV388="","",Leads!AV388)</x:f>
      </x:c>
      <x:c r="F388" s="12" t="str">
        <x:f>IF(Leads!AX388="","",Leads!AX388)</x:f>
      </x:c>
      <x:c r="G388" s="12" t="str">
        <x:f>IF(Leads!BC388="","",Leads!BC388)</x:f>
      </x:c>
      <x:c r="H388" s="12" t="str">
        <x:f>IF(Leads!BE388="","",Leads!BE388)</x:f>
      </x:c>
      <x:c r="I388" s="12" t="str">
        <x:f>IF(Leads!BG388="","",Leads!BG388)</x:f>
      </x:c>
      <x:c r="J388" s="12" t="str">
        <x:f>IF(Leads!BH388="","",Leads!BH388)</x:f>
      </x:c>
      <x:c r="K388" s="12" t="str">
        <x:f>IF(A388="","","مرحبًا "&amp;C388&amp;CHAR(10)&amp;CHAR(10)&amp;"شكرًا لإتمام تقييم DBD الخاص بعيادة "&amp;B388&amp;"."&amp;CHAR(10)&amp;"نتيجتكم الحالية: "&amp;E388&amp;"%."&amp;CHAR(10)&amp;"أولوية التحسين الأولى: "&amp;F388&amp;"."&amp;IF(J388&lt;&gt;"",CHAR(10)&amp;CHAR(10)&amp;"رابط التقرير: "&amp;J388,"")&amp;CHAR(10)&amp;CHAR(10)&amp;"إذا أحببت، يمكننا مساعدتك في فهم التقرير وتحديد أفضل خطوة تالية لعيادتكم.")</x:f>
      </x:c>
      <x:c r="L388" s="12" t="str">
        <x:f>IF(D388="","",HYPERLINK("https://wa.me/"&amp;REGEXREPLACE(D388,"[^\d]","")&amp;"?text="&amp;ENCODEURL(K388),"واتساب 1"))</x:f>
      </x:c>
      <x:c r="M388" s="12" t="str">
        <x:f>IF(A388="","","مرحبًا "&amp;C388&amp;CHAR(10)&amp;CHAR(10)&amp;"بناءً على نتيجة تقييم عيادة "&amp;B388&amp;"، فإن الترشيح الأقوى لكم الآن هو: "&amp;G388&amp;"."&amp;CHAR(10)&amp;"هذا الخيار يساعدكم في معالجة أكبر فجوة حالية بشكل عملي ومباشر."&amp;IF(J388&lt;&gt;"",CHAR(10)&amp;CHAR(10)&amp;"رابط التقرير: "&amp;J388,"")&amp;CHAR(10)&amp;CHAR(10)&amp;"إذا رغبت، يمكننا توضيح لماذا هذا الكورس هو الأنسب لكم الآن.")</x:f>
      </x:c>
      <x:c r="N388" s="12" t="str">
        <x:f>IF(D388="","",HYPERLINK("https://wa.me/"&amp;REGEXREPLACE(D388,"[^\d]","")&amp;"?text="&amp;ENCODEURL(M388),"واتساب 2"))</x:f>
      </x:c>
      <x:c r="O388" s="12" t="str">
        <x:f>IF(A388="","","مرحبًا "&amp;C388&amp;CHAR(10)&amp;CHAR(10)&amp;"إذا كانت التحديات لديكم تحتاج حلًا أشمل، فالبرنامج الكامل المناسب لكم هو: "&amp;H388&amp;"."&amp;IF(I388&lt;&gt;"",CHAR(10)&amp;"كما يمكنكم أيضًا حجز: "&amp;I388&amp;".","")&amp;IF(J388&lt;&gt;"",CHAR(10)&amp;CHAR(10)&amp;"رابط التقرير: "&amp;J388,"")&amp;CHAR(10)&amp;CHAR(10)&amp;"يسعدنا مساعدتكم في اختيار المسار الأنسب حسب وضع العيادة الحالي.")</x:f>
      </x:c>
      <x:c r="P388" s="12" t="str">
        <x:f>IF(D388="","",HYPERLINK("https://wa.me/"&amp;REGEXREPLACE(D388,"[^\d]","")&amp;"?text="&amp;ENCODEURL(O388),"واتساب 3"))</x:f>
      </x:c>
    </x:row>
    <x:row r="389" ht="15" hidden="0" customHeight="1">
      <x:c r="A389" s="12" t="str">
        <x:f>IF(Leads!A389="","",Leads!A389)</x:f>
      </x:c>
      <x:c r="B389" s="12" t="str">
        <x:f>IF(Leads!F389="","",Leads!F389)</x:f>
      </x:c>
      <x:c r="C389" s="12" t="str">
        <x:f>IF(Leads!G389="","",Leads!G389)</x:f>
      </x:c>
      <x:c r="D389" s="12" t="str">
        <x:f>IF(Leads!O389="","",Leads!O389)</x:f>
      </x:c>
      <x:c r="E389" s="12" t="str">
        <x:f>IF(Leads!AV389="","",Leads!AV389)</x:f>
      </x:c>
      <x:c r="F389" s="12" t="str">
        <x:f>IF(Leads!AX389="","",Leads!AX389)</x:f>
      </x:c>
      <x:c r="G389" s="12" t="str">
        <x:f>IF(Leads!BC389="","",Leads!BC389)</x:f>
      </x:c>
      <x:c r="H389" s="12" t="str">
        <x:f>IF(Leads!BE389="","",Leads!BE389)</x:f>
      </x:c>
      <x:c r="I389" s="12" t="str">
        <x:f>IF(Leads!BG389="","",Leads!BG389)</x:f>
      </x:c>
      <x:c r="J389" s="12" t="str">
        <x:f>IF(Leads!BH389="","",Leads!BH389)</x:f>
      </x:c>
      <x:c r="K389" s="12" t="str">
        <x:f>IF(A389="","","مرحبًا "&amp;C389&amp;CHAR(10)&amp;CHAR(10)&amp;"شكرًا لإتمام تقييم DBD الخاص بعيادة "&amp;B389&amp;"."&amp;CHAR(10)&amp;"نتيجتكم الحالية: "&amp;E389&amp;"%."&amp;CHAR(10)&amp;"أولوية التحسين الأولى: "&amp;F389&amp;"."&amp;IF(J389&lt;&gt;"",CHAR(10)&amp;CHAR(10)&amp;"رابط التقرير: "&amp;J389,"")&amp;CHAR(10)&amp;CHAR(10)&amp;"إذا أحببت، يمكننا مساعدتك في فهم التقرير وتحديد أفضل خطوة تالية لعيادتكم.")</x:f>
      </x:c>
      <x:c r="L389" s="12" t="str">
        <x:f>IF(D389="","",HYPERLINK("https://wa.me/"&amp;REGEXREPLACE(D389,"[^\d]","")&amp;"?text="&amp;ENCODEURL(K389),"واتساب 1"))</x:f>
      </x:c>
      <x:c r="M389" s="12" t="str">
        <x:f>IF(A389="","","مرحبًا "&amp;C389&amp;CHAR(10)&amp;CHAR(10)&amp;"بناءً على نتيجة تقييم عيادة "&amp;B389&amp;"، فإن الترشيح الأقوى لكم الآن هو: "&amp;G389&amp;"."&amp;CHAR(10)&amp;"هذا الخيار يساعدكم في معالجة أكبر فجوة حالية بشكل عملي ومباشر."&amp;IF(J389&lt;&gt;"",CHAR(10)&amp;CHAR(10)&amp;"رابط التقرير: "&amp;J389,"")&amp;CHAR(10)&amp;CHAR(10)&amp;"إذا رغبت، يمكننا توضيح لماذا هذا الكورس هو الأنسب لكم الآن.")</x:f>
      </x:c>
      <x:c r="N389" s="12" t="str">
        <x:f>IF(D389="","",HYPERLINK("https://wa.me/"&amp;REGEXREPLACE(D389,"[^\d]","")&amp;"?text="&amp;ENCODEURL(M389),"واتساب 2"))</x:f>
      </x:c>
      <x:c r="O389" s="12" t="str">
        <x:f>IF(A389="","","مرحبًا "&amp;C389&amp;CHAR(10)&amp;CHAR(10)&amp;"إذا كانت التحديات لديكم تحتاج حلًا أشمل، فالبرنامج الكامل المناسب لكم هو: "&amp;H389&amp;"."&amp;IF(I389&lt;&gt;"",CHAR(10)&amp;"كما يمكنكم أيضًا حجز: "&amp;I389&amp;".","")&amp;IF(J389&lt;&gt;"",CHAR(10)&amp;CHAR(10)&amp;"رابط التقرير: "&amp;J389,"")&amp;CHAR(10)&amp;CHAR(10)&amp;"يسعدنا مساعدتكم في اختيار المسار الأنسب حسب وضع العيادة الحالي.")</x:f>
      </x:c>
      <x:c r="P389" s="12" t="str">
        <x:f>IF(D389="","",HYPERLINK("https://wa.me/"&amp;REGEXREPLACE(D389,"[^\d]","")&amp;"?text="&amp;ENCODEURL(O389),"واتساب 3"))</x:f>
      </x:c>
    </x:row>
    <x:row r="390" ht="15" hidden="0" customHeight="1">
      <x:c r="A390" s="12" t="str">
        <x:f>IF(Leads!A390="","",Leads!A390)</x:f>
      </x:c>
      <x:c r="B390" s="12" t="str">
        <x:f>IF(Leads!F390="","",Leads!F390)</x:f>
      </x:c>
      <x:c r="C390" s="12" t="str">
        <x:f>IF(Leads!G390="","",Leads!G390)</x:f>
      </x:c>
      <x:c r="D390" s="12" t="str">
        <x:f>IF(Leads!O390="","",Leads!O390)</x:f>
      </x:c>
      <x:c r="E390" s="12" t="str">
        <x:f>IF(Leads!AV390="","",Leads!AV390)</x:f>
      </x:c>
      <x:c r="F390" s="12" t="str">
        <x:f>IF(Leads!AX390="","",Leads!AX390)</x:f>
      </x:c>
      <x:c r="G390" s="12" t="str">
        <x:f>IF(Leads!BC390="","",Leads!BC390)</x:f>
      </x:c>
      <x:c r="H390" s="12" t="str">
        <x:f>IF(Leads!BE390="","",Leads!BE390)</x:f>
      </x:c>
      <x:c r="I390" s="12" t="str">
        <x:f>IF(Leads!BG390="","",Leads!BG390)</x:f>
      </x:c>
      <x:c r="J390" s="12" t="str">
        <x:f>IF(Leads!BH390="","",Leads!BH390)</x:f>
      </x:c>
      <x:c r="K390" s="12" t="str">
        <x:f>IF(A390="","","مرحبًا "&amp;C390&amp;CHAR(10)&amp;CHAR(10)&amp;"شكرًا لإتمام تقييم DBD الخاص بعيادة "&amp;B390&amp;"."&amp;CHAR(10)&amp;"نتيجتكم الحالية: "&amp;E390&amp;"%."&amp;CHAR(10)&amp;"أولوية التحسين الأولى: "&amp;F390&amp;"."&amp;IF(J390&lt;&gt;"",CHAR(10)&amp;CHAR(10)&amp;"رابط التقرير: "&amp;J390,"")&amp;CHAR(10)&amp;CHAR(10)&amp;"إذا أحببت، يمكننا مساعدتك في فهم التقرير وتحديد أفضل خطوة تالية لعيادتكم.")</x:f>
      </x:c>
      <x:c r="L390" s="12" t="str">
        <x:f>IF(D390="","",HYPERLINK("https://wa.me/"&amp;REGEXREPLACE(D390,"[^\d]","")&amp;"?text="&amp;ENCODEURL(K390),"واتساب 1"))</x:f>
      </x:c>
      <x:c r="M390" s="12" t="str">
        <x:f>IF(A390="","","مرحبًا "&amp;C390&amp;CHAR(10)&amp;CHAR(10)&amp;"بناءً على نتيجة تقييم عيادة "&amp;B390&amp;"، فإن الترشيح الأقوى لكم الآن هو: "&amp;G390&amp;"."&amp;CHAR(10)&amp;"هذا الخيار يساعدكم في معالجة أكبر فجوة حالية بشكل عملي ومباشر."&amp;IF(J390&lt;&gt;"",CHAR(10)&amp;CHAR(10)&amp;"رابط التقرير: "&amp;J390,"")&amp;CHAR(10)&amp;CHAR(10)&amp;"إذا رغبت، يمكننا توضيح لماذا هذا الكورس هو الأنسب لكم الآن.")</x:f>
      </x:c>
      <x:c r="N390" s="12" t="str">
        <x:f>IF(D390="","",HYPERLINK("https://wa.me/"&amp;REGEXREPLACE(D390,"[^\d]","")&amp;"?text="&amp;ENCODEURL(M390),"واتساب 2"))</x:f>
      </x:c>
      <x:c r="O390" s="12" t="str">
        <x:f>IF(A390="","","مرحبًا "&amp;C390&amp;CHAR(10)&amp;CHAR(10)&amp;"إذا كانت التحديات لديكم تحتاج حلًا أشمل، فالبرنامج الكامل المناسب لكم هو: "&amp;H390&amp;"."&amp;IF(I390&lt;&gt;"",CHAR(10)&amp;"كما يمكنكم أيضًا حجز: "&amp;I390&amp;".","")&amp;IF(J390&lt;&gt;"",CHAR(10)&amp;CHAR(10)&amp;"رابط التقرير: "&amp;J390,"")&amp;CHAR(10)&amp;CHAR(10)&amp;"يسعدنا مساعدتكم في اختيار المسار الأنسب حسب وضع العيادة الحالي.")</x:f>
      </x:c>
      <x:c r="P390" s="12" t="str">
        <x:f>IF(D390="","",HYPERLINK("https://wa.me/"&amp;REGEXREPLACE(D390,"[^\d]","")&amp;"?text="&amp;ENCODEURL(O390),"واتساب 3"))</x:f>
      </x:c>
    </x:row>
    <x:row r="391" ht="15" hidden="0" customHeight="1">
      <x:c r="A391" s="12" t="str">
        <x:f>IF(Leads!A391="","",Leads!A391)</x:f>
      </x:c>
      <x:c r="B391" s="12" t="str">
        <x:f>IF(Leads!F391="","",Leads!F391)</x:f>
      </x:c>
      <x:c r="C391" s="12" t="str">
        <x:f>IF(Leads!G391="","",Leads!G391)</x:f>
      </x:c>
      <x:c r="D391" s="12" t="str">
        <x:f>IF(Leads!O391="","",Leads!O391)</x:f>
      </x:c>
      <x:c r="E391" s="12" t="str">
        <x:f>IF(Leads!AV391="","",Leads!AV391)</x:f>
      </x:c>
      <x:c r="F391" s="12" t="str">
        <x:f>IF(Leads!AX391="","",Leads!AX391)</x:f>
      </x:c>
      <x:c r="G391" s="12" t="str">
        <x:f>IF(Leads!BC391="","",Leads!BC391)</x:f>
      </x:c>
      <x:c r="H391" s="12" t="str">
        <x:f>IF(Leads!BE391="","",Leads!BE391)</x:f>
      </x:c>
      <x:c r="I391" s="12" t="str">
        <x:f>IF(Leads!BG391="","",Leads!BG391)</x:f>
      </x:c>
      <x:c r="J391" s="12" t="str">
        <x:f>IF(Leads!BH391="","",Leads!BH391)</x:f>
      </x:c>
      <x:c r="K391" s="12" t="str">
        <x:f>IF(A391="","","مرحبًا "&amp;C391&amp;CHAR(10)&amp;CHAR(10)&amp;"شكرًا لإتمام تقييم DBD الخاص بعيادة "&amp;B391&amp;"."&amp;CHAR(10)&amp;"نتيجتكم الحالية: "&amp;E391&amp;"%."&amp;CHAR(10)&amp;"أولوية التحسين الأولى: "&amp;F391&amp;"."&amp;IF(J391&lt;&gt;"",CHAR(10)&amp;CHAR(10)&amp;"رابط التقرير: "&amp;J391,"")&amp;CHAR(10)&amp;CHAR(10)&amp;"إذا أحببت، يمكننا مساعدتك في فهم التقرير وتحديد أفضل خطوة تالية لعيادتكم.")</x:f>
      </x:c>
      <x:c r="L391" s="12" t="str">
        <x:f>IF(D391="","",HYPERLINK("https://wa.me/"&amp;REGEXREPLACE(D391,"[^\d]","")&amp;"?text="&amp;ENCODEURL(K391),"واتساب 1"))</x:f>
      </x:c>
      <x:c r="M391" s="12" t="str">
        <x:f>IF(A391="","","مرحبًا "&amp;C391&amp;CHAR(10)&amp;CHAR(10)&amp;"بناءً على نتيجة تقييم عيادة "&amp;B391&amp;"، فإن الترشيح الأقوى لكم الآن هو: "&amp;G391&amp;"."&amp;CHAR(10)&amp;"هذا الخيار يساعدكم في معالجة أكبر فجوة حالية بشكل عملي ومباشر."&amp;IF(J391&lt;&gt;"",CHAR(10)&amp;CHAR(10)&amp;"رابط التقرير: "&amp;J391,"")&amp;CHAR(10)&amp;CHAR(10)&amp;"إذا رغبت، يمكننا توضيح لماذا هذا الكورس هو الأنسب لكم الآن.")</x:f>
      </x:c>
      <x:c r="N391" s="12" t="str">
        <x:f>IF(D391="","",HYPERLINK("https://wa.me/"&amp;REGEXREPLACE(D391,"[^\d]","")&amp;"?text="&amp;ENCODEURL(M391),"واتساب 2"))</x:f>
      </x:c>
      <x:c r="O391" s="12" t="str">
        <x:f>IF(A391="","","مرحبًا "&amp;C391&amp;CHAR(10)&amp;CHAR(10)&amp;"إذا كانت التحديات لديكم تحتاج حلًا أشمل، فالبرنامج الكامل المناسب لكم هو: "&amp;H391&amp;"."&amp;IF(I391&lt;&gt;"",CHAR(10)&amp;"كما يمكنكم أيضًا حجز: "&amp;I391&amp;".","")&amp;IF(J391&lt;&gt;"",CHAR(10)&amp;CHAR(10)&amp;"رابط التقرير: "&amp;J391,"")&amp;CHAR(10)&amp;CHAR(10)&amp;"يسعدنا مساعدتكم في اختيار المسار الأنسب حسب وضع العيادة الحالي.")</x:f>
      </x:c>
      <x:c r="P391" s="12" t="str">
        <x:f>IF(D391="","",HYPERLINK("https://wa.me/"&amp;REGEXREPLACE(D391,"[^\d]","")&amp;"?text="&amp;ENCODEURL(O391),"واتساب 3"))</x:f>
      </x:c>
    </x:row>
    <x:row r="392" ht="15" hidden="0" customHeight="1">
      <x:c r="A392" s="12" t="str">
        <x:f>IF(Leads!A392="","",Leads!A392)</x:f>
      </x:c>
      <x:c r="B392" s="12" t="str">
        <x:f>IF(Leads!F392="","",Leads!F392)</x:f>
      </x:c>
      <x:c r="C392" s="12" t="str">
        <x:f>IF(Leads!G392="","",Leads!G392)</x:f>
      </x:c>
      <x:c r="D392" s="12" t="str">
        <x:f>IF(Leads!O392="","",Leads!O392)</x:f>
      </x:c>
      <x:c r="E392" s="12" t="str">
        <x:f>IF(Leads!AV392="","",Leads!AV392)</x:f>
      </x:c>
      <x:c r="F392" s="12" t="str">
        <x:f>IF(Leads!AX392="","",Leads!AX392)</x:f>
      </x:c>
      <x:c r="G392" s="12" t="str">
        <x:f>IF(Leads!BC392="","",Leads!BC392)</x:f>
      </x:c>
      <x:c r="H392" s="12" t="str">
        <x:f>IF(Leads!BE392="","",Leads!BE392)</x:f>
      </x:c>
      <x:c r="I392" s="12" t="str">
        <x:f>IF(Leads!BG392="","",Leads!BG392)</x:f>
      </x:c>
      <x:c r="J392" s="12" t="str">
        <x:f>IF(Leads!BH392="","",Leads!BH392)</x:f>
      </x:c>
      <x:c r="K392" s="12" t="str">
        <x:f>IF(A392="","","مرحبًا "&amp;C392&amp;CHAR(10)&amp;CHAR(10)&amp;"شكرًا لإتمام تقييم DBD الخاص بعيادة "&amp;B392&amp;"."&amp;CHAR(10)&amp;"نتيجتكم الحالية: "&amp;E392&amp;"%."&amp;CHAR(10)&amp;"أولوية التحسين الأولى: "&amp;F392&amp;"."&amp;IF(J392&lt;&gt;"",CHAR(10)&amp;CHAR(10)&amp;"رابط التقرير: "&amp;J392,"")&amp;CHAR(10)&amp;CHAR(10)&amp;"إذا أحببت، يمكننا مساعدتك في فهم التقرير وتحديد أفضل خطوة تالية لعيادتكم.")</x:f>
      </x:c>
      <x:c r="L392" s="12" t="str">
        <x:f>IF(D392="","",HYPERLINK("https://wa.me/"&amp;REGEXREPLACE(D392,"[^\d]","")&amp;"?text="&amp;ENCODEURL(K392),"واتساب 1"))</x:f>
      </x:c>
      <x:c r="M392" s="12" t="str">
        <x:f>IF(A392="","","مرحبًا "&amp;C392&amp;CHAR(10)&amp;CHAR(10)&amp;"بناءً على نتيجة تقييم عيادة "&amp;B392&amp;"، فإن الترشيح الأقوى لكم الآن هو: "&amp;G392&amp;"."&amp;CHAR(10)&amp;"هذا الخيار يساعدكم في معالجة أكبر فجوة حالية بشكل عملي ومباشر."&amp;IF(J392&lt;&gt;"",CHAR(10)&amp;CHAR(10)&amp;"رابط التقرير: "&amp;J392,"")&amp;CHAR(10)&amp;CHAR(10)&amp;"إذا رغبت، يمكننا توضيح لماذا هذا الكورس هو الأنسب لكم الآن.")</x:f>
      </x:c>
      <x:c r="N392" s="12" t="str">
        <x:f>IF(D392="","",HYPERLINK("https://wa.me/"&amp;REGEXREPLACE(D392,"[^\d]","")&amp;"?text="&amp;ENCODEURL(M392),"واتساب 2"))</x:f>
      </x:c>
      <x:c r="O392" s="12" t="str">
        <x:f>IF(A392="","","مرحبًا "&amp;C392&amp;CHAR(10)&amp;CHAR(10)&amp;"إذا كانت التحديات لديكم تحتاج حلًا أشمل، فالبرنامج الكامل المناسب لكم هو: "&amp;H392&amp;"."&amp;IF(I392&lt;&gt;"",CHAR(10)&amp;"كما يمكنكم أيضًا حجز: "&amp;I392&amp;".","")&amp;IF(J392&lt;&gt;"",CHAR(10)&amp;CHAR(10)&amp;"رابط التقرير: "&amp;J392,"")&amp;CHAR(10)&amp;CHAR(10)&amp;"يسعدنا مساعدتكم في اختيار المسار الأنسب حسب وضع العيادة الحالي.")</x:f>
      </x:c>
      <x:c r="P392" s="12" t="str">
        <x:f>IF(D392="","",HYPERLINK("https://wa.me/"&amp;REGEXREPLACE(D392,"[^\d]","")&amp;"?text="&amp;ENCODEURL(O392),"واتساب 3"))</x:f>
      </x:c>
    </x:row>
    <x:row r="393" ht="15" hidden="0" customHeight="1">
      <x:c r="A393" s="12" t="str">
        <x:f>IF(Leads!A393="","",Leads!A393)</x:f>
      </x:c>
      <x:c r="B393" s="12" t="str">
        <x:f>IF(Leads!F393="","",Leads!F393)</x:f>
      </x:c>
      <x:c r="C393" s="12" t="str">
        <x:f>IF(Leads!G393="","",Leads!G393)</x:f>
      </x:c>
      <x:c r="D393" s="12" t="str">
        <x:f>IF(Leads!O393="","",Leads!O393)</x:f>
      </x:c>
      <x:c r="E393" s="12" t="str">
        <x:f>IF(Leads!AV393="","",Leads!AV393)</x:f>
      </x:c>
      <x:c r="F393" s="12" t="str">
        <x:f>IF(Leads!AX393="","",Leads!AX393)</x:f>
      </x:c>
      <x:c r="G393" s="12" t="str">
        <x:f>IF(Leads!BC393="","",Leads!BC393)</x:f>
      </x:c>
      <x:c r="H393" s="12" t="str">
        <x:f>IF(Leads!BE393="","",Leads!BE393)</x:f>
      </x:c>
      <x:c r="I393" s="12" t="str">
        <x:f>IF(Leads!BG393="","",Leads!BG393)</x:f>
      </x:c>
      <x:c r="J393" s="12" t="str">
        <x:f>IF(Leads!BH393="","",Leads!BH393)</x:f>
      </x:c>
      <x:c r="K393" s="12" t="str">
        <x:f>IF(A393="","","مرحبًا "&amp;C393&amp;CHAR(10)&amp;CHAR(10)&amp;"شكرًا لإتمام تقييم DBD الخاص بعيادة "&amp;B393&amp;"."&amp;CHAR(10)&amp;"نتيجتكم الحالية: "&amp;E393&amp;"%."&amp;CHAR(10)&amp;"أولوية التحسين الأولى: "&amp;F393&amp;"."&amp;IF(J393&lt;&gt;"",CHAR(10)&amp;CHAR(10)&amp;"رابط التقرير: "&amp;J393,"")&amp;CHAR(10)&amp;CHAR(10)&amp;"إذا أحببت، يمكننا مساعدتك في فهم التقرير وتحديد أفضل خطوة تالية لعيادتكم.")</x:f>
      </x:c>
      <x:c r="L393" s="12" t="str">
        <x:f>IF(D393="","",HYPERLINK("https://wa.me/"&amp;REGEXREPLACE(D393,"[^\d]","")&amp;"?text="&amp;ENCODEURL(K393),"واتساب 1"))</x:f>
      </x:c>
      <x:c r="M393" s="12" t="str">
        <x:f>IF(A393="","","مرحبًا "&amp;C393&amp;CHAR(10)&amp;CHAR(10)&amp;"بناءً على نتيجة تقييم عيادة "&amp;B393&amp;"، فإن الترشيح الأقوى لكم الآن هو: "&amp;G393&amp;"."&amp;CHAR(10)&amp;"هذا الخيار يساعدكم في معالجة أكبر فجوة حالية بشكل عملي ومباشر."&amp;IF(J393&lt;&gt;"",CHAR(10)&amp;CHAR(10)&amp;"رابط التقرير: "&amp;J393,"")&amp;CHAR(10)&amp;CHAR(10)&amp;"إذا رغبت، يمكننا توضيح لماذا هذا الكورس هو الأنسب لكم الآن.")</x:f>
      </x:c>
      <x:c r="N393" s="12" t="str">
        <x:f>IF(D393="","",HYPERLINK("https://wa.me/"&amp;REGEXREPLACE(D393,"[^\d]","")&amp;"?text="&amp;ENCODEURL(M393),"واتساب 2"))</x:f>
      </x:c>
      <x:c r="O393" s="12" t="str">
        <x:f>IF(A393="","","مرحبًا "&amp;C393&amp;CHAR(10)&amp;CHAR(10)&amp;"إذا كانت التحديات لديكم تحتاج حلًا أشمل، فالبرنامج الكامل المناسب لكم هو: "&amp;H393&amp;"."&amp;IF(I393&lt;&gt;"",CHAR(10)&amp;"كما يمكنكم أيضًا حجز: "&amp;I393&amp;".","")&amp;IF(J393&lt;&gt;"",CHAR(10)&amp;CHAR(10)&amp;"رابط التقرير: "&amp;J393,"")&amp;CHAR(10)&amp;CHAR(10)&amp;"يسعدنا مساعدتكم في اختيار المسار الأنسب حسب وضع العيادة الحالي.")</x:f>
      </x:c>
      <x:c r="P393" s="12" t="str">
        <x:f>IF(D393="","",HYPERLINK("https://wa.me/"&amp;REGEXREPLACE(D393,"[^\d]","")&amp;"?text="&amp;ENCODEURL(O393),"واتساب 3"))</x:f>
      </x:c>
    </x:row>
    <x:row r="394" ht="15" hidden="0" customHeight="1">
      <x:c r="A394" s="12" t="str">
        <x:f>IF(Leads!A394="","",Leads!A394)</x:f>
      </x:c>
      <x:c r="B394" s="12" t="str">
        <x:f>IF(Leads!F394="","",Leads!F394)</x:f>
      </x:c>
      <x:c r="C394" s="12" t="str">
        <x:f>IF(Leads!G394="","",Leads!G394)</x:f>
      </x:c>
      <x:c r="D394" s="12" t="str">
        <x:f>IF(Leads!O394="","",Leads!O394)</x:f>
      </x:c>
      <x:c r="E394" s="12" t="str">
        <x:f>IF(Leads!AV394="","",Leads!AV394)</x:f>
      </x:c>
      <x:c r="F394" s="12" t="str">
        <x:f>IF(Leads!AX394="","",Leads!AX394)</x:f>
      </x:c>
      <x:c r="G394" s="12" t="str">
        <x:f>IF(Leads!BC394="","",Leads!BC394)</x:f>
      </x:c>
      <x:c r="H394" s="12" t="str">
        <x:f>IF(Leads!BE394="","",Leads!BE394)</x:f>
      </x:c>
      <x:c r="I394" s="12" t="str">
        <x:f>IF(Leads!BG394="","",Leads!BG394)</x:f>
      </x:c>
      <x:c r="J394" s="12" t="str">
        <x:f>IF(Leads!BH394="","",Leads!BH394)</x:f>
      </x:c>
      <x:c r="K394" s="12" t="str">
        <x:f>IF(A394="","","مرحبًا "&amp;C394&amp;CHAR(10)&amp;CHAR(10)&amp;"شكرًا لإتمام تقييم DBD الخاص بعيادة "&amp;B394&amp;"."&amp;CHAR(10)&amp;"نتيجتكم الحالية: "&amp;E394&amp;"%."&amp;CHAR(10)&amp;"أولوية التحسين الأولى: "&amp;F394&amp;"."&amp;IF(J394&lt;&gt;"",CHAR(10)&amp;CHAR(10)&amp;"رابط التقرير: "&amp;J394,"")&amp;CHAR(10)&amp;CHAR(10)&amp;"إذا أحببت، يمكننا مساعدتك في فهم التقرير وتحديد أفضل خطوة تالية لعيادتكم.")</x:f>
      </x:c>
      <x:c r="L394" s="12" t="str">
        <x:f>IF(D394="","",HYPERLINK("https://wa.me/"&amp;REGEXREPLACE(D394,"[^\d]","")&amp;"?text="&amp;ENCODEURL(K394),"واتساب 1"))</x:f>
      </x:c>
      <x:c r="M394" s="12" t="str">
        <x:f>IF(A394="","","مرحبًا "&amp;C394&amp;CHAR(10)&amp;CHAR(10)&amp;"بناءً على نتيجة تقييم عيادة "&amp;B394&amp;"، فإن الترشيح الأقوى لكم الآن هو: "&amp;G394&amp;"."&amp;CHAR(10)&amp;"هذا الخيار يساعدكم في معالجة أكبر فجوة حالية بشكل عملي ومباشر."&amp;IF(J394&lt;&gt;"",CHAR(10)&amp;CHAR(10)&amp;"رابط التقرير: "&amp;J394,"")&amp;CHAR(10)&amp;CHAR(10)&amp;"إذا رغبت، يمكننا توضيح لماذا هذا الكورس هو الأنسب لكم الآن.")</x:f>
      </x:c>
      <x:c r="N394" s="12" t="str">
        <x:f>IF(D394="","",HYPERLINK("https://wa.me/"&amp;REGEXREPLACE(D394,"[^\d]","")&amp;"?text="&amp;ENCODEURL(M394),"واتساب 2"))</x:f>
      </x:c>
      <x:c r="O394" s="12" t="str">
        <x:f>IF(A394="","","مرحبًا "&amp;C394&amp;CHAR(10)&amp;CHAR(10)&amp;"إذا كانت التحديات لديكم تحتاج حلًا أشمل، فالبرنامج الكامل المناسب لكم هو: "&amp;H394&amp;"."&amp;IF(I394&lt;&gt;"",CHAR(10)&amp;"كما يمكنكم أيضًا حجز: "&amp;I394&amp;".","")&amp;IF(J394&lt;&gt;"",CHAR(10)&amp;CHAR(10)&amp;"رابط التقرير: "&amp;J394,"")&amp;CHAR(10)&amp;CHAR(10)&amp;"يسعدنا مساعدتكم في اختيار المسار الأنسب حسب وضع العيادة الحالي.")</x:f>
      </x:c>
      <x:c r="P394" s="12" t="str">
        <x:f>IF(D394="","",HYPERLINK("https://wa.me/"&amp;REGEXREPLACE(D394,"[^\d]","")&amp;"?text="&amp;ENCODEURL(O394),"واتساب 3"))</x:f>
      </x:c>
    </x:row>
    <x:row r="395" ht="15" hidden="0" customHeight="1">
      <x:c r="A395" s="12" t="str">
        <x:f>IF(Leads!A395="","",Leads!A395)</x:f>
      </x:c>
      <x:c r="B395" s="12" t="str">
        <x:f>IF(Leads!F395="","",Leads!F395)</x:f>
      </x:c>
      <x:c r="C395" s="12" t="str">
        <x:f>IF(Leads!G395="","",Leads!G395)</x:f>
      </x:c>
      <x:c r="D395" s="12" t="str">
        <x:f>IF(Leads!O395="","",Leads!O395)</x:f>
      </x:c>
      <x:c r="E395" s="12" t="str">
        <x:f>IF(Leads!AV395="","",Leads!AV395)</x:f>
      </x:c>
      <x:c r="F395" s="12" t="str">
        <x:f>IF(Leads!AX395="","",Leads!AX395)</x:f>
      </x:c>
      <x:c r="G395" s="12" t="str">
        <x:f>IF(Leads!BC395="","",Leads!BC395)</x:f>
      </x:c>
      <x:c r="H395" s="12" t="str">
        <x:f>IF(Leads!BE395="","",Leads!BE395)</x:f>
      </x:c>
      <x:c r="I395" s="12" t="str">
        <x:f>IF(Leads!BG395="","",Leads!BG395)</x:f>
      </x:c>
      <x:c r="J395" s="12" t="str">
        <x:f>IF(Leads!BH395="","",Leads!BH395)</x:f>
      </x:c>
      <x:c r="K395" s="12" t="str">
        <x:f>IF(A395="","","مرحبًا "&amp;C395&amp;CHAR(10)&amp;CHAR(10)&amp;"شكرًا لإتمام تقييم DBD الخاص بعيادة "&amp;B395&amp;"."&amp;CHAR(10)&amp;"نتيجتكم الحالية: "&amp;E395&amp;"%."&amp;CHAR(10)&amp;"أولوية التحسين الأولى: "&amp;F395&amp;"."&amp;IF(J395&lt;&gt;"",CHAR(10)&amp;CHAR(10)&amp;"رابط التقرير: "&amp;J395,"")&amp;CHAR(10)&amp;CHAR(10)&amp;"إذا أحببت، يمكننا مساعدتك في فهم التقرير وتحديد أفضل خطوة تالية لعيادتكم.")</x:f>
      </x:c>
      <x:c r="L395" s="12" t="str">
        <x:f>IF(D395="","",HYPERLINK("https://wa.me/"&amp;REGEXREPLACE(D395,"[^\d]","")&amp;"?text="&amp;ENCODEURL(K395),"واتساب 1"))</x:f>
      </x:c>
      <x:c r="M395" s="12" t="str">
        <x:f>IF(A395="","","مرحبًا "&amp;C395&amp;CHAR(10)&amp;CHAR(10)&amp;"بناءً على نتيجة تقييم عيادة "&amp;B395&amp;"، فإن الترشيح الأقوى لكم الآن هو: "&amp;G395&amp;"."&amp;CHAR(10)&amp;"هذا الخيار يساعدكم في معالجة أكبر فجوة حالية بشكل عملي ومباشر."&amp;IF(J395&lt;&gt;"",CHAR(10)&amp;CHAR(10)&amp;"رابط التقرير: "&amp;J395,"")&amp;CHAR(10)&amp;CHAR(10)&amp;"إذا رغبت، يمكننا توضيح لماذا هذا الكورس هو الأنسب لكم الآن.")</x:f>
      </x:c>
      <x:c r="N395" s="12" t="str">
        <x:f>IF(D395="","",HYPERLINK("https://wa.me/"&amp;REGEXREPLACE(D395,"[^\d]","")&amp;"?text="&amp;ENCODEURL(M395),"واتساب 2"))</x:f>
      </x:c>
      <x:c r="O395" s="12" t="str">
        <x:f>IF(A395="","","مرحبًا "&amp;C395&amp;CHAR(10)&amp;CHAR(10)&amp;"إذا كانت التحديات لديكم تحتاج حلًا أشمل، فالبرنامج الكامل المناسب لكم هو: "&amp;H395&amp;"."&amp;IF(I395&lt;&gt;"",CHAR(10)&amp;"كما يمكنكم أيضًا حجز: "&amp;I395&amp;".","")&amp;IF(J395&lt;&gt;"",CHAR(10)&amp;CHAR(10)&amp;"رابط التقرير: "&amp;J395,"")&amp;CHAR(10)&amp;CHAR(10)&amp;"يسعدنا مساعدتكم في اختيار المسار الأنسب حسب وضع العيادة الحالي.")</x:f>
      </x:c>
      <x:c r="P395" s="12" t="str">
        <x:f>IF(D395="","",HYPERLINK("https://wa.me/"&amp;REGEXREPLACE(D395,"[^\d]","")&amp;"?text="&amp;ENCODEURL(O395),"واتساب 3"))</x:f>
      </x:c>
    </x:row>
    <x:row r="396" ht="15" hidden="0" customHeight="1">
      <x:c r="A396" s="12" t="str">
        <x:f>IF(Leads!A396="","",Leads!A396)</x:f>
      </x:c>
      <x:c r="B396" s="12" t="str">
        <x:f>IF(Leads!F396="","",Leads!F396)</x:f>
      </x:c>
      <x:c r="C396" s="12" t="str">
        <x:f>IF(Leads!G396="","",Leads!G396)</x:f>
      </x:c>
      <x:c r="D396" s="12" t="str">
        <x:f>IF(Leads!O396="","",Leads!O396)</x:f>
      </x:c>
      <x:c r="E396" s="12" t="str">
        <x:f>IF(Leads!AV396="","",Leads!AV396)</x:f>
      </x:c>
      <x:c r="F396" s="12" t="str">
        <x:f>IF(Leads!AX396="","",Leads!AX396)</x:f>
      </x:c>
      <x:c r="G396" s="12" t="str">
        <x:f>IF(Leads!BC396="","",Leads!BC396)</x:f>
      </x:c>
      <x:c r="H396" s="12" t="str">
        <x:f>IF(Leads!BE396="","",Leads!BE396)</x:f>
      </x:c>
      <x:c r="I396" s="12" t="str">
        <x:f>IF(Leads!BG396="","",Leads!BG396)</x:f>
      </x:c>
      <x:c r="J396" s="12" t="str">
        <x:f>IF(Leads!BH396="","",Leads!BH396)</x:f>
      </x:c>
      <x:c r="K396" s="12" t="str">
        <x:f>IF(A396="","","مرحبًا "&amp;C396&amp;CHAR(10)&amp;CHAR(10)&amp;"شكرًا لإتمام تقييم DBD الخاص بعيادة "&amp;B396&amp;"."&amp;CHAR(10)&amp;"نتيجتكم الحالية: "&amp;E396&amp;"%."&amp;CHAR(10)&amp;"أولوية التحسين الأولى: "&amp;F396&amp;"."&amp;IF(J396&lt;&gt;"",CHAR(10)&amp;CHAR(10)&amp;"رابط التقرير: "&amp;J396,"")&amp;CHAR(10)&amp;CHAR(10)&amp;"إذا أحببت، يمكننا مساعدتك في فهم التقرير وتحديد أفضل خطوة تالية لعيادتكم.")</x:f>
      </x:c>
      <x:c r="L396" s="12" t="str">
        <x:f>IF(D396="","",HYPERLINK("https://wa.me/"&amp;REGEXREPLACE(D396,"[^\d]","")&amp;"?text="&amp;ENCODEURL(K396),"واتساب 1"))</x:f>
      </x:c>
      <x:c r="M396" s="12" t="str">
        <x:f>IF(A396="","","مرحبًا "&amp;C396&amp;CHAR(10)&amp;CHAR(10)&amp;"بناءً على نتيجة تقييم عيادة "&amp;B396&amp;"، فإن الترشيح الأقوى لكم الآن هو: "&amp;G396&amp;"."&amp;CHAR(10)&amp;"هذا الخيار يساعدكم في معالجة أكبر فجوة حالية بشكل عملي ومباشر."&amp;IF(J396&lt;&gt;"",CHAR(10)&amp;CHAR(10)&amp;"رابط التقرير: "&amp;J396,"")&amp;CHAR(10)&amp;CHAR(10)&amp;"إذا رغبت، يمكننا توضيح لماذا هذا الكورس هو الأنسب لكم الآن.")</x:f>
      </x:c>
      <x:c r="N396" s="12" t="str">
        <x:f>IF(D396="","",HYPERLINK("https://wa.me/"&amp;REGEXREPLACE(D396,"[^\d]","")&amp;"?text="&amp;ENCODEURL(M396),"واتساب 2"))</x:f>
      </x:c>
      <x:c r="O396" s="12" t="str">
        <x:f>IF(A396="","","مرحبًا "&amp;C396&amp;CHAR(10)&amp;CHAR(10)&amp;"إذا كانت التحديات لديكم تحتاج حلًا أشمل، فالبرنامج الكامل المناسب لكم هو: "&amp;H396&amp;"."&amp;IF(I396&lt;&gt;"",CHAR(10)&amp;"كما يمكنكم أيضًا حجز: "&amp;I396&amp;".","")&amp;IF(J396&lt;&gt;"",CHAR(10)&amp;CHAR(10)&amp;"رابط التقرير: "&amp;J396,"")&amp;CHAR(10)&amp;CHAR(10)&amp;"يسعدنا مساعدتكم في اختيار المسار الأنسب حسب وضع العيادة الحالي.")</x:f>
      </x:c>
      <x:c r="P396" s="12" t="str">
        <x:f>IF(D396="","",HYPERLINK("https://wa.me/"&amp;REGEXREPLACE(D396,"[^\d]","")&amp;"?text="&amp;ENCODEURL(O396),"واتساب 3"))</x:f>
      </x:c>
    </x:row>
    <x:row r="397" ht="15" hidden="0" customHeight="1">
      <x:c r="A397" s="12" t="str">
        <x:f>IF(Leads!A397="","",Leads!A397)</x:f>
      </x:c>
      <x:c r="B397" s="12" t="str">
        <x:f>IF(Leads!F397="","",Leads!F397)</x:f>
      </x:c>
      <x:c r="C397" s="12" t="str">
        <x:f>IF(Leads!G397="","",Leads!G397)</x:f>
      </x:c>
      <x:c r="D397" s="12" t="str">
        <x:f>IF(Leads!O397="","",Leads!O397)</x:f>
      </x:c>
      <x:c r="E397" s="12" t="str">
        <x:f>IF(Leads!AV397="","",Leads!AV397)</x:f>
      </x:c>
      <x:c r="F397" s="12" t="str">
        <x:f>IF(Leads!AX397="","",Leads!AX397)</x:f>
      </x:c>
      <x:c r="G397" s="12" t="str">
        <x:f>IF(Leads!BC397="","",Leads!BC397)</x:f>
      </x:c>
      <x:c r="H397" s="12" t="str">
        <x:f>IF(Leads!BE397="","",Leads!BE397)</x:f>
      </x:c>
      <x:c r="I397" s="12" t="str">
        <x:f>IF(Leads!BG397="","",Leads!BG397)</x:f>
      </x:c>
      <x:c r="J397" s="12" t="str">
        <x:f>IF(Leads!BH397="","",Leads!BH397)</x:f>
      </x:c>
      <x:c r="K397" s="12" t="str">
        <x:f>IF(A397="","","مرحبًا "&amp;C397&amp;CHAR(10)&amp;CHAR(10)&amp;"شكرًا لإتمام تقييم DBD الخاص بعيادة "&amp;B397&amp;"."&amp;CHAR(10)&amp;"نتيجتكم الحالية: "&amp;E397&amp;"%."&amp;CHAR(10)&amp;"أولوية التحسين الأولى: "&amp;F397&amp;"."&amp;IF(J397&lt;&gt;"",CHAR(10)&amp;CHAR(10)&amp;"رابط التقرير: "&amp;J397,"")&amp;CHAR(10)&amp;CHAR(10)&amp;"إذا أحببت، يمكننا مساعدتك في فهم التقرير وتحديد أفضل خطوة تالية لعيادتكم.")</x:f>
      </x:c>
      <x:c r="L397" s="12" t="str">
        <x:f>IF(D397="","",HYPERLINK("https://wa.me/"&amp;REGEXREPLACE(D397,"[^\d]","")&amp;"?text="&amp;ENCODEURL(K397),"واتساب 1"))</x:f>
      </x:c>
      <x:c r="M397" s="12" t="str">
        <x:f>IF(A397="","","مرحبًا "&amp;C397&amp;CHAR(10)&amp;CHAR(10)&amp;"بناءً على نتيجة تقييم عيادة "&amp;B397&amp;"، فإن الترشيح الأقوى لكم الآن هو: "&amp;G397&amp;"."&amp;CHAR(10)&amp;"هذا الخيار يساعدكم في معالجة أكبر فجوة حالية بشكل عملي ومباشر."&amp;IF(J397&lt;&gt;"",CHAR(10)&amp;CHAR(10)&amp;"رابط التقرير: "&amp;J397,"")&amp;CHAR(10)&amp;CHAR(10)&amp;"إذا رغبت، يمكننا توضيح لماذا هذا الكورس هو الأنسب لكم الآن.")</x:f>
      </x:c>
      <x:c r="N397" s="12" t="str">
        <x:f>IF(D397="","",HYPERLINK("https://wa.me/"&amp;REGEXREPLACE(D397,"[^\d]","")&amp;"?text="&amp;ENCODEURL(M397),"واتساب 2"))</x:f>
      </x:c>
      <x:c r="O397" s="12" t="str">
        <x:f>IF(A397="","","مرحبًا "&amp;C397&amp;CHAR(10)&amp;CHAR(10)&amp;"إذا كانت التحديات لديكم تحتاج حلًا أشمل، فالبرنامج الكامل المناسب لكم هو: "&amp;H397&amp;"."&amp;IF(I397&lt;&gt;"",CHAR(10)&amp;"كما يمكنكم أيضًا حجز: "&amp;I397&amp;".","")&amp;IF(J397&lt;&gt;"",CHAR(10)&amp;CHAR(10)&amp;"رابط التقرير: "&amp;J397,"")&amp;CHAR(10)&amp;CHAR(10)&amp;"يسعدنا مساعدتكم في اختيار المسار الأنسب حسب وضع العيادة الحالي.")</x:f>
      </x:c>
      <x:c r="P397" s="12" t="str">
        <x:f>IF(D397="","",HYPERLINK("https://wa.me/"&amp;REGEXREPLACE(D397,"[^\d]","")&amp;"?text="&amp;ENCODEURL(O397),"واتساب 3"))</x:f>
      </x:c>
    </x:row>
    <x:row r="398" ht="15" hidden="0" customHeight="1">
      <x:c r="A398" s="12" t="str">
        <x:f>IF(Leads!A398="","",Leads!A398)</x:f>
      </x:c>
      <x:c r="B398" s="12" t="str">
        <x:f>IF(Leads!F398="","",Leads!F398)</x:f>
      </x:c>
      <x:c r="C398" s="12" t="str">
        <x:f>IF(Leads!G398="","",Leads!G398)</x:f>
      </x:c>
      <x:c r="D398" s="12" t="str">
        <x:f>IF(Leads!O398="","",Leads!O398)</x:f>
      </x:c>
      <x:c r="E398" s="12" t="str">
        <x:f>IF(Leads!AV398="","",Leads!AV398)</x:f>
      </x:c>
      <x:c r="F398" s="12" t="str">
        <x:f>IF(Leads!AX398="","",Leads!AX398)</x:f>
      </x:c>
      <x:c r="G398" s="12" t="str">
        <x:f>IF(Leads!BC398="","",Leads!BC398)</x:f>
      </x:c>
      <x:c r="H398" s="12" t="str">
        <x:f>IF(Leads!BE398="","",Leads!BE398)</x:f>
      </x:c>
      <x:c r="I398" s="12" t="str">
        <x:f>IF(Leads!BG398="","",Leads!BG398)</x:f>
      </x:c>
      <x:c r="J398" s="12" t="str">
        <x:f>IF(Leads!BH398="","",Leads!BH398)</x:f>
      </x:c>
      <x:c r="K398" s="12" t="str">
        <x:f>IF(A398="","","مرحبًا "&amp;C398&amp;CHAR(10)&amp;CHAR(10)&amp;"شكرًا لإتمام تقييم DBD الخاص بعيادة "&amp;B398&amp;"."&amp;CHAR(10)&amp;"نتيجتكم الحالية: "&amp;E398&amp;"%."&amp;CHAR(10)&amp;"أولوية التحسين الأولى: "&amp;F398&amp;"."&amp;IF(J398&lt;&gt;"",CHAR(10)&amp;CHAR(10)&amp;"رابط التقرير: "&amp;J398,"")&amp;CHAR(10)&amp;CHAR(10)&amp;"إذا أحببت، يمكننا مساعدتك في فهم التقرير وتحديد أفضل خطوة تالية لعيادتكم.")</x:f>
      </x:c>
      <x:c r="L398" s="12" t="str">
        <x:f>IF(D398="","",HYPERLINK("https://wa.me/"&amp;REGEXREPLACE(D398,"[^\d]","")&amp;"?text="&amp;ENCODEURL(K398),"واتساب 1"))</x:f>
      </x:c>
      <x:c r="M398" s="12" t="str">
        <x:f>IF(A398="","","مرحبًا "&amp;C398&amp;CHAR(10)&amp;CHAR(10)&amp;"بناءً على نتيجة تقييم عيادة "&amp;B398&amp;"، فإن الترشيح الأقوى لكم الآن هو: "&amp;G398&amp;"."&amp;CHAR(10)&amp;"هذا الخيار يساعدكم في معالجة أكبر فجوة حالية بشكل عملي ومباشر."&amp;IF(J398&lt;&gt;"",CHAR(10)&amp;CHAR(10)&amp;"رابط التقرير: "&amp;J398,"")&amp;CHAR(10)&amp;CHAR(10)&amp;"إذا رغبت، يمكننا توضيح لماذا هذا الكورس هو الأنسب لكم الآن.")</x:f>
      </x:c>
      <x:c r="N398" s="12" t="str">
        <x:f>IF(D398="","",HYPERLINK("https://wa.me/"&amp;REGEXREPLACE(D398,"[^\d]","")&amp;"?text="&amp;ENCODEURL(M398),"واتساب 2"))</x:f>
      </x:c>
      <x:c r="O398" s="12" t="str">
        <x:f>IF(A398="","","مرحبًا "&amp;C398&amp;CHAR(10)&amp;CHAR(10)&amp;"إذا كانت التحديات لديكم تحتاج حلًا أشمل، فالبرنامج الكامل المناسب لكم هو: "&amp;H398&amp;"."&amp;IF(I398&lt;&gt;"",CHAR(10)&amp;"كما يمكنكم أيضًا حجز: "&amp;I398&amp;".","")&amp;IF(J398&lt;&gt;"",CHAR(10)&amp;CHAR(10)&amp;"رابط التقرير: "&amp;J398,"")&amp;CHAR(10)&amp;CHAR(10)&amp;"يسعدنا مساعدتكم في اختيار المسار الأنسب حسب وضع العيادة الحالي.")</x:f>
      </x:c>
      <x:c r="P398" s="12" t="str">
        <x:f>IF(D398="","",HYPERLINK("https://wa.me/"&amp;REGEXREPLACE(D398,"[^\d]","")&amp;"?text="&amp;ENCODEURL(O398),"واتساب 3"))</x:f>
      </x:c>
    </x:row>
    <x:row r="399" ht="15" hidden="0" customHeight="1">
      <x:c r="A399" s="12" t="str">
        <x:f>IF(Leads!A399="","",Leads!A399)</x:f>
      </x:c>
      <x:c r="B399" s="12" t="str">
        <x:f>IF(Leads!F399="","",Leads!F399)</x:f>
      </x:c>
      <x:c r="C399" s="12" t="str">
        <x:f>IF(Leads!G399="","",Leads!G399)</x:f>
      </x:c>
      <x:c r="D399" s="12" t="str">
        <x:f>IF(Leads!O399="","",Leads!O399)</x:f>
      </x:c>
      <x:c r="E399" s="12" t="str">
        <x:f>IF(Leads!AV399="","",Leads!AV399)</x:f>
      </x:c>
      <x:c r="F399" s="12" t="str">
        <x:f>IF(Leads!AX399="","",Leads!AX399)</x:f>
      </x:c>
      <x:c r="G399" s="12" t="str">
        <x:f>IF(Leads!BC399="","",Leads!BC399)</x:f>
      </x:c>
      <x:c r="H399" s="12" t="str">
        <x:f>IF(Leads!BE399="","",Leads!BE399)</x:f>
      </x:c>
      <x:c r="I399" s="12" t="str">
        <x:f>IF(Leads!BG399="","",Leads!BG399)</x:f>
      </x:c>
      <x:c r="J399" s="12" t="str">
        <x:f>IF(Leads!BH399="","",Leads!BH399)</x:f>
      </x:c>
      <x:c r="K399" s="12" t="str">
        <x:f>IF(A399="","","مرحبًا "&amp;C399&amp;CHAR(10)&amp;CHAR(10)&amp;"شكرًا لإتمام تقييم DBD الخاص بعيادة "&amp;B399&amp;"."&amp;CHAR(10)&amp;"نتيجتكم الحالية: "&amp;E399&amp;"%."&amp;CHAR(10)&amp;"أولوية التحسين الأولى: "&amp;F399&amp;"."&amp;IF(J399&lt;&gt;"",CHAR(10)&amp;CHAR(10)&amp;"رابط التقرير: "&amp;J399,"")&amp;CHAR(10)&amp;CHAR(10)&amp;"إذا أحببت، يمكننا مساعدتك في فهم التقرير وتحديد أفضل خطوة تالية لعيادتكم.")</x:f>
      </x:c>
      <x:c r="L399" s="12" t="str">
        <x:f>IF(D399="","",HYPERLINK("https://wa.me/"&amp;REGEXREPLACE(D399,"[^\d]","")&amp;"?text="&amp;ENCODEURL(K399),"واتساب 1"))</x:f>
      </x:c>
      <x:c r="M399" s="12" t="str">
        <x:f>IF(A399="","","مرحبًا "&amp;C399&amp;CHAR(10)&amp;CHAR(10)&amp;"بناءً على نتيجة تقييم عيادة "&amp;B399&amp;"، فإن الترشيح الأقوى لكم الآن هو: "&amp;G399&amp;"."&amp;CHAR(10)&amp;"هذا الخيار يساعدكم في معالجة أكبر فجوة حالية بشكل عملي ومباشر."&amp;IF(J399&lt;&gt;"",CHAR(10)&amp;CHAR(10)&amp;"رابط التقرير: "&amp;J399,"")&amp;CHAR(10)&amp;CHAR(10)&amp;"إذا رغبت، يمكننا توضيح لماذا هذا الكورس هو الأنسب لكم الآن.")</x:f>
      </x:c>
      <x:c r="N399" s="12" t="str">
        <x:f>IF(D399="","",HYPERLINK("https://wa.me/"&amp;REGEXREPLACE(D399,"[^\d]","")&amp;"?text="&amp;ENCODEURL(M399),"واتساب 2"))</x:f>
      </x:c>
      <x:c r="O399" s="12" t="str">
        <x:f>IF(A399="","","مرحبًا "&amp;C399&amp;CHAR(10)&amp;CHAR(10)&amp;"إذا كانت التحديات لديكم تحتاج حلًا أشمل، فالبرنامج الكامل المناسب لكم هو: "&amp;H399&amp;"."&amp;IF(I399&lt;&gt;"",CHAR(10)&amp;"كما يمكنكم أيضًا حجز: "&amp;I399&amp;".","")&amp;IF(J399&lt;&gt;"",CHAR(10)&amp;CHAR(10)&amp;"رابط التقرير: "&amp;J399,"")&amp;CHAR(10)&amp;CHAR(10)&amp;"يسعدنا مساعدتكم في اختيار المسار الأنسب حسب وضع العيادة الحالي.")</x:f>
      </x:c>
      <x:c r="P399" s="12" t="str">
        <x:f>IF(D399="","",HYPERLINK("https://wa.me/"&amp;REGEXREPLACE(D399,"[^\d]","")&amp;"?text="&amp;ENCODEURL(O399),"واتساب 3"))</x:f>
      </x:c>
    </x:row>
    <x:row r="400" ht="15" hidden="0" customHeight="1">
      <x:c r="A400" s="12" t="str">
        <x:f>IF(Leads!A400="","",Leads!A400)</x:f>
      </x:c>
      <x:c r="B400" s="12" t="str">
        <x:f>IF(Leads!F400="","",Leads!F400)</x:f>
      </x:c>
      <x:c r="C400" s="12" t="str">
        <x:f>IF(Leads!G400="","",Leads!G400)</x:f>
      </x:c>
      <x:c r="D400" s="12" t="str">
        <x:f>IF(Leads!O400="","",Leads!O400)</x:f>
      </x:c>
      <x:c r="E400" s="12" t="str">
        <x:f>IF(Leads!AV400="","",Leads!AV400)</x:f>
      </x:c>
      <x:c r="F400" s="12" t="str">
        <x:f>IF(Leads!AX400="","",Leads!AX400)</x:f>
      </x:c>
      <x:c r="G400" s="12" t="str">
        <x:f>IF(Leads!BC400="","",Leads!BC400)</x:f>
      </x:c>
      <x:c r="H400" s="12" t="str">
        <x:f>IF(Leads!BE400="","",Leads!BE400)</x:f>
      </x:c>
      <x:c r="I400" s="12" t="str">
        <x:f>IF(Leads!BG400="","",Leads!BG400)</x:f>
      </x:c>
      <x:c r="J400" s="12" t="str">
        <x:f>IF(Leads!BH400="","",Leads!BH400)</x:f>
      </x:c>
      <x:c r="K400" s="12" t="str">
        <x:f>IF(A400="","","مرحبًا "&amp;C400&amp;CHAR(10)&amp;CHAR(10)&amp;"شكرًا لإتمام تقييم DBD الخاص بعيادة "&amp;B400&amp;"."&amp;CHAR(10)&amp;"نتيجتكم الحالية: "&amp;E400&amp;"%."&amp;CHAR(10)&amp;"أولوية التحسين الأولى: "&amp;F400&amp;"."&amp;IF(J400&lt;&gt;"",CHAR(10)&amp;CHAR(10)&amp;"رابط التقرير: "&amp;J400,"")&amp;CHAR(10)&amp;CHAR(10)&amp;"إذا أحببت، يمكننا مساعدتك في فهم التقرير وتحديد أفضل خطوة تالية لعيادتكم.")</x:f>
      </x:c>
      <x:c r="L400" s="12" t="str">
        <x:f>IF(D400="","",HYPERLINK("https://wa.me/"&amp;REGEXREPLACE(D400,"[^\d]","")&amp;"?text="&amp;ENCODEURL(K400),"واتساب 1"))</x:f>
      </x:c>
      <x:c r="M400" s="12" t="str">
        <x:f>IF(A400="","","مرحبًا "&amp;C400&amp;CHAR(10)&amp;CHAR(10)&amp;"بناءً على نتيجة تقييم عيادة "&amp;B400&amp;"، فإن الترشيح الأقوى لكم الآن هو: "&amp;G400&amp;"."&amp;CHAR(10)&amp;"هذا الخيار يساعدكم في معالجة أكبر فجوة حالية بشكل عملي ومباشر."&amp;IF(J400&lt;&gt;"",CHAR(10)&amp;CHAR(10)&amp;"رابط التقرير: "&amp;J400,"")&amp;CHAR(10)&amp;CHAR(10)&amp;"إذا رغبت، يمكننا توضيح لماذا هذا الكورس هو الأنسب لكم الآن.")</x:f>
      </x:c>
      <x:c r="N400" s="12" t="str">
        <x:f>IF(D400="","",HYPERLINK("https://wa.me/"&amp;REGEXREPLACE(D400,"[^\d]","")&amp;"?text="&amp;ENCODEURL(M400),"واتساب 2"))</x:f>
      </x:c>
      <x:c r="O400" s="12" t="str">
        <x:f>IF(A400="","","مرحبًا "&amp;C400&amp;CHAR(10)&amp;CHAR(10)&amp;"إذا كانت التحديات لديكم تحتاج حلًا أشمل، فالبرنامج الكامل المناسب لكم هو: "&amp;H400&amp;"."&amp;IF(I400&lt;&gt;"",CHAR(10)&amp;"كما يمكنكم أيضًا حجز: "&amp;I400&amp;".","")&amp;IF(J400&lt;&gt;"",CHAR(10)&amp;CHAR(10)&amp;"رابط التقرير: "&amp;J400,"")&amp;CHAR(10)&amp;CHAR(10)&amp;"يسعدنا مساعدتكم في اختيار المسار الأنسب حسب وضع العيادة الحالي.")</x:f>
      </x:c>
      <x:c r="P400" s="12" t="str">
        <x:f>IF(D400="","",HYPERLINK("https://wa.me/"&amp;REGEXREPLACE(D400,"[^\d]","")&amp;"?text="&amp;ENCODEURL(O400),"واتساب 3"))</x:f>
      </x:c>
    </x:row>
    <x:row r="401" ht="15" hidden="0" customHeight="1">
      <x:c r="A401" s="12" t="str">
        <x:f>IF(Leads!A401="","",Leads!A401)</x:f>
      </x:c>
      <x:c r="B401" s="12" t="str">
        <x:f>IF(Leads!F401="","",Leads!F401)</x:f>
      </x:c>
      <x:c r="C401" s="12" t="str">
        <x:f>IF(Leads!G401="","",Leads!G401)</x:f>
      </x:c>
      <x:c r="D401" s="12" t="str">
        <x:f>IF(Leads!O401="","",Leads!O401)</x:f>
      </x:c>
      <x:c r="E401" s="12" t="str">
        <x:f>IF(Leads!AV401="","",Leads!AV401)</x:f>
      </x:c>
      <x:c r="F401" s="12" t="str">
        <x:f>IF(Leads!AX401="","",Leads!AX401)</x:f>
      </x:c>
      <x:c r="G401" s="12" t="str">
        <x:f>IF(Leads!BC401="","",Leads!BC401)</x:f>
      </x:c>
      <x:c r="H401" s="12" t="str">
        <x:f>IF(Leads!BE401="","",Leads!BE401)</x:f>
      </x:c>
      <x:c r="I401" s="12" t="str">
        <x:f>IF(Leads!BG401="","",Leads!BG401)</x:f>
      </x:c>
      <x:c r="J401" s="12" t="str">
        <x:f>IF(Leads!BH401="","",Leads!BH401)</x:f>
      </x:c>
      <x:c r="K401" s="12" t="str">
        <x:f>IF(A401="","","مرحبًا "&amp;C401&amp;CHAR(10)&amp;CHAR(10)&amp;"شكرًا لإتمام تقييم DBD الخاص بعيادة "&amp;B401&amp;"."&amp;CHAR(10)&amp;"نتيجتكم الحالية: "&amp;E401&amp;"%."&amp;CHAR(10)&amp;"أولوية التحسين الأولى: "&amp;F401&amp;"."&amp;IF(J401&lt;&gt;"",CHAR(10)&amp;CHAR(10)&amp;"رابط التقرير: "&amp;J401,"")&amp;CHAR(10)&amp;CHAR(10)&amp;"إذا أحببت، يمكننا مساعدتك في فهم التقرير وتحديد أفضل خطوة تالية لعيادتكم.")</x:f>
      </x:c>
      <x:c r="L401" s="12" t="str">
        <x:f>IF(D401="","",HYPERLINK("https://wa.me/"&amp;REGEXREPLACE(D401,"[^\d]","")&amp;"?text="&amp;ENCODEURL(K401),"واتساب 1"))</x:f>
      </x:c>
      <x:c r="M401" s="12" t="str">
        <x:f>IF(A401="","","مرحبًا "&amp;C401&amp;CHAR(10)&amp;CHAR(10)&amp;"بناءً على نتيجة تقييم عيادة "&amp;B401&amp;"، فإن الترشيح الأقوى لكم الآن هو: "&amp;G401&amp;"."&amp;CHAR(10)&amp;"هذا الخيار يساعدكم في معالجة أكبر فجوة حالية بشكل عملي ومباشر."&amp;IF(J401&lt;&gt;"",CHAR(10)&amp;CHAR(10)&amp;"رابط التقرير: "&amp;J401,"")&amp;CHAR(10)&amp;CHAR(10)&amp;"إذا رغبت، يمكننا توضيح لماذا هذا الكورس هو الأنسب لكم الآن.")</x:f>
      </x:c>
      <x:c r="N401" s="12" t="str">
        <x:f>IF(D401="","",HYPERLINK("https://wa.me/"&amp;REGEXREPLACE(D401,"[^\d]","")&amp;"?text="&amp;ENCODEURL(M401),"واتساب 2"))</x:f>
      </x:c>
      <x:c r="O401" s="12" t="str">
        <x:f>IF(A401="","","مرحبًا "&amp;C401&amp;CHAR(10)&amp;CHAR(10)&amp;"إذا كانت التحديات لديكم تحتاج حلًا أشمل، فالبرنامج الكامل المناسب لكم هو: "&amp;H401&amp;"."&amp;IF(I401&lt;&gt;"",CHAR(10)&amp;"كما يمكنكم أيضًا حجز: "&amp;I401&amp;".","")&amp;IF(J401&lt;&gt;"",CHAR(10)&amp;CHAR(10)&amp;"رابط التقرير: "&amp;J401,"")&amp;CHAR(10)&amp;CHAR(10)&amp;"يسعدنا مساعدتكم في اختيار المسار الأنسب حسب وضع العيادة الحالي.")</x:f>
      </x:c>
      <x:c r="P401" s="12" t="str">
        <x:f>IF(D401="","",HYPERLINK("https://wa.me/"&amp;REGEXREPLACE(D401,"[^\d]","")&amp;"?text="&amp;ENCODEURL(O401),"واتساب 3"))</x:f>
      </x:c>
    </x:row>
    <x:row r="402" ht="15" hidden="0" customHeight="1">
      <x:c r="A402" s="12" t="str">
        <x:f>IF(Leads!A402="","",Leads!A402)</x:f>
      </x:c>
      <x:c r="B402" s="12" t="str">
        <x:f>IF(Leads!F402="","",Leads!F402)</x:f>
      </x:c>
      <x:c r="C402" s="12" t="str">
        <x:f>IF(Leads!G402="","",Leads!G402)</x:f>
      </x:c>
      <x:c r="D402" s="12" t="str">
        <x:f>IF(Leads!O402="","",Leads!O402)</x:f>
      </x:c>
      <x:c r="E402" s="12" t="str">
        <x:f>IF(Leads!AV402="","",Leads!AV402)</x:f>
      </x:c>
      <x:c r="F402" s="12" t="str">
        <x:f>IF(Leads!AX402="","",Leads!AX402)</x:f>
      </x:c>
      <x:c r="G402" s="12" t="str">
        <x:f>IF(Leads!BC402="","",Leads!BC402)</x:f>
      </x:c>
      <x:c r="H402" s="12" t="str">
        <x:f>IF(Leads!BE402="","",Leads!BE402)</x:f>
      </x:c>
      <x:c r="I402" s="12" t="str">
        <x:f>IF(Leads!BG402="","",Leads!BG402)</x:f>
      </x:c>
      <x:c r="J402" s="12" t="str">
        <x:f>IF(Leads!BH402="","",Leads!BH402)</x:f>
      </x:c>
      <x:c r="K402" s="12" t="str">
        <x:f>IF(A402="","","مرحبًا "&amp;C402&amp;CHAR(10)&amp;CHAR(10)&amp;"شكرًا لإتمام تقييم DBD الخاص بعيادة "&amp;B402&amp;"."&amp;CHAR(10)&amp;"نتيجتكم الحالية: "&amp;E402&amp;"%."&amp;CHAR(10)&amp;"أولوية التحسين الأولى: "&amp;F402&amp;"."&amp;IF(J402&lt;&gt;"",CHAR(10)&amp;CHAR(10)&amp;"رابط التقرير: "&amp;J402,"")&amp;CHAR(10)&amp;CHAR(10)&amp;"إذا أحببت، يمكننا مساعدتك في فهم التقرير وتحديد أفضل خطوة تالية لعيادتكم.")</x:f>
      </x:c>
      <x:c r="L402" s="12" t="str">
        <x:f>IF(D402="","",HYPERLINK("https://wa.me/"&amp;REGEXREPLACE(D402,"[^\d]","")&amp;"?text="&amp;ENCODEURL(K402),"واتساب 1"))</x:f>
      </x:c>
      <x:c r="M402" s="12" t="str">
        <x:f>IF(A402="","","مرحبًا "&amp;C402&amp;CHAR(10)&amp;CHAR(10)&amp;"بناءً على نتيجة تقييم عيادة "&amp;B402&amp;"، فإن الترشيح الأقوى لكم الآن هو: "&amp;G402&amp;"."&amp;CHAR(10)&amp;"هذا الخيار يساعدكم في معالجة أكبر فجوة حالية بشكل عملي ومباشر."&amp;IF(J402&lt;&gt;"",CHAR(10)&amp;CHAR(10)&amp;"رابط التقرير: "&amp;J402,"")&amp;CHAR(10)&amp;CHAR(10)&amp;"إذا رغبت، يمكننا توضيح لماذا هذا الكورس هو الأنسب لكم الآن.")</x:f>
      </x:c>
      <x:c r="N402" s="12" t="str">
        <x:f>IF(D402="","",HYPERLINK("https://wa.me/"&amp;REGEXREPLACE(D402,"[^\d]","")&amp;"?text="&amp;ENCODEURL(M402),"واتساب 2"))</x:f>
      </x:c>
      <x:c r="O402" s="12" t="str">
        <x:f>IF(A402="","","مرحبًا "&amp;C402&amp;CHAR(10)&amp;CHAR(10)&amp;"إذا كانت التحديات لديكم تحتاج حلًا أشمل، فالبرنامج الكامل المناسب لكم هو: "&amp;H402&amp;"."&amp;IF(I402&lt;&gt;"",CHAR(10)&amp;"كما يمكنكم أيضًا حجز: "&amp;I402&amp;".","")&amp;IF(J402&lt;&gt;"",CHAR(10)&amp;CHAR(10)&amp;"رابط التقرير: "&amp;J402,"")&amp;CHAR(10)&amp;CHAR(10)&amp;"يسعدنا مساعدتكم في اختيار المسار الأنسب حسب وضع العيادة الحالي.")</x:f>
      </x:c>
      <x:c r="P402" s="12" t="str">
        <x:f>IF(D402="","",HYPERLINK("https://wa.me/"&amp;REGEXREPLACE(D402,"[^\d]","")&amp;"?text="&amp;ENCODEURL(O402),"واتساب 3"))</x:f>
      </x:c>
    </x:row>
    <x:row r="403" ht="15" hidden="0" customHeight="1">
      <x:c r="A403" s="12" t="str">
        <x:f>IF(Leads!A403="","",Leads!A403)</x:f>
      </x:c>
      <x:c r="B403" s="12" t="str">
        <x:f>IF(Leads!F403="","",Leads!F403)</x:f>
      </x:c>
      <x:c r="C403" s="12" t="str">
        <x:f>IF(Leads!G403="","",Leads!G403)</x:f>
      </x:c>
      <x:c r="D403" s="12" t="str">
        <x:f>IF(Leads!O403="","",Leads!O403)</x:f>
      </x:c>
      <x:c r="E403" s="12" t="str">
        <x:f>IF(Leads!AV403="","",Leads!AV403)</x:f>
      </x:c>
      <x:c r="F403" s="12" t="str">
        <x:f>IF(Leads!AX403="","",Leads!AX403)</x:f>
      </x:c>
      <x:c r="G403" s="12" t="str">
        <x:f>IF(Leads!BC403="","",Leads!BC403)</x:f>
      </x:c>
      <x:c r="H403" s="12" t="str">
        <x:f>IF(Leads!BE403="","",Leads!BE403)</x:f>
      </x:c>
      <x:c r="I403" s="12" t="str">
        <x:f>IF(Leads!BG403="","",Leads!BG403)</x:f>
      </x:c>
      <x:c r="J403" s="12" t="str">
        <x:f>IF(Leads!BH403="","",Leads!BH403)</x:f>
      </x:c>
      <x:c r="K403" s="12" t="str">
        <x:f>IF(A403="","","مرحبًا "&amp;C403&amp;CHAR(10)&amp;CHAR(10)&amp;"شكرًا لإتمام تقييم DBD الخاص بعيادة "&amp;B403&amp;"."&amp;CHAR(10)&amp;"نتيجتكم الحالية: "&amp;E403&amp;"%."&amp;CHAR(10)&amp;"أولوية التحسين الأولى: "&amp;F403&amp;"."&amp;IF(J403&lt;&gt;"",CHAR(10)&amp;CHAR(10)&amp;"رابط التقرير: "&amp;J403,"")&amp;CHAR(10)&amp;CHAR(10)&amp;"إذا أحببت، يمكننا مساعدتك في فهم التقرير وتحديد أفضل خطوة تالية لعيادتكم.")</x:f>
      </x:c>
      <x:c r="L403" s="12" t="str">
        <x:f>IF(D403="","",HYPERLINK("https://wa.me/"&amp;REGEXREPLACE(D403,"[^\d]","")&amp;"?text="&amp;ENCODEURL(K403),"واتساب 1"))</x:f>
      </x:c>
      <x:c r="M403" s="12" t="str">
        <x:f>IF(A403="","","مرحبًا "&amp;C403&amp;CHAR(10)&amp;CHAR(10)&amp;"بناءً على نتيجة تقييم عيادة "&amp;B403&amp;"، فإن الترشيح الأقوى لكم الآن هو: "&amp;G403&amp;"."&amp;CHAR(10)&amp;"هذا الخيار يساعدكم في معالجة أكبر فجوة حالية بشكل عملي ومباشر."&amp;IF(J403&lt;&gt;"",CHAR(10)&amp;CHAR(10)&amp;"رابط التقرير: "&amp;J403,"")&amp;CHAR(10)&amp;CHAR(10)&amp;"إذا رغبت، يمكننا توضيح لماذا هذا الكورس هو الأنسب لكم الآن.")</x:f>
      </x:c>
      <x:c r="N403" s="12" t="str">
        <x:f>IF(D403="","",HYPERLINK("https://wa.me/"&amp;REGEXREPLACE(D403,"[^\d]","")&amp;"?text="&amp;ENCODEURL(M403),"واتساب 2"))</x:f>
      </x:c>
      <x:c r="O403" s="12" t="str">
        <x:f>IF(A403="","","مرحبًا "&amp;C403&amp;CHAR(10)&amp;CHAR(10)&amp;"إذا كانت التحديات لديكم تحتاج حلًا أشمل، فالبرنامج الكامل المناسب لكم هو: "&amp;H403&amp;"."&amp;IF(I403&lt;&gt;"",CHAR(10)&amp;"كما يمكنكم أيضًا حجز: "&amp;I403&amp;".","")&amp;IF(J403&lt;&gt;"",CHAR(10)&amp;CHAR(10)&amp;"رابط التقرير: "&amp;J403,"")&amp;CHAR(10)&amp;CHAR(10)&amp;"يسعدنا مساعدتكم في اختيار المسار الأنسب حسب وضع العيادة الحالي.")</x:f>
      </x:c>
      <x:c r="P403" s="12" t="str">
        <x:f>IF(D403="","",HYPERLINK("https://wa.me/"&amp;REGEXREPLACE(D403,"[^\d]","")&amp;"?text="&amp;ENCODEURL(O403),"واتساب 3"))</x:f>
      </x:c>
    </x:row>
    <x:row r="404" ht="15" hidden="0" customHeight="1">
      <x:c r="A404" s="12" t="str">
        <x:f>IF(Leads!A404="","",Leads!A404)</x:f>
      </x:c>
      <x:c r="B404" s="12" t="str">
        <x:f>IF(Leads!F404="","",Leads!F404)</x:f>
      </x:c>
      <x:c r="C404" s="12" t="str">
        <x:f>IF(Leads!G404="","",Leads!G404)</x:f>
      </x:c>
      <x:c r="D404" s="12" t="str">
        <x:f>IF(Leads!O404="","",Leads!O404)</x:f>
      </x:c>
      <x:c r="E404" s="12" t="str">
        <x:f>IF(Leads!AV404="","",Leads!AV404)</x:f>
      </x:c>
      <x:c r="F404" s="12" t="str">
        <x:f>IF(Leads!AX404="","",Leads!AX404)</x:f>
      </x:c>
      <x:c r="G404" s="12" t="str">
        <x:f>IF(Leads!BC404="","",Leads!BC404)</x:f>
      </x:c>
      <x:c r="H404" s="12" t="str">
        <x:f>IF(Leads!BE404="","",Leads!BE404)</x:f>
      </x:c>
      <x:c r="I404" s="12" t="str">
        <x:f>IF(Leads!BG404="","",Leads!BG404)</x:f>
      </x:c>
      <x:c r="J404" s="12" t="str">
        <x:f>IF(Leads!BH404="","",Leads!BH404)</x:f>
      </x:c>
      <x:c r="K404" s="12" t="str">
        <x:f>IF(A404="","","مرحبًا "&amp;C404&amp;CHAR(10)&amp;CHAR(10)&amp;"شكرًا لإتمام تقييم DBD الخاص بعيادة "&amp;B404&amp;"."&amp;CHAR(10)&amp;"نتيجتكم الحالية: "&amp;E404&amp;"%."&amp;CHAR(10)&amp;"أولوية التحسين الأولى: "&amp;F404&amp;"."&amp;IF(J404&lt;&gt;"",CHAR(10)&amp;CHAR(10)&amp;"رابط التقرير: "&amp;J404,"")&amp;CHAR(10)&amp;CHAR(10)&amp;"إذا أحببت، يمكننا مساعدتك في فهم التقرير وتحديد أفضل خطوة تالية لعيادتكم.")</x:f>
      </x:c>
      <x:c r="L404" s="12" t="str">
        <x:f>IF(D404="","",HYPERLINK("https://wa.me/"&amp;REGEXREPLACE(D404,"[^\d]","")&amp;"?text="&amp;ENCODEURL(K404),"واتساب 1"))</x:f>
      </x:c>
      <x:c r="M404" s="12" t="str">
        <x:f>IF(A404="","","مرحبًا "&amp;C404&amp;CHAR(10)&amp;CHAR(10)&amp;"بناءً على نتيجة تقييم عيادة "&amp;B404&amp;"، فإن الترشيح الأقوى لكم الآن هو: "&amp;G404&amp;"."&amp;CHAR(10)&amp;"هذا الخيار يساعدكم في معالجة أكبر فجوة حالية بشكل عملي ومباشر."&amp;IF(J404&lt;&gt;"",CHAR(10)&amp;CHAR(10)&amp;"رابط التقرير: "&amp;J404,"")&amp;CHAR(10)&amp;CHAR(10)&amp;"إذا رغبت، يمكننا توضيح لماذا هذا الكورس هو الأنسب لكم الآن.")</x:f>
      </x:c>
      <x:c r="N404" s="12" t="str">
        <x:f>IF(D404="","",HYPERLINK("https://wa.me/"&amp;REGEXREPLACE(D404,"[^\d]","")&amp;"?text="&amp;ENCODEURL(M404),"واتساب 2"))</x:f>
      </x:c>
      <x:c r="O404" s="12" t="str">
        <x:f>IF(A404="","","مرحبًا "&amp;C404&amp;CHAR(10)&amp;CHAR(10)&amp;"إذا كانت التحديات لديكم تحتاج حلًا أشمل، فالبرنامج الكامل المناسب لكم هو: "&amp;H404&amp;"."&amp;IF(I404&lt;&gt;"",CHAR(10)&amp;"كما يمكنكم أيضًا حجز: "&amp;I404&amp;".","")&amp;IF(J404&lt;&gt;"",CHAR(10)&amp;CHAR(10)&amp;"رابط التقرير: "&amp;J404,"")&amp;CHAR(10)&amp;CHAR(10)&amp;"يسعدنا مساعدتكم في اختيار المسار الأنسب حسب وضع العيادة الحالي.")</x:f>
      </x:c>
      <x:c r="P404" s="12" t="str">
        <x:f>IF(D404="","",HYPERLINK("https://wa.me/"&amp;REGEXREPLACE(D404,"[^\d]","")&amp;"?text="&amp;ENCODEURL(O404),"واتساب 3"))</x:f>
      </x:c>
    </x:row>
    <x:row r="405" ht="15" hidden="0" customHeight="1">
      <x:c r="A405" s="12" t="str">
        <x:f>IF(Leads!A405="","",Leads!A405)</x:f>
      </x:c>
      <x:c r="B405" s="12" t="str">
        <x:f>IF(Leads!F405="","",Leads!F405)</x:f>
      </x:c>
      <x:c r="C405" s="12" t="str">
        <x:f>IF(Leads!G405="","",Leads!G405)</x:f>
      </x:c>
      <x:c r="D405" s="12" t="str">
        <x:f>IF(Leads!O405="","",Leads!O405)</x:f>
      </x:c>
      <x:c r="E405" s="12" t="str">
        <x:f>IF(Leads!AV405="","",Leads!AV405)</x:f>
      </x:c>
      <x:c r="F405" s="12" t="str">
        <x:f>IF(Leads!AX405="","",Leads!AX405)</x:f>
      </x:c>
      <x:c r="G405" s="12" t="str">
        <x:f>IF(Leads!BC405="","",Leads!BC405)</x:f>
      </x:c>
      <x:c r="H405" s="12" t="str">
        <x:f>IF(Leads!BE405="","",Leads!BE405)</x:f>
      </x:c>
      <x:c r="I405" s="12" t="str">
        <x:f>IF(Leads!BG405="","",Leads!BG405)</x:f>
      </x:c>
      <x:c r="J405" s="12" t="str">
        <x:f>IF(Leads!BH405="","",Leads!BH405)</x:f>
      </x:c>
      <x:c r="K405" s="12" t="str">
        <x:f>IF(A405="","","مرحبًا "&amp;C405&amp;CHAR(10)&amp;CHAR(10)&amp;"شكرًا لإتمام تقييم DBD الخاص بعيادة "&amp;B405&amp;"."&amp;CHAR(10)&amp;"نتيجتكم الحالية: "&amp;E405&amp;"%."&amp;CHAR(10)&amp;"أولوية التحسين الأولى: "&amp;F405&amp;"."&amp;IF(J405&lt;&gt;"",CHAR(10)&amp;CHAR(10)&amp;"رابط التقرير: "&amp;J405,"")&amp;CHAR(10)&amp;CHAR(10)&amp;"إذا أحببت، يمكننا مساعدتك في فهم التقرير وتحديد أفضل خطوة تالية لعيادتكم.")</x:f>
      </x:c>
      <x:c r="L405" s="12" t="str">
        <x:f>IF(D405="","",HYPERLINK("https://wa.me/"&amp;REGEXREPLACE(D405,"[^\d]","")&amp;"?text="&amp;ENCODEURL(K405),"واتساب 1"))</x:f>
      </x:c>
      <x:c r="M405" s="12" t="str">
        <x:f>IF(A405="","","مرحبًا "&amp;C405&amp;CHAR(10)&amp;CHAR(10)&amp;"بناءً على نتيجة تقييم عيادة "&amp;B405&amp;"، فإن الترشيح الأقوى لكم الآن هو: "&amp;G405&amp;"."&amp;CHAR(10)&amp;"هذا الخيار يساعدكم في معالجة أكبر فجوة حالية بشكل عملي ومباشر."&amp;IF(J405&lt;&gt;"",CHAR(10)&amp;CHAR(10)&amp;"رابط التقرير: "&amp;J405,"")&amp;CHAR(10)&amp;CHAR(10)&amp;"إذا رغبت، يمكننا توضيح لماذا هذا الكورس هو الأنسب لكم الآن.")</x:f>
      </x:c>
      <x:c r="N405" s="12" t="str">
        <x:f>IF(D405="","",HYPERLINK("https://wa.me/"&amp;REGEXREPLACE(D405,"[^\d]","")&amp;"?text="&amp;ENCODEURL(M405),"واتساب 2"))</x:f>
      </x:c>
      <x:c r="O405" s="12" t="str">
        <x:f>IF(A405="","","مرحبًا "&amp;C405&amp;CHAR(10)&amp;CHAR(10)&amp;"إذا كانت التحديات لديكم تحتاج حلًا أشمل، فالبرنامج الكامل المناسب لكم هو: "&amp;H405&amp;"."&amp;IF(I405&lt;&gt;"",CHAR(10)&amp;"كما يمكنكم أيضًا حجز: "&amp;I405&amp;".","")&amp;IF(J405&lt;&gt;"",CHAR(10)&amp;CHAR(10)&amp;"رابط التقرير: "&amp;J405,"")&amp;CHAR(10)&amp;CHAR(10)&amp;"يسعدنا مساعدتكم في اختيار المسار الأنسب حسب وضع العيادة الحالي.")</x:f>
      </x:c>
      <x:c r="P405" s="12" t="str">
        <x:f>IF(D405="","",HYPERLINK("https://wa.me/"&amp;REGEXREPLACE(D405,"[^\d]","")&amp;"?text="&amp;ENCODEURL(O405),"واتساب 3"))</x:f>
      </x:c>
    </x:row>
    <x:row r="406" ht="15" hidden="0" customHeight="1">
      <x:c r="A406" s="12" t="str">
        <x:f>IF(Leads!A406="","",Leads!A406)</x:f>
      </x:c>
      <x:c r="B406" s="12" t="str">
        <x:f>IF(Leads!F406="","",Leads!F406)</x:f>
      </x:c>
      <x:c r="C406" s="12" t="str">
        <x:f>IF(Leads!G406="","",Leads!G406)</x:f>
      </x:c>
      <x:c r="D406" s="12" t="str">
        <x:f>IF(Leads!O406="","",Leads!O406)</x:f>
      </x:c>
      <x:c r="E406" s="12" t="str">
        <x:f>IF(Leads!AV406="","",Leads!AV406)</x:f>
      </x:c>
      <x:c r="F406" s="12" t="str">
        <x:f>IF(Leads!AX406="","",Leads!AX406)</x:f>
      </x:c>
      <x:c r="G406" s="12" t="str">
        <x:f>IF(Leads!BC406="","",Leads!BC406)</x:f>
      </x:c>
      <x:c r="H406" s="12" t="str">
        <x:f>IF(Leads!BE406="","",Leads!BE406)</x:f>
      </x:c>
      <x:c r="I406" s="12" t="str">
        <x:f>IF(Leads!BG406="","",Leads!BG406)</x:f>
      </x:c>
      <x:c r="J406" s="12" t="str">
        <x:f>IF(Leads!BH406="","",Leads!BH406)</x:f>
      </x:c>
      <x:c r="K406" s="12" t="str">
        <x:f>IF(A406="","","مرحبًا "&amp;C406&amp;CHAR(10)&amp;CHAR(10)&amp;"شكرًا لإتمام تقييم DBD الخاص بعيادة "&amp;B406&amp;"."&amp;CHAR(10)&amp;"نتيجتكم الحالية: "&amp;E406&amp;"%."&amp;CHAR(10)&amp;"أولوية التحسين الأولى: "&amp;F406&amp;"."&amp;IF(J406&lt;&gt;"",CHAR(10)&amp;CHAR(10)&amp;"رابط التقرير: "&amp;J406,"")&amp;CHAR(10)&amp;CHAR(10)&amp;"إذا أحببت، يمكننا مساعدتك في فهم التقرير وتحديد أفضل خطوة تالية لعيادتكم.")</x:f>
      </x:c>
      <x:c r="L406" s="12" t="str">
        <x:f>IF(D406="","",HYPERLINK("https://wa.me/"&amp;REGEXREPLACE(D406,"[^\d]","")&amp;"?text="&amp;ENCODEURL(K406),"واتساب 1"))</x:f>
      </x:c>
      <x:c r="M406" s="12" t="str">
        <x:f>IF(A406="","","مرحبًا "&amp;C406&amp;CHAR(10)&amp;CHAR(10)&amp;"بناءً على نتيجة تقييم عيادة "&amp;B406&amp;"، فإن الترشيح الأقوى لكم الآن هو: "&amp;G406&amp;"."&amp;CHAR(10)&amp;"هذا الخيار يساعدكم في معالجة أكبر فجوة حالية بشكل عملي ومباشر."&amp;IF(J406&lt;&gt;"",CHAR(10)&amp;CHAR(10)&amp;"رابط التقرير: "&amp;J406,"")&amp;CHAR(10)&amp;CHAR(10)&amp;"إذا رغبت، يمكننا توضيح لماذا هذا الكورس هو الأنسب لكم الآن.")</x:f>
      </x:c>
      <x:c r="N406" s="12" t="str">
        <x:f>IF(D406="","",HYPERLINK("https://wa.me/"&amp;REGEXREPLACE(D406,"[^\d]","")&amp;"?text="&amp;ENCODEURL(M406),"واتساب 2"))</x:f>
      </x:c>
      <x:c r="O406" s="12" t="str">
        <x:f>IF(A406="","","مرحبًا "&amp;C406&amp;CHAR(10)&amp;CHAR(10)&amp;"إذا كانت التحديات لديكم تحتاج حلًا أشمل، فالبرنامج الكامل المناسب لكم هو: "&amp;H406&amp;"."&amp;IF(I406&lt;&gt;"",CHAR(10)&amp;"كما يمكنكم أيضًا حجز: "&amp;I406&amp;".","")&amp;IF(J406&lt;&gt;"",CHAR(10)&amp;CHAR(10)&amp;"رابط التقرير: "&amp;J406,"")&amp;CHAR(10)&amp;CHAR(10)&amp;"يسعدنا مساعدتكم في اختيار المسار الأنسب حسب وضع العيادة الحالي.")</x:f>
      </x:c>
      <x:c r="P406" s="12" t="str">
        <x:f>IF(D406="","",HYPERLINK("https://wa.me/"&amp;REGEXREPLACE(D406,"[^\d]","")&amp;"?text="&amp;ENCODEURL(O406),"واتساب 3"))</x:f>
      </x:c>
    </x:row>
    <x:row r="407" ht="15" hidden="0" customHeight="1">
      <x:c r="A407" s="12" t="str">
        <x:f>IF(Leads!A407="","",Leads!A407)</x:f>
      </x:c>
      <x:c r="B407" s="12" t="str">
        <x:f>IF(Leads!F407="","",Leads!F407)</x:f>
      </x:c>
      <x:c r="C407" s="12" t="str">
        <x:f>IF(Leads!G407="","",Leads!G407)</x:f>
      </x:c>
      <x:c r="D407" s="12" t="str">
        <x:f>IF(Leads!O407="","",Leads!O407)</x:f>
      </x:c>
      <x:c r="E407" s="12" t="str">
        <x:f>IF(Leads!AV407="","",Leads!AV407)</x:f>
      </x:c>
      <x:c r="F407" s="12" t="str">
        <x:f>IF(Leads!AX407="","",Leads!AX407)</x:f>
      </x:c>
      <x:c r="G407" s="12" t="str">
        <x:f>IF(Leads!BC407="","",Leads!BC407)</x:f>
      </x:c>
      <x:c r="H407" s="12" t="str">
        <x:f>IF(Leads!BE407="","",Leads!BE407)</x:f>
      </x:c>
      <x:c r="I407" s="12" t="str">
        <x:f>IF(Leads!BG407="","",Leads!BG407)</x:f>
      </x:c>
      <x:c r="J407" s="12" t="str">
        <x:f>IF(Leads!BH407="","",Leads!BH407)</x:f>
      </x:c>
      <x:c r="K407" s="12" t="str">
        <x:f>IF(A407="","","مرحبًا "&amp;C407&amp;CHAR(10)&amp;CHAR(10)&amp;"شكرًا لإتمام تقييم DBD الخاص بعيادة "&amp;B407&amp;"."&amp;CHAR(10)&amp;"نتيجتكم الحالية: "&amp;E407&amp;"%."&amp;CHAR(10)&amp;"أولوية التحسين الأولى: "&amp;F407&amp;"."&amp;IF(J407&lt;&gt;"",CHAR(10)&amp;CHAR(10)&amp;"رابط التقرير: "&amp;J407,"")&amp;CHAR(10)&amp;CHAR(10)&amp;"إذا أحببت، يمكننا مساعدتك في فهم التقرير وتحديد أفضل خطوة تالية لعيادتكم.")</x:f>
      </x:c>
      <x:c r="L407" s="12" t="str">
        <x:f>IF(D407="","",HYPERLINK("https://wa.me/"&amp;REGEXREPLACE(D407,"[^\d]","")&amp;"?text="&amp;ENCODEURL(K407),"واتساب 1"))</x:f>
      </x:c>
      <x:c r="M407" s="12" t="str">
        <x:f>IF(A407="","","مرحبًا "&amp;C407&amp;CHAR(10)&amp;CHAR(10)&amp;"بناءً على نتيجة تقييم عيادة "&amp;B407&amp;"، فإن الترشيح الأقوى لكم الآن هو: "&amp;G407&amp;"."&amp;CHAR(10)&amp;"هذا الخيار يساعدكم في معالجة أكبر فجوة حالية بشكل عملي ومباشر."&amp;IF(J407&lt;&gt;"",CHAR(10)&amp;CHAR(10)&amp;"رابط التقرير: "&amp;J407,"")&amp;CHAR(10)&amp;CHAR(10)&amp;"إذا رغبت، يمكننا توضيح لماذا هذا الكورس هو الأنسب لكم الآن.")</x:f>
      </x:c>
      <x:c r="N407" s="12" t="str">
        <x:f>IF(D407="","",HYPERLINK("https://wa.me/"&amp;REGEXREPLACE(D407,"[^\d]","")&amp;"?text="&amp;ENCODEURL(M407),"واتساب 2"))</x:f>
      </x:c>
      <x:c r="O407" s="12" t="str">
        <x:f>IF(A407="","","مرحبًا "&amp;C407&amp;CHAR(10)&amp;CHAR(10)&amp;"إذا كانت التحديات لديكم تحتاج حلًا أشمل، فالبرنامج الكامل المناسب لكم هو: "&amp;H407&amp;"."&amp;IF(I407&lt;&gt;"",CHAR(10)&amp;"كما يمكنكم أيضًا حجز: "&amp;I407&amp;".","")&amp;IF(J407&lt;&gt;"",CHAR(10)&amp;CHAR(10)&amp;"رابط التقرير: "&amp;J407,"")&amp;CHAR(10)&amp;CHAR(10)&amp;"يسعدنا مساعدتكم في اختيار المسار الأنسب حسب وضع العيادة الحالي.")</x:f>
      </x:c>
      <x:c r="P407" s="12" t="str">
        <x:f>IF(D407="","",HYPERLINK("https://wa.me/"&amp;REGEXREPLACE(D407,"[^\d]","")&amp;"?text="&amp;ENCODEURL(O407),"واتساب 3"))</x:f>
      </x:c>
    </x:row>
    <x:row r="408" ht="15" hidden="0" customHeight="1">
      <x:c r="A408" s="12" t="str">
        <x:f>IF(Leads!A408="","",Leads!A408)</x:f>
      </x:c>
      <x:c r="B408" s="12" t="str">
        <x:f>IF(Leads!F408="","",Leads!F408)</x:f>
      </x:c>
      <x:c r="C408" s="12" t="str">
        <x:f>IF(Leads!G408="","",Leads!G408)</x:f>
      </x:c>
      <x:c r="D408" s="12" t="str">
        <x:f>IF(Leads!O408="","",Leads!O408)</x:f>
      </x:c>
      <x:c r="E408" s="12" t="str">
        <x:f>IF(Leads!AV408="","",Leads!AV408)</x:f>
      </x:c>
      <x:c r="F408" s="12" t="str">
        <x:f>IF(Leads!AX408="","",Leads!AX408)</x:f>
      </x:c>
      <x:c r="G408" s="12" t="str">
        <x:f>IF(Leads!BC408="","",Leads!BC408)</x:f>
      </x:c>
      <x:c r="H408" s="12" t="str">
        <x:f>IF(Leads!BE408="","",Leads!BE408)</x:f>
      </x:c>
      <x:c r="I408" s="12" t="str">
        <x:f>IF(Leads!BG408="","",Leads!BG408)</x:f>
      </x:c>
      <x:c r="J408" s="12" t="str">
        <x:f>IF(Leads!BH408="","",Leads!BH408)</x:f>
      </x:c>
      <x:c r="K408" s="12" t="str">
        <x:f>IF(A408="","","مرحبًا "&amp;C408&amp;CHAR(10)&amp;CHAR(10)&amp;"شكرًا لإتمام تقييم DBD الخاص بعيادة "&amp;B408&amp;"."&amp;CHAR(10)&amp;"نتيجتكم الحالية: "&amp;E408&amp;"%."&amp;CHAR(10)&amp;"أولوية التحسين الأولى: "&amp;F408&amp;"."&amp;IF(J408&lt;&gt;"",CHAR(10)&amp;CHAR(10)&amp;"رابط التقرير: "&amp;J408,"")&amp;CHAR(10)&amp;CHAR(10)&amp;"إذا أحببت، يمكننا مساعدتك في فهم التقرير وتحديد أفضل خطوة تالية لعيادتكم.")</x:f>
      </x:c>
      <x:c r="L408" s="12" t="str">
        <x:f>IF(D408="","",HYPERLINK("https://wa.me/"&amp;REGEXREPLACE(D408,"[^\d]","")&amp;"?text="&amp;ENCODEURL(K408),"واتساب 1"))</x:f>
      </x:c>
      <x:c r="M408" s="12" t="str">
        <x:f>IF(A408="","","مرحبًا "&amp;C408&amp;CHAR(10)&amp;CHAR(10)&amp;"بناءً على نتيجة تقييم عيادة "&amp;B408&amp;"، فإن الترشيح الأقوى لكم الآن هو: "&amp;G408&amp;"."&amp;CHAR(10)&amp;"هذا الخيار يساعدكم في معالجة أكبر فجوة حالية بشكل عملي ومباشر."&amp;IF(J408&lt;&gt;"",CHAR(10)&amp;CHAR(10)&amp;"رابط التقرير: "&amp;J408,"")&amp;CHAR(10)&amp;CHAR(10)&amp;"إذا رغبت، يمكننا توضيح لماذا هذا الكورس هو الأنسب لكم الآن.")</x:f>
      </x:c>
      <x:c r="N408" s="12" t="str">
        <x:f>IF(D408="","",HYPERLINK("https://wa.me/"&amp;REGEXREPLACE(D408,"[^\d]","")&amp;"?text="&amp;ENCODEURL(M408),"واتساب 2"))</x:f>
      </x:c>
      <x:c r="O408" s="12" t="str">
        <x:f>IF(A408="","","مرحبًا "&amp;C408&amp;CHAR(10)&amp;CHAR(10)&amp;"إذا كانت التحديات لديكم تحتاج حلًا أشمل، فالبرنامج الكامل المناسب لكم هو: "&amp;H408&amp;"."&amp;IF(I408&lt;&gt;"",CHAR(10)&amp;"كما يمكنكم أيضًا حجز: "&amp;I408&amp;".","")&amp;IF(J408&lt;&gt;"",CHAR(10)&amp;CHAR(10)&amp;"رابط التقرير: "&amp;J408,"")&amp;CHAR(10)&amp;CHAR(10)&amp;"يسعدنا مساعدتكم في اختيار المسار الأنسب حسب وضع العيادة الحالي.")</x:f>
      </x:c>
      <x:c r="P408" s="12" t="str">
        <x:f>IF(D408="","",HYPERLINK("https://wa.me/"&amp;REGEXREPLACE(D408,"[^\d]","")&amp;"?text="&amp;ENCODEURL(O408),"واتساب 3"))</x:f>
      </x:c>
    </x:row>
    <x:row r="409" ht="15" hidden="0" customHeight="1">
      <x:c r="A409" s="12" t="str">
        <x:f>IF(Leads!A409="","",Leads!A409)</x:f>
      </x:c>
      <x:c r="B409" s="12" t="str">
        <x:f>IF(Leads!F409="","",Leads!F409)</x:f>
      </x:c>
      <x:c r="C409" s="12" t="str">
        <x:f>IF(Leads!G409="","",Leads!G409)</x:f>
      </x:c>
      <x:c r="D409" s="12" t="str">
        <x:f>IF(Leads!O409="","",Leads!O409)</x:f>
      </x:c>
      <x:c r="E409" s="12" t="str">
        <x:f>IF(Leads!AV409="","",Leads!AV409)</x:f>
      </x:c>
      <x:c r="F409" s="12" t="str">
        <x:f>IF(Leads!AX409="","",Leads!AX409)</x:f>
      </x:c>
      <x:c r="G409" s="12" t="str">
        <x:f>IF(Leads!BC409="","",Leads!BC409)</x:f>
      </x:c>
      <x:c r="H409" s="12" t="str">
        <x:f>IF(Leads!BE409="","",Leads!BE409)</x:f>
      </x:c>
      <x:c r="I409" s="12" t="str">
        <x:f>IF(Leads!BG409="","",Leads!BG409)</x:f>
      </x:c>
      <x:c r="J409" s="12" t="str">
        <x:f>IF(Leads!BH409="","",Leads!BH409)</x:f>
      </x:c>
      <x:c r="K409" s="12" t="str">
        <x:f>IF(A409="","","مرحبًا "&amp;C409&amp;CHAR(10)&amp;CHAR(10)&amp;"شكرًا لإتمام تقييم DBD الخاص بعيادة "&amp;B409&amp;"."&amp;CHAR(10)&amp;"نتيجتكم الحالية: "&amp;E409&amp;"%."&amp;CHAR(10)&amp;"أولوية التحسين الأولى: "&amp;F409&amp;"."&amp;IF(J409&lt;&gt;"",CHAR(10)&amp;CHAR(10)&amp;"رابط التقرير: "&amp;J409,"")&amp;CHAR(10)&amp;CHAR(10)&amp;"إذا أحببت، يمكننا مساعدتك في فهم التقرير وتحديد أفضل خطوة تالية لعيادتكم.")</x:f>
      </x:c>
      <x:c r="L409" s="12" t="str">
        <x:f>IF(D409="","",HYPERLINK("https://wa.me/"&amp;REGEXREPLACE(D409,"[^\d]","")&amp;"?text="&amp;ENCODEURL(K409),"واتساب 1"))</x:f>
      </x:c>
      <x:c r="M409" s="12" t="str">
        <x:f>IF(A409="","","مرحبًا "&amp;C409&amp;CHAR(10)&amp;CHAR(10)&amp;"بناءً على نتيجة تقييم عيادة "&amp;B409&amp;"، فإن الترشيح الأقوى لكم الآن هو: "&amp;G409&amp;"."&amp;CHAR(10)&amp;"هذا الخيار يساعدكم في معالجة أكبر فجوة حالية بشكل عملي ومباشر."&amp;IF(J409&lt;&gt;"",CHAR(10)&amp;CHAR(10)&amp;"رابط التقرير: "&amp;J409,"")&amp;CHAR(10)&amp;CHAR(10)&amp;"إذا رغبت، يمكننا توضيح لماذا هذا الكورس هو الأنسب لكم الآن.")</x:f>
      </x:c>
      <x:c r="N409" s="12" t="str">
        <x:f>IF(D409="","",HYPERLINK("https://wa.me/"&amp;REGEXREPLACE(D409,"[^\d]","")&amp;"?text="&amp;ENCODEURL(M409),"واتساب 2"))</x:f>
      </x:c>
      <x:c r="O409" s="12" t="str">
        <x:f>IF(A409="","","مرحبًا "&amp;C409&amp;CHAR(10)&amp;CHAR(10)&amp;"إذا كانت التحديات لديكم تحتاج حلًا أشمل، فالبرنامج الكامل المناسب لكم هو: "&amp;H409&amp;"."&amp;IF(I409&lt;&gt;"",CHAR(10)&amp;"كما يمكنكم أيضًا حجز: "&amp;I409&amp;".","")&amp;IF(J409&lt;&gt;"",CHAR(10)&amp;CHAR(10)&amp;"رابط التقرير: "&amp;J409,"")&amp;CHAR(10)&amp;CHAR(10)&amp;"يسعدنا مساعدتكم في اختيار المسار الأنسب حسب وضع العيادة الحالي.")</x:f>
      </x:c>
      <x:c r="P409" s="12" t="str">
        <x:f>IF(D409="","",HYPERLINK("https://wa.me/"&amp;REGEXREPLACE(D409,"[^\d]","")&amp;"?text="&amp;ENCODEURL(O409),"واتساب 3"))</x:f>
      </x:c>
    </x:row>
    <x:row r="410" ht="15" hidden="0" customHeight="1">
      <x:c r="A410" s="12" t="str">
        <x:f>IF(Leads!A410="","",Leads!A410)</x:f>
      </x:c>
      <x:c r="B410" s="12" t="str">
        <x:f>IF(Leads!F410="","",Leads!F410)</x:f>
      </x:c>
      <x:c r="C410" s="12" t="str">
        <x:f>IF(Leads!G410="","",Leads!G410)</x:f>
      </x:c>
      <x:c r="D410" s="12" t="str">
        <x:f>IF(Leads!O410="","",Leads!O410)</x:f>
      </x:c>
      <x:c r="E410" s="12" t="str">
        <x:f>IF(Leads!AV410="","",Leads!AV410)</x:f>
      </x:c>
      <x:c r="F410" s="12" t="str">
        <x:f>IF(Leads!AX410="","",Leads!AX410)</x:f>
      </x:c>
      <x:c r="G410" s="12" t="str">
        <x:f>IF(Leads!BC410="","",Leads!BC410)</x:f>
      </x:c>
      <x:c r="H410" s="12" t="str">
        <x:f>IF(Leads!BE410="","",Leads!BE410)</x:f>
      </x:c>
      <x:c r="I410" s="12" t="str">
        <x:f>IF(Leads!BG410="","",Leads!BG410)</x:f>
      </x:c>
      <x:c r="J410" s="12" t="str">
        <x:f>IF(Leads!BH410="","",Leads!BH410)</x:f>
      </x:c>
      <x:c r="K410" s="12" t="str">
        <x:f>IF(A410="","","مرحبًا "&amp;C410&amp;CHAR(10)&amp;CHAR(10)&amp;"شكرًا لإتمام تقييم DBD الخاص بعيادة "&amp;B410&amp;"."&amp;CHAR(10)&amp;"نتيجتكم الحالية: "&amp;E410&amp;"%."&amp;CHAR(10)&amp;"أولوية التحسين الأولى: "&amp;F410&amp;"."&amp;IF(J410&lt;&gt;"",CHAR(10)&amp;CHAR(10)&amp;"رابط التقرير: "&amp;J410,"")&amp;CHAR(10)&amp;CHAR(10)&amp;"إذا أحببت، يمكننا مساعدتك في فهم التقرير وتحديد أفضل خطوة تالية لعيادتكم.")</x:f>
      </x:c>
      <x:c r="L410" s="12" t="str">
        <x:f>IF(D410="","",HYPERLINK("https://wa.me/"&amp;REGEXREPLACE(D410,"[^\d]","")&amp;"?text="&amp;ENCODEURL(K410),"واتساب 1"))</x:f>
      </x:c>
      <x:c r="M410" s="12" t="str">
        <x:f>IF(A410="","","مرحبًا "&amp;C410&amp;CHAR(10)&amp;CHAR(10)&amp;"بناءً على نتيجة تقييم عيادة "&amp;B410&amp;"، فإن الترشيح الأقوى لكم الآن هو: "&amp;G410&amp;"."&amp;CHAR(10)&amp;"هذا الخيار يساعدكم في معالجة أكبر فجوة حالية بشكل عملي ومباشر."&amp;IF(J410&lt;&gt;"",CHAR(10)&amp;CHAR(10)&amp;"رابط التقرير: "&amp;J410,"")&amp;CHAR(10)&amp;CHAR(10)&amp;"إذا رغبت، يمكننا توضيح لماذا هذا الكورس هو الأنسب لكم الآن.")</x:f>
      </x:c>
      <x:c r="N410" s="12" t="str">
        <x:f>IF(D410="","",HYPERLINK("https://wa.me/"&amp;REGEXREPLACE(D410,"[^\d]","")&amp;"?text="&amp;ENCODEURL(M410),"واتساب 2"))</x:f>
      </x:c>
      <x:c r="O410" s="12" t="str">
        <x:f>IF(A410="","","مرحبًا "&amp;C410&amp;CHAR(10)&amp;CHAR(10)&amp;"إذا كانت التحديات لديكم تحتاج حلًا أشمل، فالبرنامج الكامل المناسب لكم هو: "&amp;H410&amp;"."&amp;IF(I410&lt;&gt;"",CHAR(10)&amp;"كما يمكنكم أيضًا حجز: "&amp;I410&amp;".","")&amp;IF(J410&lt;&gt;"",CHAR(10)&amp;CHAR(10)&amp;"رابط التقرير: "&amp;J410,"")&amp;CHAR(10)&amp;CHAR(10)&amp;"يسعدنا مساعدتكم في اختيار المسار الأنسب حسب وضع العيادة الحالي.")</x:f>
      </x:c>
      <x:c r="P410" s="12" t="str">
        <x:f>IF(D410="","",HYPERLINK("https://wa.me/"&amp;REGEXREPLACE(D410,"[^\d]","")&amp;"?text="&amp;ENCODEURL(O410),"واتساب 3"))</x:f>
      </x:c>
    </x:row>
    <x:row r="411" ht="15" hidden="0" customHeight="1">
      <x:c r="A411" s="12" t="str">
        <x:f>IF(Leads!A411="","",Leads!A411)</x:f>
      </x:c>
      <x:c r="B411" s="12" t="str">
        <x:f>IF(Leads!F411="","",Leads!F411)</x:f>
      </x:c>
      <x:c r="C411" s="12" t="str">
        <x:f>IF(Leads!G411="","",Leads!G411)</x:f>
      </x:c>
      <x:c r="D411" s="12" t="str">
        <x:f>IF(Leads!O411="","",Leads!O411)</x:f>
      </x:c>
      <x:c r="E411" s="12" t="str">
        <x:f>IF(Leads!AV411="","",Leads!AV411)</x:f>
      </x:c>
      <x:c r="F411" s="12" t="str">
        <x:f>IF(Leads!AX411="","",Leads!AX411)</x:f>
      </x:c>
      <x:c r="G411" s="12" t="str">
        <x:f>IF(Leads!BC411="","",Leads!BC411)</x:f>
      </x:c>
      <x:c r="H411" s="12" t="str">
        <x:f>IF(Leads!BE411="","",Leads!BE411)</x:f>
      </x:c>
      <x:c r="I411" s="12" t="str">
        <x:f>IF(Leads!BG411="","",Leads!BG411)</x:f>
      </x:c>
      <x:c r="J411" s="12" t="str">
        <x:f>IF(Leads!BH411="","",Leads!BH411)</x:f>
      </x:c>
      <x:c r="K411" s="12" t="str">
        <x:f>IF(A411="","","مرحبًا "&amp;C411&amp;CHAR(10)&amp;CHAR(10)&amp;"شكرًا لإتمام تقييم DBD الخاص بعيادة "&amp;B411&amp;"."&amp;CHAR(10)&amp;"نتيجتكم الحالية: "&amp;E411&amp;"%."&amp;CHAR(10)&amp;"أولوية التحسين الأولى: "&amp;F411&amp;"."&amp;IF(J411&lt;&gt;"",CHAR(10)&amp;CHAR(10)&amp;"رابط التقرير: "&amp;J411,"")&amp;CHAR(10)&amp;CHAR(10)&amp;"إذا أحببت، يمكننا مساعدتك في فهم التقرير وتحديد أفضل خطوة تالية لعيادتكم.")</x:f>
      </x:c>
      <x:c r="L411" s="12" t="str">
        <x:f>IF(D411="","",HYPERLINK("https://wa.me/"&amp;REGEXREPLACE(D411,"[^\d]","")&amp;"?text="&amp;ENCODEURL(K411),"واتساب 1"))</x:f>
      </x:c>
      <x:c r="M411" s="12" t="str">
        <x:f>IF(A411="","","مرحبًا "&amp;C411&amp;CHAR(10)&amp;CHAR(10)&amp;"بناءً على نتيجة تقييم عيادة "&amp;B411&amp;"، فإن الترشيح الأقوى لكم الآن هو: "&amp;G411&amp;"."&amp;CHAR(10)&amp;"هذا الخيار يساعدكم في معالجة أكبر فجوة حالية بشكل عملي ومباشر."&amp;IF(J411&lt;&gt;"",CHAR(10)&amp;CHAR(10)&amp;"رابط التقرير: "&amp;J411,"")&amp;CHAR(10)&amp;CHAR(10)&amp;"إذا رغبت، يمكننا توضيح لماذا هذا الكورس هو الأنسب لكم الآن.")</x:f>
      </x:c>
      <x:c r="N411" s="12" t="str">
        <x:f>IF(D411="","",HYPERLINK("https://wa.me/"&amp;REGEXREPLACE(D411,"[^\d]","")&amp;"?text="&amp;ENCODEURL(M411),"واتساب 2"))</x:f>
      </x:c>
      <x:c r="O411" s="12" t="str">
        <x:f>IF(A411="","","مرحبًا "&amp;C411&amp;CHAR(10)&amp;CHAR(10)&amp;"إذا كانت التحديات لديكم تحتاج حلًا أشمل، فالبرنامج الكامل المناسب لكم هو: "&amp;H411&amp;"."&amp;IF(I411&lt;&gt;"",CHAR(10)&amp;"كما يمكنكم أيضًا حجز: "&amp;I411&amp;".","")&amp;IF(J411&lt;&gt;"",CHAR(10)&amp;CHAR(10)&amp;"رابط التقرير: "&amp;J411,"")&amp;CHAR(10)&amp;CHAR(10)&amp;"يسعدنا مساعدتكم في اختيار المسار الأنسب حسب وضع العيادة الحالي.")</x:f>
      </x:c>
      <x:c r="P411" s="12" t="str">
        <x:f>IF(D411="","",HYPERLINK("https://wa.me/"&amp;REGEXREPLACE(D411,"[^\d]","")&amp;"?text="&amp;ENCODEURL(O411),"واتساب 3"))</x:f>
      </x:c>
    </x:row>
    <x:row r="412" ht="15" hidden="0" customHeight="1">
      <x:c r="A412" s="12" t="str">
        <x:f>IF(Leads!A412="","",Leads!A412)</x:f>
      </x:c>
      <x:c r="B412" s="12" t="str">
        <x:f>IF(Leads!F412="","",Leads!F412)</x:f>
      </x:c>
      <x:c r="C412" s="12" t="str">
        <x:f>IF(Leads!G412="","",Leads!G412)</x:f>
      </x:c>
      <x:c r="D412" s="12" t="str">
        <x:f>IF(Leads!O412="","",Leads!O412)</x:f>
      </x:c>
      <x:c r="E412" s="12" t="str">
        <x:f>IF(Leads!AV412="","",Leads!AV412)</x:f>
      </x:c>
      <x:c r="F412" s="12" t="str">
        <x:f>IF(Leads!AX412="","",Leads!AX412)</x:f>
      </x:c>
      <x:c r="G412" s="12" t="str">
        <x:f>IF(Leads!BC412="","",Leads!BC412)</x:f>
      </x:c>
      <x:c r="H412" s="12" t="str">
        <x:f>IF(Leads!BE412="","",Leads!BE412)</x:f>
      </x:c>
      <x:c r="I412" s="12" t="str">
        <x:f>IF(Leads!BG412="","",Leads!BG412)</x:f>
      </x:c>
      <x:c r="J412" s="12" t="str">
        <x:f>IF(Leads!BH412="","",Leads!BH412)</x:f>
      </x:c>
      <x:c r="K412" s="12" t="str">
        <x:f>IF(A412="","","مرحبًا "&amp;C412&amp;CHAR(10)&amp;CHAR(10)&amp;"شكرًا لإتمام تقييم DBD الخاص بعيادة "&amp;B412&amp;"."&amp;CHAR(10)&amp;"نتيجتكم الحالية: "&amp;E412&amp;"%."&amp;CHAR(10)&amp;"أولوية التحسين الأولى: "&amp;F412&amp;"."&amp;IF(J412&lt;&gt;"",CHAR(10)&amp;CHAR(10)&amp;"رابط التقرير: "&amp;J412,"")&amp;CHAR(10)&amp;CHAR(10)&amp;"إذا أحببت، يمكننا مساعدتك في فهم التقرير وتحديد أفضل خطوة تالية لعيادتكم.")</x:f>
      </x:c>
      <x:c r="L412" s="12" t="str">
        <x:f>IF(D412="","",HYPERLINK("https://wa.me/"&amp;REGEXREPLACE(D412,"[^\d]","")&amp;"?text="&amp;ENCODEURL(K412),"واتساب 1"))</x:f>
      </x:c>
      <x:c r="M412" s="12" t="str">
        <x:f>IF(A412="","","مرحبًا "&amp;C412&amp;CHAR(10)&amp;CHAR(10)&amp;"بناءً على نتيجة تقييم عيادة "&amp;B412&amp;"، فإن الترشيح الأقوى لكم الآن هو: "&amp;G412&amp;"."&amp;CHAR(10)&amp;"هذا الخيار يساعدكم في معالجة أكبر فجوة حالية بشكل عملي ومباشر."&amp;IF(J412&lt;&gt;"",CHAR(10)&amp;CHAR(10)&amp;"رابط التقرير: "&amp;J412,"")&amp;CHAR(10)&amp;CHAR(10)&amp;"إذا رغبت، يمكننا توضيح لماذا هذا الكورس هو الأنسب لكم الآن.")</x:f>
      </x:c>
      <x:c r="N412" s="12" t="str">
        <x:f>IF(D412="","",HYPERLINK("https://wa.me/"&amp;REGEXREPLACE(D412,"[^\d]","")&amp;"?text="&amp;ENCODEURL(M412),"واتساب 2"))</x:f>
      </x:c>
      <x:c r="O412" s="12" t="str">
        <x:f>IF(A412="","","مرحبًا "&amp;C412&amp;CHAR(10)&amp;CHAR(10)&amp;"إذا كانت التحديات لديكم تحتاج حلًا أشمل، فالبرنامج الكامل المناسب لكم هو: "&amp;H412&amp;"."&amp;IF(I412&lt;&gt;"",CHAR(10)&amp;"كما يمكنكم أيضًا حجز: "&amp;I412&amp;".","")&amp;IF(J412&lt;&gt;"",CHAR(10)&amp;CHAR(10)&amp;"رابط التقرير: "&amp;J412,"")&amp;CHAR(10)&amp;CHAR(10)&amp;"يسعدنا مساعدتكم في اختيار المسار الأنسب حسب وضع العيادة الحالي.")</x:f>
      </x:c>
      <x:c r="P412" s="12" t="str">
        <x:f>IF(D412="","",HYPERLINK("https://wa.me/"&amp;REGEXREPLACE(D412,"[^\d]","")&amp;"?text="&amp;ENCODEURL(O412),"واتساب 3"))</x:f>
      </x:c>
    </x:row>
    <x:row r="413" ht="15" hidden="0" customHeight="1">
      <x:c r="A413" s="12" t="str">
        <x:f>IF(Leads!A413="","",Leads!A413)</x:f>
      </x:c>
      <x:c r="B413" s="12" t="str">
        <x:f>IF(Leads!F413="","",Leads!F413)</x:f>
      </x:c>
      <x:c r="C413" s="12" t="str">
        <x:f>IF(Leads!G413="","",Leads!G413)</x:f>
      </x:c>
      <x:c r="D413" s="12" t="str">
        <x:f>IF(Leads!O413="","",Leads!O413)</x:f>
      </x:c>
      <x:c r="E413" s="12" t="str">
        <x:f>IF(Leads!AV413="","",Leads!AV413)</x:f>
      </x:c>
      <x:c r="F413" s="12" t="str">
        <x:f>IF(Leads!AX413="","",Leads!AX413)</x:f>
      </x:c>
      <x:c r="G413" s="12" t="str">
        <x:f>IF(Leads!BC413="","",Leads!BC413)</x:f>
      </x:c>
      <x:c r="H413" s="12" t="str">
        <x:f>IF(Leads!BE413="","",Leads!BE413)</x:f>
      </x:c>
      <x:c r="I413" s="12" t="str">
        <x:f>IF(Leads!BG413="","",Leads!BG413)</x:f>
      </x:c>
      <x:c r="J413" s="12" t="str">
        <x:f>IF(Leads!BH413="","",Leads!BH413)</x:f>
      </x:c>
      <x:c r="K413" s="12" t="str">
        <x:f>IF(A413="","","مرحبًا "&amp;C413&amp;CHAR(10)&amp;CHAR(10)&amp;"شكرًا لإتمام تقييم DBD الخاص بعيادة "&amp;B413&amp;"."&amp;CHAR(10)&amp;"نتيجتكم الحالية: "&amp;E413&amp;"%."&amp;CHAR(10)&amp;"أولوية التحسين الأولى: "&amp;F413&amp;"."&amp;IF(J413&lt;&gt;"",CHAR(10)&amp;CHAR(10)&amp;"رابط التقرير: "&amp;J413,"")&amp;CHAR(10)&amp;CHAR(10)&amp;"إذا أحببت، يمكننا مساعدتك في فهم التقرير وتحديد أفضل خطوة تالية لعيادتكم.")</x:f>
      </x:c>
      <x:c r="L413" s="12" t="str">
        <x:f>IF(D413="","",HYPERLINK("https://wa.me/"&amp;REGEXREPLACE(D413,"[^\d]","")&amp;"?text="&amp;ENCODEURL(K413),"واتساب 1"))</x:f>
      </x:c>
      <x:c r="M413" s="12" t="str">
        <x:f>IF(A413="","","مرحبًا "&amp;C413&amp;CHAR(10)&amp;CHAR(10)&amp;"بناءً على نتيجة تقييم عيادة "&amp;B413&amp;"، فإن الترشيح الأقوى لكم الآن هو: "&amp;G413&amp;"."&amp;CHAR(10)&amp;"هذا الخيار يساعدكم في معالجة أكبر فجوة حالية بشكل عملي ومباشر."&amp;IF(J413&lt;&gt;"",CHAR(10)&amp;CHAR(10)&amp;"رابط التقرير: "&amp;J413,"")&amp;CHAR(10)&amp;CHAR(10)&amp;"إذا رغبت، يمكننا توضيح لماذا هذا الكورس هو الأنسب لكم الآن.")</x:f>
      </x:c>
      <x:c r="N413" s="12" t="str">
        <x:f>IF(D413="","",HYPERLINK("https://wa.me/"&amp;REGEXREPLACE(D413,"[^\d]","")&amp;"?text="&amp;ENCODEURL(M413),"واتساب 2"))</x:f>
      </x:c>
      <x:c r="O413" s="12" t="str">
        <x:f>IF(A413="","","مرحبًا "&amp;C413&amp;CHAR(10)&amp;CHAR(10)&amp;"إذا كانت التحديات لديكم تحتاج حلًا أشمل، فالبرنامج الكامل المناسب لكم هو: "&amp;H413&amp;"."&amp;IF(I413&lt;&gt;"",CHAR(10)&amp;"كما يمكنكم أيضًا حجز: "&amp;I413&amp;".","")&amp;IF(J413&lt;&gt;"",CHAR(10)&amp;CHAR(10)&amp;"رابط التقرير: "&amp;J413,"")&amp;CHAR(10)&amp;CHAR(10)&amp;"يسعدنا مساعدتكم في اختيار المسار الأنسب حسب وضع العيادة الحالي.")</x:f>
      </x:c>
      <x:c r="P413" s="12" t="str">
        <x:f>IF(D413="","",HYPERLINK("https://wa.me/"&amp;REGEXREPLACE(D413,"[^\d]","")&amp;"?text="&amp;ENCODEURL(O413),"واتساب 3"))</x:f>
      </x:c>
    </x:row>
    <x:row r="414" ht="15" hidden="0" customHeight="1">
      <x:c r="A414" s="12" t="str">
        <x:f>IF(Leads!A414="","",Leads!A414)</x:f>
      </x:c>
      <x:c r="B414" s="12" t="str">
        <x:f>IF(Leads!F414="","",Leads!F414)</x:f>
      </x:c>
      <x:c r="C414" s="12" t="str">
        <x:f>IF(Leads!G414="","",Leads!G414)</x:f>
      </x:c>
      <x:c r="D414" s="12" t="str">
        <x:f>IF(Leads!O414="","",Leads!O414)</x:f>
      </x:c>
      <x:c r="E414" s="12" t="str">
        <x:f>IF(Leads!AV414="","",Leads!AV414)</x:f>
      </x:c>
      <x:c r="F414" s="12" t="str">
        <x:f>IF(Leads!AX414="","",Leads!AX414)</x:f>
      </x:c>
      <x:c r="G414" s="12" t="str">
        <x:f>IF(Leads!BC414="","",Leads!BC414)</x:f>
      </x:c>
      <x:c r="H414" s="12" t="str">
        <x:f>IF(Leads!BE414="","",Leads!BE414)</x:f>
      </x:c>
      <x:c r="I414" s="12" t="str">
        <x:f>IF(Leads!BG414="","",Leads!BG414)</x:f>
      </x:c>
      <x:c r="J414" s="12" t="str">
        <x:f>IF(Leads!BH414="","",Leads!BH414)</x:f>
      </x:c>
      <x:c r="K414" s="12" t="str">
        <x:f>IF(A414="","","مرحبًا "&amp;C414&amp;CHAR(10)&amp;CHAR(10)&amp;"شكرًا لإتمام تقييم DBD الخاص بعيادة "&amp;B414&amp;"."&amp;CHAR(10)&amp;"نتيجتكم الحالية: "&amp;E414&amp;"%."&amp;CHAR(10)&amp;"أولوية التحسين الأولى: "&amp;F414&amp;"."&amp;IF(J414&lt;&gt;"",CHAR(10)&amp;CHAR(10)&amp;"رابط التقرير: "&amp;J414,"")&amp;CHAR(10)&amp;CHAR(10)&amp;"إذا أحببت، يمكننا مساعدتك في فهم التقرير وتحديد أفضل خطوة تالية لعيادتكم.")</x:f>
      </x:c>
      <x:c r="L414" s="12" t="str">
        <x:f>IF(D414="","",HYPERLINK("https://wa.me/"&amp;REGEXREPLACE(D414,"[^\d]","")&amp;"?text="&amp;ENCODEURL(K414),"واتساب 1"))</x:f>
      </x:c>
      <x:c r="M414" s="12" t="str">
        <x:f>IF(A414="","","مرحبًا "&amp;C414&amp;CHAR(10)&amp;CHAR(10)&amp;"بناءً على نتيجة تقييم عيادة "&amp;B414&amp;"، فإن الترشيح الأقوى لكم الآن هو: "&amp;G414&amp;"."&amp;CHAR(10)&amp;"هذا الخيار يساعدكم في معالجة أكبر فجوة حالية بشكل عملي ومباشر."&amp;IF(J414&lt;&gt;"",CHAR(10)&amp;CHAR(10)&amp;"رابط التقرير: "&amp;J414,"")&amp;CHAR(10)&amp;CHAR(10)&amp;"إذا رغبت، يمكننا توضيح لماذا هذا الكورس هو الأنسب لكم الآن.")</x:f>
      </x:c>
      <x:c r="N414" s="12" t="str">
        <x:f>IF(D414="","",HYPERLINK("https://wa.me/"&amp;REGEXREPLACE(D414,"[^\d]","")&amp;"?text="&amp;ENCODEURL(M414),"واتساب 2"))</x:f>
      </x:c>
      <x:c r="O414" s="12" t="str">
        <x:f>IF(A414="","","مرحبًا "&amp;C414&amp;CHAR(10)&amp;CHAR(10)&amp;"إذا كانت التحديات لديكم تحتاج حلًا أشمل، فالبرنامج الكامل المناسب لكم هو: "&amp;H414&amp;"."&amp;IF(I414&lt;&gt;"",CHAR(10)&amp;"كما يمكنكم أيضًا حجز: "&amp;I414&amp;".","")&amp;IF(J414&lt;&gt;"",CHAR(10)&amp;CHAR(10)&amp;"رابط التقرير: "&amp;J414,"")&amp;CHAR(10)&amp;CHAR(10)&amp;"يسعدنا مساعدتكم في اختيار المسار الأنسب حسب وضع العيادة الحالي.")</x:f>
      </x:c>
      <x:c r="P414" s="12" t="str">
        <x:f>IF(D414="","",HYPERLINK("https://wa.me/"&amp;REGEXREPLACE(D414,"[^\d]","")&amp;"?text="&amp;ENCODEURL(O414),"واتساب 3"))</x:f>
      </x:c>
    </x:row>
    <x:row r="415" ht="15" hidden="0" customHeight="1">
      <x:c r="A415" s="12" t="str">
        <x:f>IF(Leads!A415="","",Leads!A415)</x:f>
      </x:c>
      <x:c r="B415" s="12" t="str">
        <x:f>IF(Leads!F415="","",Leads!F415)</x:f>
      </x:c>
      <x:c r="C415" s="12" t="str">
        <x:f>IF(Leads!G415="","",Leads!G415)</x:f>
      </x:c>
      <x:c r="D415" s="12" t="str">
        <x:f>IF(Leads!O415="","",Leads!O415)</x:f>
      </x:c>
      <x:c r="E415" s="12" t="str">
        <x:f>IF(Leads!AV415="","",Leads!AV415)</x:f>
      </x:c>
      <x:c r="F415" s="12" t="str">
        <x:f>IF(Leads!AX415="","",Leads!AX415)</x:f>
      </x:c>
      <x:c r="G415" s="12" t="str">
        <x:f>IF(Leads!BC415="","",Leads!BC415)</x:f>
      </x:c>
      <x:c r="H415" s="12" t="str">
        <x:f>IF(Leads!BE415="","",Leads!BE415)</x:f>
      </x:c>
      <x:c r="I415" s="12" t="str">
        <x:f>IF(Leads!BG415="","",Leads!BG415)</x:f>
      </x:c>
      <x:c r="J415" s="12" t="str">
        <x:f>IF(Leads!BH415="","",Leads!BH415)</x:f>
      </x:c>
      <x:c r="K415" s="12" t="str">
        <x:f>IF(A415="","","مرحبًا "&amp;C415&amp;CHAR(10)&amp;CHAR(10)&amp;"شكرًا لإتمام تقييم DBD الخاص بعيادة "&amp;B415&amp;"."&amp;CHAR(10)&amp;"نتيجتكم الحالية: "&amp;E415&amp;"%."&amp;CHAR(10)&amp;"أولوية التحسين الأولى: "&amp;F415&amp;"."&amp;IF(J415&lt;&gt;"",CHAR(10)&amp;CHAR(10)&amp;"رابط التقرير: "&amp;J415,"")&amp;CHAR(10)&amp;CHAR(10)&amp;"إذا أحببت، يمكننا مساعدتك في فهم التقرير وتحديد أفضل خطوة تالية لعيادتكم.")</x:f>
      </x:c>
      <x:c r="L415" s="12" t="str">
        <x:f>IF(D415="","",HYPERLINK("https://wa.me/"&amp;REGEXREPLACE(D415,"[^\d]","")&amp;"?text="&amp;ENCODEURL(K415),"واتساب 1"))</x:f>
      </x:c>
      <x:c r="M415" s="12" t="str">
        <x:f>IF(A415="","","مرحبًا "&amp;C415&amp;CHAR(10)&amp;CHAR(10)&amp;"بناءً على نتيجة تقييم عيادة "&amp;B415&amp;"، فإن الترشيح الأقوى لكم الآن هو: "&amp;G415&amp;"."&amp;CHAR(10)&amp;"هذا الخيار يساعدكم في معالجة أكبر فجوة حالية بشكل عملي ومباشر."&amp;IF(J415&lt;&gt;"",CHAR(10)&amp;CHAR(10)&amp;"رابط التقرير: "&amp;J415,"")&amp;CHAR(10)&amp;CHAR(10)&amp;"إذا رغبت، يمكننا توضيح لماذا هذا الكورس هو الأنسب لكم الآن.")</x:f>
      </x:c>
      <x:c r="N415" s="12" t="str">
        <x:f>IF(D415="","",HYPERLINK("https://wa.me/"&amp;REGEXREPLACE(D415,"[^\d]","")&amp;"?text="&amp;ENCODEURL(M415),"واتساب 2"))</x:f>
      </x:c>
      <x:c r="O415" s="12" t="str">
        <x:f>IF(A415="","","مرحبًا "&amp;C415&amp;CHAR(10)&amp;CHAR(10)&amp;"إذا كانت التحديات لديكم تحتاج حلًا أشمل، فالبرنامج الكامل المناسب لكم هو: "&amp;H415&amp;"."&amp;IF(I415&lt;&gt;"",CHAR(10)&amp;"كما يمكنكم أيضًا حجز: "&amp;I415&amp;".","")&amp;IF(J415&lt;&gt;"",CHAR(10)&amp;CHAR(10)&amp;"رابط التقرير: "&amp;J415,"")&amp;CHAR(10)&amp;CHAR(10)&amp;"يسعدنا مساعدتكم في اختيار المسار الأنسب حسب وضع العيادة الحالي.")</x:f>
      </x:c>
      <x:c r="P415" s="12" t="str">
        <x:f>IF(D415="","",HYPERLINK("https://wa.me/"&amp;REGEXREPLACE(D415,"[^\d]","")&amp;"?text="&amp;ENCODEURL(O415),"واتساب 3"))</x:f>
      </x:c>
    </x:row>
    <x:row r="416" ht="15" hidden="0" customHeight="1">
      <x:c r="A416" s="12" t="str">
        <x:f>IF(Leads!A416="","",Leads!A416)</x:f>
      </x:c>
      <x:c r="B416" s="12" t="str">
        <x:f>IF(Leads!F416="","",Leads!F416)</x:f>
      </x:c>
      <x:c r="C416" s="12" t="str">
        <x:f>IF(Leads!G416="","",Leads!G416)</x:f>
      </x:c>
      <x:c r="D416" s="12" t="str">
        <x:f>IF(Leads!O416="","",Leads!O416)</x:f>
      </x:c>
      <x:c r="E416" s="12" t="str">
        <x:f>IF(Leads!AV416="","",Leads!AV416)</x:f>
      </x:c>
      <x:c r="F416" s="12" t="str">
        <x:f>IF(Leads!AX416="","",Leads!AX416)</x:f>
      </x:c>
      <x:c r="G416" s="12" t="str">
        <x:f>IF(Leads!BC416="","",Leads!BC416)</x:f>
      </x:c>
      <x:c r="H416" s="12" t="str">
        <x:f>IF(Leads!BE416="","",Leads!BE416)</x:f>
      </x:c>
      <x:c r="I416" s="12" t="str">
        <x:f>IF(Leads!BG416="","",Leads!BG416)</x:f>
      </x:c>
      <x:c r="J416" s="12" t="str">
        <x:f>IF(Leads!BH416="","",Leads!BH416)</x:f>
      </x:c>
      <x:c r="K416" s="12" t="str">
        <x:f>IF(A416="","","مرحبًا "&amp;C416&amp;CHAR(10)&amp;CHAR(10)&amp;"شكرًا لإتمام تقييم DBD الخاص بعيادة "&amp;B416&amp;"."&amp;CHAR(10)&amp;"نتيجتكم الحالية: "&amp;E416&amp;"%."&amp;CHAR(10)&amp;"أولوية التحسين الأولى: "&amp;F416&amp;"."&amp;IF(J416&lt;&gt;"",CHAR(10)&amp;CHAR(10)&amp;"رابط التقرير: "&amp;J416,"")&amp;CHAR(10)&amp;CHAR(10)&amp;"إذا أحببت، يمكننا مساعدتك في فهم التقرير وتحديد أفضل خطوة تالية لعيادتكم.")</x:f>
      </x:c>
      <x:c r="L416" s="12" t="str">
        <x:f>IF(D416="","",HYPERLINK("https://wa.me/"&amp;REGEXREPLACE(D416,"[^\d]","")&amp;"?text="&amp;ENCODEURL(K416),"واتساب 1"))</x:f>
      </x:c>
      <x:c r="M416" s="12" t="str">
        <x:f>IF(A416="","","مرحبًا "&amp;C416&amp;CHAR(10)&amp;CHAR(10)&amp;"بناءً على نتيجة تقييم عيادة "&amp;B416&amp;"، فإن الترشيح الأقوى لكم الآن هو: "&amp;G416&amp;"."&amp;CHAR(10)&amp;"هذا الخيار يساعدكم في معالجة أكبر فجوة حالية بشكل عملي ومباشر."&amp;IF(J416&lt;&gt;"",CHAR(10)&amp;CHAR(10)&amp;"رابط التقرير: "&amp;J416,"")&amp;CHAR(10)&amp;CHAR(10)&amp;"إذا رغبت، يمكننا توضيح لماذا هذا الكورس هو الأنسب لكم الآن.")</x:f>
      </x:c>
      <x:c r="N416" s="12" t="str">
        <x:f>IF(D416="","",HYPERLINK("https://wa.me/"&amp;REGEXREPLACE(D416,"[^\d]","")&amp;"?text="&amp;ENCODEURL(M416),"واتساب 2"))</x:f>
      </x:c>
      <x:c r="O416" s="12" t="str">
        <x:f>IF(A416="","","مرحبًا "&amp;C416&amp;CHAR(10)&amp;CHAR(10)&amp;"إذا كانت التحديات لديكم تحتاج حلًا أشمل، فالبرنامج الكامل المناسب لكم هو: "&amp;H416&amp;"."&amp;IF(I416&lt;&gt;"",CHAR(10)&amp;"كما يمكنكم أيضًا حجز: "&amp;I416&amp;".","")&amp;IF(J416&lt;&gt;"",CHAR(10)&amp;CHAR(10)&amp;"رابط التقرير: "&amp;J416,"")&amp;CHAR(10)&amp;CHAR(10)&amp;"يسعدنا مساعدتكم في اختيار المسار الأنسب حسب وضع العيادة الحالي.")</x:f>
      </x:c>
      <x:c r="P416" s="12" t="str">
        <x:f>IF(D416="","",HYPERLINK("https://wa.me/"&amp;REGEXREPLACE(D416,"[^\d]","")&amp;"?text="&amp;ENCODEURL(O416),"واتساب 3"))</x:f>
      </x:c>
    </x:row>
    <x:row r="417" ht="15" hidden="0" customHeight="1">
      <x:c r="A417" s="12" t="str">
        <x:f>IF(Leads!A417="","",Leads!A417)</x:f>
      </x:c>
      <x:c r="B417" s="12" t="str">
        <x:f>IF(Leads!F417="","",Leads!F417)</x:f>
      </x:c>
      <x:c r="C417" s="12" t="str">
        <x:f>IF(Leads!G417="","",Leads!G417)</x:f>
      </x:c>
      <x:c r="D417" s="12" t="str">
        <x:f>IF(Leads!O417="","",Leads!O417)</x:f>
      </x:c>
      <x:c r="E417" s="12" t="str">
        <x:f>IF(Leads!AV417="","",Leads!AV417)</x:f>
      </x:c>
      <x:c r="F417" s="12" t="str">
        <x:f>IF(Leads!AX417="","",Leads!AX417)</x:f>
      </x:c>
      <x:c r="G417" s="12" t="str">
        <x:f>IF(Leads!BC417="","",Leads!BC417)</x:f>
      </x:c>
      <x:c r="H417" s="12" t="str">
        <x:f>IF(Leads!BE417="","",Leads!BE417)</x:f>
      </x:c>
      <x:c r="I417" s="12" t="str">
        <x:f>IF(Leads!BG417="","",Leads!BG417)</x:f>
      </x:c>
      <x:c r="J417" s="12" t="str">
        <x:f>IF(Leads!BH417="","",Leads!BH417)</x:f>
      </x:c>
      <x:c r="K417" s="12" t="str">
        <x:f>IF(A417="","","مرحبًا "&amp;C417&amp;CHAR(10)&amp;CHAR(10)&amp;"شكرًا لإتمام تقييم DBD الخاص بعيادة "&amp;B417&amp;"."&amp;CHAR(10)&amp;"نتيجتكم الحالية: "&amp;E417&amp;"%."&amp;CHAR(10)&amp;"أولوية التحسين الأولى: "&amp;F417&amp;"."&amp;IF(J417&lt;&gt;"",CHAR(10)&amp;CHAR(10)&amp;"رابط التقرير: "&amp;J417,"")&amp;CHAR(10)&amp;CHAR(10)&amp;"إذا أحببت، يمكننا مساعدتك في فهم التقرير وتحديد أفضل خطوة تالية لعيادتكم.")</x:f>
      </x:c>
      <x:c r="L417" s="12" t="str">
        <x:f>IF(D417="","",HYPERLINK("https://wa.me/"&amp;REGEXREPLACE(D417,"[^\d]","")&amp;"?text="&amp;ENCODEURL(K417),"واتساب 1"))</x:f>
      </x:c>
      <x:c r="M417" s="12" t="str">
        <x:f>IF(A417="","","مرحبًا "&amp;C417&amp;CHAR(10)&amp;CHAR(10)&amp;"بناءً على نتيجة تقييم عيادة "&amp;B417&amp;"، فإن الترشيح الأقوى لكم الآن هو: "&amp;G417&amp;"."&amp;CHAR(10)&amp;"هذا الخيار يساعدكم في معالجة أكبر فجوة حالية بشكل عملي ومباشر."&amp;IF(J417&lt;&gt;"",CHAR(10)&amp;CHAR(10)&amp;"رابط التقرير: "&amp;J417,"")&amp;CHAR(10)&amp;CHAR(10)&amp;"إذا رغبت، يمكننا توضيح لماذا هذا الكورس هو الأنسب لكم الآن.")</x:f>
      </x:c>
      <x:c r="N417" s="12" t="str">
        <x:f>IF(D417="","",HYPERLINK("https://wa.me/"&amp;REGEXREPLACE(D417,"[^\d]","")&amp;"?text="&amp;ENCODEURL(M417),"واتساب 2"))</x:f>
      </x:c>
      <x:c r="O417" s="12" t="str">
        <x:f>IF(A417="","","مرحبًا "&amp;C417&amp;CHAR(10)&amp;CHAR(10)&amp;"إذا كانت التحديات لديكم تحتاج حلًا أشمل، فالبرنامج الكامل المناسب لكم هو: "&amp;H417&amp;"."&amp;IF(I417&lt;&gt;"",CHAR(10)&amp;"كما يمكنكم أيضًا حجز: "&amp;I417&amp;".","")&amp;IF(J417&lt;&gt;"",CHAR(10)&amp;CHAR(10)&amp;"رابط التقرير: "&amp;J417,"")&amp;CHAR(10)&amp;CHAR(10)&amp;"يسعدنا مساعدتكم في اختيار المسار الأنسب حسب وضع العيادة الحالي.")</x:f>
      </x:c>
      <x:c r="P417" s="12" t="str">
        <x:f>IF(D417="","",HYPERLINK("https://wa.me/"&amp;REGEXREPLACE(D417,"[^\d]","")&amp;"?text="&amp;ENCODEURL(O417),"واتساب 3"))</x:f>
      </x:c>
    </x:row>
    <x:row r="418" ht="15" hidden="0" customHeight="1">
      <x:c r="A418" s="12" t="str">
        <x:f>IF(Leads!A418="","",Leads!A418)</x:f>
      </x:c>
      <x:c r="B418" s="12" t="str">
        <x:f>IF(Leads!F418="","",Leads!F418)</x:f>
      </x:c>
      <x:c r="C418" s="12" t="str">
        <x:f>IF(Leads!G418="","",Leads!G418)</x:f>
      </x:c>
      <x:c r="D418" s="12" t="str">
        <x:f>IF(Leads!O418="","",Leads!O418)</x:f>
      </x:c>
      <x:c r="E418" s="12" t="str">
        <x:f>IF(Leads!AV418="","",Leads!AV418)</x:f>
      </x:c>
      <x:c r="F418" s="12" t="str">
        <x:f>IF(Leads!AX418="","",Leads!AX418)</x:f>
      </x:c>
      <x:c r="G418" s="12" t="str">
        <x:f>IF(Leads!BC418="","",Leads!BC418)</x:f>
      </x:c>
      <x:c r="H418" s="12" t="str">
        <x:f>IF(Leads!BE418="","",Leads!BE418)</x:f>
      </x:c>
      <x:c r="I418" s="12" t="str">
        <x:f>IF(Leads!BG418="","",Leads!BG418)</x:f>
      </x:c>
      <x:c r="J418" s="12" t="str">
        <x:f>IF(Leads!BH418="","",Leads!BH418)</x:f>
      </x:c>
      <x:c r="K418" s="12" t="str">
        <x:f>IF(A418="","","مرحبًا "&amp;C418&amp;CHAR(10)&amp;CHAR(10)&amp;"شكرًا لإتمام تقييم DBD الخاص بعيادة "&amp;B418&amp;"."&amp;CHAR(10)&amp;"نتيجتكم الحالية: "&amp;E418&amp;"%."&amp;CHAR(10)&amp;"أولوية التحسين الأولى: "&amp;F418&amp;"."&amp;IF(J418&lt;&gt;"",CHAR(10)&amp;CHAR(10)&amp;"رابط التقرير: "&amp;J418,"")&amp;CHAR(10)&amp;CHAR(10)&amp;"إذا أحببت، يمكننا مساعدتك في فهم التقرير وتحديد أفضل خطوة تالية لعيادتكم.")</x:f>
      </x:c>
      <x:c r="L418" s="12" t="str">
        <x:f>IF(D418="","",HYPERLINK("https://wa.me/"&amp;REGEXREPLACE(D418,"[^\d]","")&amp;"?text="&amp;ENCODEURL(K418),"واتساب 1"))</x:f>
      </x:c>
      <x:c r="M418" s="12" t="str">
        <x:f>IF(A418="","","مرحبًا "&amp;C418&amp;CHAR(10)&amp;CHAR(10)&amp;"بناءً على نتيجة تقييم عيادة "&amp;B418&amp;"، فإن الترشيح الأقوى لكم الآن هو: "&amp;G418&amp;"."&amp;CHAR(10)&amp;"هذا الخيار يساعدكم في معالجة أكبر فجوة حالية بشكل عملي ومباشر."&amp;IF(J418&lt;&gt;"",CHAR(10)&amp;CHAR(10)&amp;"رابط التقرير: "&amp;J418,"")&amp;CHAR(10)&amp;CHAR(10)&amp;"إذا رغبت، يمكننا توضيح لماذا هذا الكورس هو الأنسب لكم الآن.")</x:f>
      </x:c>
      <x:c r="N418" s="12" t="str">
        <x:f>IF(D418="","",HYPERLINK("https://wa.me/"&amp;REGEXREPLACE(D418,"[^\d]","")&amp;"?text="&amp;ENCODEURL(M418),"واتساب 2"))</x:f>
      </x:c>
      <x:c r="O418" s="12" t="str">
        <x:f>IF(A418="","","مرحبًا "&amp;C418&amp;CHAR(10)&amp;CHAR(10)&amp;"إذا كانت التحديات لديكم تحتاج حلًا أشمل، فالبرنامج الكامل المناسب لكم هو: "&amp;H418&amp;"."&amp;IF(I418&lt;&gt;"",CHAR(10)&amp;"كما يمكنكم أيضًا حجز: "&amp;I418&amp;".","")&amp;IF(J418&lt;&gt;"",CHAR(10)&amp;CHAR(10)&amp;"رابط التقرير: "&amp;J418,"")&amp;CHAR(10)&amp;CHAR(10)&amp;"يسعدنا مساعدتكم في اختيار المسار الأنسب حسب وضع العيادة الحالي.")</x:f>
      </x:c>
      <x:c r="P418" s="12" t="str">
        <x:f>IF(D418="","",HYPERLINK("https://wa.me/"&amp;REGEXREPLACE(D418,"[^\d]","")&amp;"?text="&amp;ENCODEURL(O418),"واتساب 3"))</x:f>
      </x:c>
    </x:row>
    <x:row r="419" ht="15" hidden="0" customHeight="1">
      <x:c r="A419" s="12" t="str">
        <x:f>IF(Leads!A419="","",Leads!A419)</x:f>
      </x:c>
      <x:c r="B419" s="12" t="str">
        <x:f>IF(Leads!F419="","",Leads!F419)</x:f>
      </x:c>
      <x:c r="C419" s="12" t="str">
        <x:f>IF(Leads!G419="","",Leads!G419)</x:f>
      </x:c>
      <x:c r="D419" s="12" t="str">
        <x:f>IF(Leads!O419="","",Leads!O419)</x:f>
      </x:c>
      <x:c r="E419" s="12" t="str">
        <x:f>IF(Leads!AV419="","",Leads!AV419)</x:f>
      </x:c>
      <x:c r="F419" s="12" t="str">
        <x:f>IF(Leads!AX419="","",Leads!AX419)</x:f>
      </x:c>
      <x:c r="G419" s="12" t="str">
        <x:f>IF(Leads!BC419="","",Leads!BC419)</x:f>
      </x:c>
      <x:c r="H419" s="12" t="str">
        <x:f>IF(Leads!BE419="","",Leads!BE419)</x:f>
      </x:c>
      <x:c r="I419" s="12" t="str">
        <x:f>IF(Leads!BG419="","",Leads!BG419)</x:f>
      </x:c>
      <x:c r="J419" s="12" t="str">
        <x:f>IF(Leads!BH419="","",Leads!BH419)</x:f>
      </x:c>
      <x:c r="K419" s="12" t="str">
        <x:f>IF(A419="","","مرحبًا "&amp;C419&amp;CHAR(10)&amp;CHAR(10)&amp;"شكرًا لإتمام تقييم DBD الخاص بعيادة "&amp;B419&amp;"."&amp;CHAR(10)&amp;"نتيجتكم الحالية: "&amp;E419&amp;"%."&amp;CHAR(10)&amp;"أولوية التحسين الأولى: "&amp;F419&amp;"."&amp;IF(J419&lt;&gt;"",CHAR(10)&amp;CHAR(10)&amp;"رابط التقرير: "&amp;J419,"")&amp;CHAR(10)&amp;CHAR(10)&amp;"إذا أحببت، يمكننا مساعدتك في فهم التقرير وتحديد أفضل خطوة تالية لعيادتكم.")</x:f>
      </x:c>
      <x:c r="L419" s="12" t="str">
        <x:f>IF(D419="","",HYPERLINK("https://wa.me/"&amp;REGEXREPLACE(D419,"[^\d]","")&amp;"?text="&amp;ENCODEURL(K419),"واتساب 1"))</x:f>
      </x:c>
      <x:c r="M419" s="12" t="str">
        <x:f>IF(A419="","","مرحبًا "&amp;C419&amp;CHAR(10)&amp;CHAR(10)&amp;"بناءً على نتيجة تقييم عيادة "&amp;B419&amp;"، فإن الترشيح الأقوى لكم الآن هو: "&amp;G419&amp;"."&amp;CHAR(10)&amp;"هذا الخيار يساعدكم في معالجة أكبر فجوة حالية بشكل عملي ومباشر."&amp;IF(J419&lt;&gt;"",CHAR(10)&amp;CHAR(10)&amp;"رابط التقرير: "&amp;J419,"")&amp;CHAR(10)&amp;CHAR(10)&amp;"إذا رغبت، يمكننا توضيح لماذا هذا الكورس هو الأنسب لكم الآن.")</x:f>
      </x:c>
      <x:c r="N419" s="12" t="str">
        <x:f>IF(D419="","",HYPERLINK("https://wa.me/"&amp;REGEXREPLACE(D419,"[^\d]","")&amp;"?text="&amp;ENCODEURL(M419),"واتساب 2"))</x:f>
      </x:c>
      <x:c r="O419" s="12" t="str">
        <x:f>IF(A419="","","مرحبًا "&amp;C419&amp;CHAR(10)&amp;CHAR(10)&amp;"إذا كانت التحديات لديكم تحتاج حلًا أشمل، فالبرنامج الكامل المناسب لكم هو: "&amp;H419&amp;"."&amp;IF(I419&lt;&gt;"",CHAR(10)&amp;"كما يمكنكم أيضًا حجز: "&amp;I419&amp;".","")&amp;IF(J419&lt;&gt;"",CHAR(10)&amp;CHAR(10)&amp;"رابط التقرير: "&amp;J419,"")&amp;CHAR(10)&amp;CHAR(10)&amp;"يسعدنا مساعدتكم في اختيار المسار الأنسب حسب وضع العيادة الحالي.")</x:f>
      </x:c>
      <x:c r="P419" s="12" t="str">
        <x:f>IF(D419="","",HYPERLINK("https://wa.me/"&amp;REGEXREPLACE(D419,"[^\d]","")&amp;"?text="&amp;ENCODEURL(O419),"واتساب 3"))</x:f>
      </x:c>
    </x:row>
    <x:row r="420" ht="15" hidden="0" customHeight="1">
      <x:c r="A420" s="12" t="str">
        <x:f>IF(Leads!A420="","",Leads!A420)</x:f>
      </x:c>
      <x:c r="B420" s="12" t="str">
        <x:f>IF(Leads!F420="","",Leads!F420)</x:f>
      </x:c>
      <x:c r="C420" s="12" t="str">
        <x:f>IF(Leads!G420="","",Leads!G420)</x:f>
      </x:c>
      <x:c r="D420" s="12" t="str">
        <x:f>IF(Leads!O420="","",Leads!O420)</x:f>
      </x:c>
      <x:c r="E420" s="12" t="str">
        <x:f>IF(Leads!AV420="","",Leads!AV420)</x:f>
      </x:c>
      <x:c r="F420" s="12" t="str">
        <x:f>IF(Leads!AX420="","",Leads!AX420)</x:f>
      </x:c>
      <x:c r="G420" s="12" t="str">
        <x:f>IF(Leads!BC420="","",Leads!BC420)</x:f>
      </x:c>
      <x:c r="H420" s="12" t="str">
        <x:f>IF(Leads!BE420="","",Leads!BE420)</x:f>
      </x:c>
      <x:c r="I420" s="12" t="str">
        <x:f>IF(Leads!BG420="","",Leads!BG420)</x:f>
      </x:c>
      <x:c r="J420" s="12" t="str">
        <x:f>IF(Leads!BH420="","",Leads!BH420)</x:f>
      </x:c>
      <x:c r="K420" s="12" t="str">
        <x:f>IF(A420="","","مرحبًا "&amp;C420&amp;CHAR(10)&amp;CHAR(10)&amp;"شكرًا لإتمام تقييم DBD الخاص بعيادة "&amp;B420&amp;"."&amp;CHAR(10)&amp;"نتيجتكم الحالية: "&amp;E420&amp;"%."&amp;CHAR(10)&amp;"أولوية التحسين الأولى: "&amp;F420&amp;"."&amp;IF(J420&lt;&gt;"",CHAR(10)&amp;CHAR(10)&amp;"رابط التقرير: "&amp;J420,"")&amp;CHAR(10)&amp;CHAR(10)&amp;"إذا أحببت، يمكننا مساعدتك في فهم التقرير وتحديد أفضل خطوة تالية لعيادتكم.")</x:f>
      </x:c>
      <x:c r="L420" s="12" t="str">
        <x:f>IF(D420="","",HYPERLINK("https://wa.me/"&amp;REGEXREPLACE(D420,"[^\d]","")&amp;"?text="&amp;ENCODEURL(K420),"واتساب 1"))</x:f>
      </x:c>
      <x:c r="M420" s="12" t="str">
        <x:f>IF(A420="","","مرحبًا "&amp;C420&amp;CHAR(10)&amp;CHAR(10)&amp;"بناءً على نتيجة تقييم عيادة "&amp;B420&amp;"، فإن الترشيح الأقوى لكم الآن هو: "&amp;G420&amp;"."&amp;CHAR(10)&amp;"هذا الخيار يساعدكم في معالجة أكبر فجوة حالية بشكل عملي ومباشر."&amp;IF(J420&lt;&gt;"",CHAR(10)&amp;CHAR(10)&amp;"رابط التقرير: "&amp;J420,"")&amp;CHAR(10)&amp;CHAR(10)&amp;"إذا رغبت، يمكننا توضيح لماذا هذا الكورس هو الأنسب لكم الآن.")</x:f>
      </x:c>
      <x:c r="N420" s="12" t="str">
        <x:f>IF(D420="","",HYPERLINK("https://wa.me/"&amp;REGEXREPLACE(D420,"[^\d]","")&amp;"?text="&amp;ENCODEURL(M420),"واتساب 2"))</x:f>
      </x:c>
      <x:c r="O420" s="12" t="str">
        <x:f>IF(A420="","","مرحبًا "&amp;C420&amp;CHAR(10)&amp;CHAR(10)&amp;"إذا كانت التحديات لديكم تحتاج حلًا أشمل، فالبرنامج الكامل المناسب لكم هو: "&amp;H420&amp;"."&amp;IF(I420&lt;&gt;"",CHAR(10)&amp;"كما يمكنكم أيضًا حجز: "&amp;I420&amp;".","")&amp;IF(J420&lt;&gt;"",CHAR(10)&amp;CHAR(10)&amp;"رابط التقرير: "&amp;J420,"")&amp;CHAR(10)&amp;CHAR(10)&amp;"يسعدنا مساعدتكم في اختيار المسار الأنسب حسب وضع العيادة الحالي.")</x:f>
      </x:c>
      <x:c r="P420" s="12" t="str">
        <x:f>IF(D420="","",HYPERLINK("https://wa.me/"&amp;REGEXREPLACE(D420,"[^\d]","")&amp;"?text="&amp;ENCODEURL(O420),"واتساب 3"))</x:f>
      </x:c>
    </x:row>
    <x:row r="421" ht="15" hidden="0" customHeight="1">
      <x:c r="A421" s="12" t="str">
        <x:f>IF(Leads!A421="","",Leads!A421)</x:f>
      </x:c>
      <x:c r="B421" s="12" t="str">
        <x:f>IF(Leads!F421="","",Leads!F421)</x:f>
      </x:c>
      <x:c r="C421" s="12" t="str">
        <x:f>IF(Leads!G421="","",Leads!G421)</x:f>
      </x:c>
      <x:c r="D421" s="12" t="str">
        <x:f>IF(Leads!O421="","",Leads!O421)</x:f>
      </x:c>
      <x:c r="E421" s="12" t="str">
        <x:f>IF(Leads!AV421="","",Leads!AV421)</x:f>
      </x:c>
      <x:c r="F421" s="12" t="str">
        <x:f>IF(Leads!AX421="","",Leads!AX421)</x:f>
      </x:c>
      <x:c r="G421" s="12" t="str">
        <x:f>IF(Leads!BC421="","",Leads!BC421)</x:f>
      </x:c>
      <x:c r="H421" s="12" t="str">
        <x:f>IF(Leads!BE421="","",Leads!BE421)</x:f>
      </x:c>
      <x:c r="I421" s="12" t="str">
        <x:f>IF(Leads!BG421="","",Leads!BG421)</x:f>
      </x:c>
      <x:c r="J421" s="12" t="str">
        <x:f>IF(Leads!BH421="","",Leads!BH421)</x:f>
      </x:c>
      <x:c r="K421" s="12" t="str">
        <x:f>IF(A421="","","مرحبًا "&amp;C421&amp;CHAR(10)&amp;CHAR(10)&amp;"شكرًا لإتمام تقييم DBD الخاص بعيادة "&amp;B421&amp;"."&amp;CHAR(10)&amp;"نتيجتكم الحالية: "&amp;E421&amp;"%."&amp;CHAR(10)&amp;"أولوية التحسين الأولى: "&amp;F421&amp;"."&amp;IF(J421&lt;&gt;"",CHAR(10)&amp;CHAR(10)&amp;"رابط التقرير: "&amp;J421,"")&amp;CHAR(10)&amp;CHAR(10)&amp;"إذا أحببت، يمكننا مساعدتك في فهم التقرير وتحديد أفضل خطوة تالية لعيادتكم.")</x:f>
      </x:c>
      <x:c r="L421" s="12" t="str">
        <x:f>IF(D421="","",HYPERLINK("https://wa.me/"&amp;REGEXREPLACE(D421,"[^\d]","")&amp;"?text="&amp;ENCODEURL(K421),"واتساب 1"))</x:f>
      </x:c>
      <x:c r="M421" s="12" t="str">
        <x:f>IF(A421="","","مرحبًا "&amp;C421&amp;CHAR(10)&amp;CHAR(10)&amp;"بناءً على نتيجة تقييم عيادة "&amp;B421&amp;"، فإن الترشيح الأقوى لكم الآن هو: "&amp;G421&amp;"."&amp;CHAR(10)&amp;"هذا الخيار يساعدكم في معالجة أكبر فجوة حالية بشكل عملي ومباشر."&amp;IF(J421&lt;&gt;"",CHAR(10)&amp;CHAR(10)&amp;"رابط التقرير: "&amp;J421,"")&amp;CHAR(10)&amp;CHAR(10)&amp;"إذا رغبت، يمكننا توضيح لماذا هذا الكورس هو الأنسب لكم الآن.")</x:f>
      </x:c>
      <x:c r="N421" s="12" t="str">
        <x:f>IF(D421="","",HYPERLINK("https://wa.me/"&amp;REGEXREPLACE(D421,"[^\d]","")&amp;"?text="&amp;ENCODEURL(M421),"واتساب 2"))</x:f>
      </x:c>
      <x:c r="O421" s="12" t="str">
        <x:f>IF(A421="","","مرحبًا "&amp;C421&amp;CHAR(10)&amp;CHAR(10)&amp;"إذا كانت التحديات لديكم تحتاج حلًا أشمل، فالبرنامج الكامل المناسب لكم هو: "&amp;H421&amp;"."&amp;IF(I421&lt;&gt;"",CHAR(10)&amp;"كما يمكنكم أيضًا حجز: "&amp;I421&amp;".","")&amp;IF(J421&lt;&gt;"",CHAR(10)&amp;CHAR(10)&amp;"رابط التقرير: "&amp;J421,"")&amp;CHAR(10)&amp;CHAR(10)&amp;"يسعدنا مساعدتكم في اختيار المسار الأنسب حسب وضع العيادة الحالي.")</x:f>
      </x:c>
      <x:c r="P421" s="12" t="str">
        <x:f>IF(D421="","",HYPERLINK("https://wa.me/"&amp;REGEXREPLACE(D421,"[^\d]","")&amp;"?text="&amp;ENCODEURL(O421),"واتساب 3"))</x:f>
      </x:c>
    </x:row>
    <x:row r="422" ht="15" hidden="0" customHeight="1">
      <x:c r="A422" s="12" t="str">
        <x:f>IF(Leads!A422="","",Leads!A422)</x:f>
      </x:c>
      <x:c r="B422" s="12" t="str">
        <x:f>IF(Leads!F422="","",Leads!F422)</x:f>
      </x:c>
      <x:c r="C422" s="12" t="str">
        <x:f>IF(Leads!G422="","",Leads!G422)</x:f>
      </x:c>
      <x:c r="D422" s="12" t="str">
        <x:f>IF(Leads!O422="","",Leads!O422)</x:f>
      </x:c>
      <x:c r="E422" s="12" t="str">
        <x:f>IF(Leads!AV422="","",Leads!AV422)</x:f>
      </x:c>
      <x:c r="F422" s="12" t="str">
        <x:f>IF(Leads!AX422="","",Leads!AX422)</x:f>
      </x:c>
      <x:c r="G422" s="12" t="str">
        <x:f>IF(Leads!BC422="","",Leads!BC422)</x:f>
      </x:c>
      <x:c r="H422" s="12" t="str">
        <x:f>IF(Leads!BE422="","",Leads!BE422)</x:f>
      </x:c>
      <x:c r="I422" s="12" t="str">
        <x:f>IF(Leads!BG422="","",Leads!BG422)</x:f>
      </x:c>
      <x:c r="J422" s="12" t="str">
        <x:f>IF(Leads!BH422="","",Leads!BH422)</x:f>
      </x:c>
      <x:c r="K422" s="12" t="str">
        <x:f>IF(A422="","","مرحبًا "&amp;C422&amp;CHAR(10)&amp;CHAR(10)&amp;"شكرًا لإتمام تقييم DBD الخاص بعيادة "&amp;B422&amp;"."&amp;CHAR(10)&amp;"نتيجتكم الحالية: "&amp;E422&amp;"%."&amp;CHAR(10)&amp;"أولوية التحسين الأولى: "&amp;F422&amp;"."&amp;IF(J422&lt;&gt;"",CHAR(10)&amp;CHAR(10)&amp;"رابط التقرير: "&amp;J422,"")&amp;CHAR(10)&amp;CHAR(10)&amp;"إذا أحببت، يمكننا مساعدتك في فهم التقرير وتحديد أفضل خطوة تالية لعيادتكم.")</x:f>
      </x:c>
      <x:c r="L422" s="12" t="str">
        <x:f>IF(D422="","",HYPERLINK("https://wa.me/"&amp;REGEXREPLACE(D422,"[^\d]","")&amp;"?text="&amp;ENCODEURL(K422),"واتساب 1"))</x:f>
      </x:c>
      <x:c r="M422" s="12" t="str">
        <x:f>IF(A422="","","مرحبًا "&amp;C422&amp;CHAR(10)&amp;CHAR(10)&amp;"بناءً على نتيجة تقييم عيادة "&amp;B422&amp;"، فإن الترشيح الأقوى لكم الآن هو: "&amp;G422&amp;"."&amp;CHAR(10)&amp;"هذا الخيار يساعدكم في معالجة أكبر فجوة حالية بشكل عملي ومباشر."&amp;IF(J422&lt;&gt;"",CHAR(10)&amp;CHAR(10)&amp;"رابط التقرير: "&amp;J422,"")&amp;CHAR(10)&amp;CHAR(10)&amp;"إذا رغبت، يمكننا توضيح لماذا هذا الكورس هو الأنسب لكم الآن.")</x:f>
      </x:c>
      <x:c r="N422" s="12" t="str">
        <x:f>IF(D422="","",HYPERLINK("https://wa.me/"&amp;REGEXREPLACE(D422,"[^\d]","")&amp;"?text="&amp;ENCODEURL(M422),"واتساب 2"))</x:f>
      </x:c>
      <x:c r="O422" s="12" t="str">
        <x:f>IF(A422="","","مرحبًا "&amp;C422&amp;CHAR(10)&amp;CHAR(10)&amp;"إذا كانت التحديات لديكم تحتاج حلًا أشمل، فالبرنامج الكامل المناسب لكم هو: "&amp;H422&amp;"."&amp;IF(I422&lt;&gt;"",CHAR(10)&amp;"كما يمكنكم أيضًا حجز: "&amp;I422&amp;".","")&amp;IF(J422&lt;&gt;"",CHAR(10)&amp;CHAR(10)&amp;"رابط التقرير: "&amp;J422,"")&amp;CHAR(10)&amp;CHAR(10)&amp;"يسعدنا مساعدتكم في اختيار المسار الأنسب حسب وضع العيادة الحالي.")</x:f>
      </x:c>
      <x:c r="P422" s="12" t="str">
        <x:f>IF(D422="","",HYPERLINK("https://wa.me/"&amp;REGEXREPLACE(D422,"[^\d]","")&amp;"?text="&amp;ENCODEURL(O422),"واتساب 3"))</x:f>
      </x:c>
    </x:row>
    <x:row r="423" ht="15" hidden="0" customHeight="1">
      <x:c r="A423" s="12" t="str">
        <x:f>IF(Leads!A423="","",Leads!A423)</x:f>
      </x:c>
      <x:c r="B423" s="12" t="str">
        <x:f>IF(Leads!F423="","",Leads!F423)</x:f>
      </x:c>
      <x:c r="C423" s="12" t="str">
        <x:f>IF(Leads!G423="","",Leads!G423)</x:f>
      </x:c>
      <x:c r="D423" s="12" t="str">
        <x:f>IF(Leads!O423="","",Leads!O423)</x:f>
      </x:c>
      <x:c r="E423" s="12" t="str">
        <x:f>IF(Leads!AV423="","",Leads!AV423)</x:f>
      </x:c>
      <x:c r="F423" s="12" t="str">
        <x:f>IF(Leads!AX423="","",Leads!AX423)</x:f>
      </x:c>
      <x:c r="G423" s="12" t="str">
        <x:f>IF(Leads!BC423="","",Leads!BC423)</x:f>
      </x:c>
      <x:c r="H423" s="12" t="str">
        <x:f>IF(Leads!BE423="","",Leads!BE423)</x:f>
      </x:c>
      <x:c r="I423" s="12" t="str">
        <x:f>IF(Leads!BG423="","",Leads!BG423)</x:f>
      </x:c>
      <x:c r="J423" s="12" t="str">
        <x:f>IF(Leads!BH423="","",Leads!BH423)</x:f>
      </x:c>
      <x:c r="K423" s="12" t="str">
        <x:f>IF(A423="","","مرحبًا "&amp;C423&amp;CHAR(10)&amp;CHAR(10)&amp;"شكرًا لإتمام تقييم DBD الخاص بعيادة "&amp;B423&amp;"."&amp;CHAR(10)&amp;"نتيجتكم الحالية: "&amp;E423&amp;"%."&amp;CHAR(10)&amp;"أولوية التحسين الأولى: "&amp;F423&amp;"."&amp;IF(J423&lt;&gt;"",CHAR(10)&amp;CHAR(10)&amp;"رابط التقرير: "&amp;J423,"")&amp;CHAR(10)&amp;CHAR(10)&amp;"إذا أحببت، يمكننا مساعدتك في فهم التقرير وتحديد أفضل خطوة تالية لعيادتكم.")</x:f>
      </x:c>
      <x:c r="L423" s="12" t="str">
        <x:f>IF(D423="","",HYPERLINK("https://wa.me/"&amp;REGEXREPLACE(D423,"[^\d]","")&amp;"?text="&amp;ENCODEURL(K423),"واتساب 1"))</x:f>
      </x:c>
      <x:c r="M423" s="12" t="str">
        <x:f>IF(A423="","","مرحبًا "&amp;C423&amp;CHAR(10)&amp;CHAR(10)&amp;"بناءً على نتيجة تقييم عيادة "&amp;B423&amp;"، فإن الترشيح الأقوى لكم الآن هو: "&amp;G423&amp;"."&amp;CHAR(10)&amp;"هذا الخيار يساعدكم في معالجة أكبر فجوة حالية بشكل عملي ومباشر."&amp;IF(J423&lt;&gt;"",CHAR(10)&amp;CHAR(10)&amp;"رابط التقرير: "&amp;J423,"")&amp;CHAR(10)&amp;CHAR(10)&amp;"إذا رغبت، يمكننا توضيح لماذا هذا الكورس هو الأنسب لكم الآن.")</x:f>
      </x:c>
      <x:c r="N423" s="12" t="str">
        <x:f>IF(D423="","",HYPERLINK("https://wa.me/"&amp;REGEXREPLACE(D423,"[^\d]","")&amp;"?text="&amp;ENCODEURL(M423),"واتساب 2"))</x:f>
      </x:c>
      <x:c r="O423" s="12" t="str">
        <x:f>IF(A423="","","مرحبًا "&amp;C423&amp;CHAR(10)&amp;CHAR(10)&amp;"إذا كانت التحديات لديكم تحتاج حلًا أشمل، فالبرنامج الكامل المناسب لكم هو: "&amp;H423&amp;"."&amp;IF(I423&lt;&gt;"",CHAR(10)&amp;"كما يمكنكم أيضًا حجز: "&amp;I423&amp;".","")&amp;IF(J423&lt;&gt;"",CHAR(10)&amp;CHAR(10)&amp;"رابط التقرير: "&amp;J423,"")&amp;CHAR(10)&amp;CHAR(10)&amp;"يسعدنا مساعدتكم في اختيار المسار الأنسب حسب وضع العيادة الحالي.")</x:f>
      </x:c>
      <x:c r="P423" s="12" t="str">
        <x:f>IF(D423="","",HYPERLINK("https://wa.me/"&amp;REGEXREPLACE(D423,"[^\d]","")&amp;"?text="&amp;ENCODEURL(O423),"واتساب 3"))</x:f>
      </x:c>
    </x:row>
    <x:row r="424" ht="15" hidden="0" customHeight="1">
      <x:c r="A424" s="12" t="str">
        <x:f>IF(Leads!A424="","",Leads!A424)</x:f>
      </x:c>
      <x:c r="B424" s="12" t="str">
        <x:f>IF(Leads!F424="","",Leads!F424)</x:f>
      </x:c>
      <x:c r="C424" s="12" t="str">
        <x:f>IF(Leads!G424="","",Leads!G424)</x:f>
      </x:c>
      <x:c r="D424" s="12" t="str">
        <x:f>IF(Leads!O424="","",Leads!O424)</x:f>
      </x:c>
      <x:c r="E424" s="12" t="str">
        <x:f>IF(Leads!AV424="","",Leads!AV424)</x:f>
      </x:c>
      <x:c r="F424" s="12" t="str">
        <x:f>IF(Leads!AX424="","",Leads!AX424)</x:f>
      </x:c>
      <x:c r="G424" s="12" t="str">
        <x:f>IF(Leads!BC424="","",Leads!BC424)</x:f>
      </x:c>
      <x:c r="H424" s="12" t="str">
        <x:f>IF(Leads!BE424="","",Leads!BE424)</x:f>
      </x:c>
      <x:c r="I424" s="12" t="str">
        <x:f>IF(Leads!BG424="","",Leads!BG424)</x:f>
      </x:c>
      <x:c r="J424" s="12" t="str">
        <x:f>IF(Leads!BH424="","",Leads!BH424)</x:f>
      </x:c>
      <x:c r="K424" s="12" t="str">
        <x:f>IF(A424="","","مرحبًا "&amp;C424&amp;CHAR(10)&amp;CHAR(10)&amp;"شكرًا لإتمام تقييم DBD الخاص بعيادة "&amp;B424&amp;"."&amp;CHAR(10)&amp;"نتيجتكم الحالية: "&amp;E424&amp;"%."&amp;CHAR(10)&amp;"أولوية التحسين الأولى: "&amp;F424&amp;"."&amp;IF(J424&lt;&gt;"",CHAR(10)&amp;CHAR(10)&amp;"رابط التقرير: "&amp;J424,"")&amp;CHAR(10)&amp;CHAR(10)&amp;"إذا أحببت، يمكننا مساعدتك في فهم التقرير وتحديد أفضل خطوة تالية لعيادتكم.")</x:f>
      </x:c>
      <x:c r="L424" s="12" t="str">
        <x:f>IF(D424="","",HYPERLINK("https://wa.me/"&amp;REGEXREPLACE(D424,"[^\d]","")&amp;"?text="&amp;ENCODEURL(K424),"واتساب 1"))</x:f>
      </x:c>
      <x:c r="M424" s="12" t="str">
        <x:f>IF(A424="","","مرحبًا "&amp;C424&amp;CHAR(10)&amp;CHAR(10)&amp;"بناءً على نتيجة تقييم عيادة "&amp;B424&amp;"، فإن الترشيح الأقوى لكم الآن هو: "&amp;G424&amp;"."&amp;CHAR(10)&amp;"هذا الخيار يساعدكم في معالجة أكبر فجوة حالية بشكل عملي ومباشر."&amp;IF(J424&lt;&gt;"",CHAR(10)&amp;CHAR(10)&amp;"رابط التقرير: "&amp;J424,"")&amp;CHAR(10)&amp;CHAR(10)&amp;"إذا رغبت، يمكننا توضيح لماذا هذا الكورس هو الأنسب لكم الآن.")</x:f>
      </x:c>
      <x:c r="N424" s="12" t="str">
        <x:f>IF(D424="","",HYPERLINK("https://wa.me/"&amp;REGEXREPLACE(D424,"[^\d]","")&amp;"?text="&amp;ENCODEURL(M424),"واتساب 2"))</x:f>
      </x:c>
      <x:c r="O424" s="12" t="str">
        <x:f>IF(A424="","","مرحبًا "&amp;C424&amp;CHAR(10)&amp;CHAR(10)&amp;"إذا كانت التحديات لديكم تحتاج حلًا أشمل، فالبرنامج الكامل المناسب لكم هو: "&amp;H424&amp;"."&amp;IF(I424&lt;&gt;"",CHAR(10)&amp;"كما يمكنكم أيضًا حجز: "&amp;I424&amp;".","")&amp;IF(J424&lt;&gt;"",CHAR(10)&amp;CHAR(10)&amp;"رابط التقرير: "&amp;J424,"")&amp;CHAR(10)&amp;CHAR(10)&amp;"يسعدنا مساعدتكم في اختيار المسار الأنسب حسب وضع العيادة الحالي.")</x:f>
      </x:c>
      <x:c r="P424" s="12" t="str">
        <x:f>IF(D424="","",HYPERLINK("https://wa.me/"&amp;REGEXREPLACE(D424,"[^\d]","")&amp;"?text="&amp;ENCODEURL(O424),"واتساب 3"))</x:f>
      </x:c>
    </x:row>
    <x:row r="425" ht="15" hidden="0" customHeight="1">
      <x:c r="A425" s="12" t="str">
        <x:f>IF(Leads!A425="","",Leads!A425)</x:f>
      </x:c>
      <x:c r="B425" s="12" t="str">
        <x:f>IF(Leads!F425="","",Leads!F425)</x:f>
      </x:c>
      <x:c r="C425" s="12" t="str">
        <x:f>IF(Leads!G425="","",Leads!G425)</x:f>
      </x:c>
      <x:c r="D425" s="12" t="str">
        <x:f>IF(Leads!O425="","",Leads!O425)</x:f>
      </x:c>
      <x:c r="E425" s="12" t="str">
        <x:f>IF(Leads!AV425="","",Leads!AV425)</x:f>
      </x:c>
      <x:c r="F425" s="12" t="str">
        <x:f>IF(Leads!AX425="","",Leads!AX425)</x:f>
      </x:c>
      <x:c r="G425" s="12" t="str">
        <x:f>IF(Leads!BC425="","",Leads!BC425)</x:f>
      </x:c>
      <x:c r="H425" s="12" t="str">
        <x:f>IF(Leads!BE425="","",Leads!BE425)</x:f>
      </x:c>
      <x:c r="I425" s="12" t="str">
        <x:f>IF(Leads!BG425="","",Leads!BG425)</x:f>
      </x:c>
      <x:c r="J425" s="12" t="str">
        <x:f>IF(Leads!BH425="","",Leads!BH425)</x:f>
      </x:c>
      <x:c r="K425" s="12" t="str">
        <x:f>IF(A425="","","مرحبًا "&amp;C425&amp;CHAR(10)&amp;CHAR(10)&amp;"شكرًا لإتمام تقييم DBD الخاص بعيادة "&amp;B425&amp;"."&amp;CHAR(10)&amp;"نتيجتكم الحالية: "&amp;E425&amp;"%."&amp;CHAR(10)&amp;"أولوية التحسين الأولى: "&amp;F425&amp;"."&amp;IF(J425&lt;&gt;"",CHAR(10)&amp;CHAR(10)&amp;"رابط التقرير: "&amp;J425,"")&amp;CHAR(10)&amp;CHAR(10)&amp;"إذا أحببت، يمكننا مساعدتك في فهم التقرير وتحديد أفضل خطوة تالية لعيادتكم.")</x:f>
      </x:c>
      <x:c r="L425" s="12" t="str">
        <x:f>IF(D425="","",HYPERLINK("https://wa.me/"&amp;REGEXREPLACE(D425,"[^\d]","")&amp;"?text="&amp;ENCODEURL(K425),"واتساب 1"))</x:f>
      </x:c>
      <x:c r="M425" s="12" t="str">
        <x:f>IF(A425="","","مرحبًا "&amp;C425&amp;CHAR(10)&amp;CHAR(10)&amp;"بناءً على نتيجة تقييم عيادة "&amp;B425&amp;"، فإن الترشيح الأقوى لكم الآن هو: "&amp;G425&amp;"."&amp;CHAR(10)&amp;"هذا الخيار يساعدكم في معالجة أكبر فجوة حالية بشكل عملي ومباشر."&amp;IF(J425&lt;&gt;"",CHAR(10)&amp;CHAR(10)&amp;"رابط التقرير: "&amp;J425,"")&amp;CHAR(10)&amp;CHAR(10)&amp;"إذا رغبت، يمكننا توضيح لماذا هذا الكورس هو الأنسب لكم الآن.")</x:f>
      </x:c>
      <x:c r="N425" s="12" t="str">
        <x:f>IF(D425="","",HYPERLINK("https://wa.me/"&amp;REGEXREPLACE(D425,"[^\d]","")&amp;"?text="&amp;ENCODEURL(M425),"واتساب 2"))</x:f>
      </x:c>
      <x:c r="O425" s="12" t="str">
        <x:f>IF(A425="","","مرحبًا "&amp;C425&amp;CHAR(10)&amp;CHAR(10)&amp;"إذا كانت التحديات لديكم تحتاج حلًا أشمل، فالبرنامج الكامل المناسب لكم هو: "&amp;H425&amp;"."&amp;IF(I425&lt;&gt;"",CHAR(10)&amp;"كما يمكنكم أيضًا حجز: "&amp;I425&amp;".","")&amp;IF(J425&lt;&gt;"",CHAR(10)&amp;CHAR(10)&amp;"رابط التقرير: "&amp;J425,"")&amp;CHAR(10)&amp;CHAR(10)&amp;"يسعدنا مساعدتكم في اختيار المسار الأنسب حسب وضع العيادة الحالي.")</x:f>
      </x:c>
      <x:c r="P425" s="12" t="str">
        <x:f>IF(D425="","",HYPERLINK("https://wa.me/"&amp;REGEXREPLACE(D425,"[^\d]","")&amp;"?text="&amp;ENCODEURL(O425),"واتساب 3"))</x:f>
      </x:c>
    </x:row>
    <x:row r="426" ht="15" hidden="0" customHeight="1">
      <x:c r="A426" s="12" t="str">
        <x:f>IF(Leads!A426="","",Leads!A426)</x:f>
      </x:c>
      <x:c r="B426" s="12" t="str">
        <x:f>IF(Leads!F426="","",Leads!F426)</x:f>
      </x:c>
      <x:c r="C426" s="12" t="str">
        <x:f>IF(Leads!G426="","",Leads!G426)</x:f>
      </x:c>
      <x:c r="D426" s="12" t="str">
        <x:f>IF(Leads!O426="","",Leads!O426)</x:f>
      </x:c>
      <x:c r="E426" s="12" t="str">
        <x:f>IF(Leads!AV426="","",Leads!AV426)</x:f>
      </x:c>
      <x:c r="F426" s="12" t="str">
        <x:f>IF(Leads!AX426="","",Leads!AX426)</x:f>
      </x:c>
      <x:c r="G426" s="12" t="str">
        <x:f>IF(Leads!BC426="","",Leads!BC426)</x:f>
      </x:c>
      <x:c r="H426" s="12" t="str">
        <x:f>IF(Leads!BE426="","",Leads!BE426)</x:f>
      </x:c>
      <x:c r="I426" s="12" t="str">
        <x:f>IF(Leads!BG426="","",Leads!BG426)</x:f>
      </x:c>
      <x:c r="J426" s="12" t="str">
        <x:f>IF(Leads!BH426="","",Leads!BH426)</x:f>
      </x:c>
      <x:c r="K426" s="12" t="str">
        <x:f>IF(A426="","","مرحبًا "&amp;C426&amp;CHAR(10)&amp;CHAR(10)&amp;"شكرًا لإتمام تقييم DBD الخاص بعيادة "&amp;B426&amp;"."&amp;CHAR(10)&amp;"نتيجتكم الحالية: "&amp;E426&amp;"%."&amp;CHAR(10)&amp;"أولوية التحسين الأولى: "&amp;F426&amp;"."&amp;IF(J426&lt;&gt;"",CHAR(10)&amp;CHAR(10)&amp;"رابط التقرير: "&amp;J426,"")&amp;CHAR(10)&amp;CHAR(10)&amp;"إذا أحببت، يمكننا مساعدتك في فهم التقرير وتحديد أفضل خطوة تالية لعيادتكم.")</x:f>
      </x:c>
      <x:c r="L426" s="12" t="str">
        <x:f>IF(D426="","",HYPERLINK("https://wa.me/"&amp;REGEXREPLACE(D426,"[^\d]","")&amp;"?text="&amp;ENCODEURL(K426),"واتساب 1"))</x:f>
      </x:c>
      <x:c r="M426" s="12" t="str">
        <x:f>IF(A426="","","مرحبًا "&amp;C426&amp;CHAR(10)&amp;CHAR(10)&amp;"بناءً على نتيجة تقييم عيادة "&amp;B426&amp;"، فإن الترشيح الأقوى لكم الآن هو: "&amp;G426&amp;"."&amp;CHAR(10)&amp;"هذا الخيار يساعدكم في معالجة أكبر فجوة حالية بشكل عملي ومباشر."&amp;IF(J426&lt;&gt;"",CHAR(10)&amp;CHAR(10)&amp;"رابط التقرير: "&amp;J426,"")&amp;CHAR(10)&amp;CHAR(10)&amp;"إذا رغبت، يمكننا توضيح لماذا هذا الكورس هو الأنسب لكم الآن.")</x:f>
      </x:c>
      <x:c r="N426" s="12" t="str">
        <x:f>IF(D426="","",HYPERLINK("https://wa.me/"&amp;REGEXREPLACE(D426,"[^\d]","")&amp;"?text="&amp;ENCODEURL(M426),"واتساب 2"))</x:f>
      </x:c>
      <x:c r="O426" s="12" t="str">
        <x:f>IF(A426="","","مرحبًا "&amp;C426&amp;CHAR(10)&amp;CHAR(10)&amp;"إذا كانت التحديات لديكم تحتاج حلًا أشمل، فالبرنامج الكامل المناسب لكم هو: "&amp;H426&amp;"."&amp;IF(I426&lt;&gt;"",CHAR(10)&amp;"كما يمكنكم أيضًا حجز: "&amp;I426&amp;".","")&amp;IF(J426&lt;&gt;"",CHAR(10)&amp;CHAR(10)&amp;"رابط التقرير: "&amp;J426,"")&amp;CHAR(10)&amp;CHAR(10)&amp;"يسعدنا مساعدتكم في اختيار المسار الأنسب حسب وضع العيادة الحالي.")</x:f>
      </x:c>
      <x:c r="P426" s="12" t="str">
        <x:f>IF(D426="","",HYPERLINK("https://wa.me/"&amp;REGEXREPLACE(D426,"[^\d]","")&amp;"?text="&amp;ENCODEURL(O426),"واتساب 3"))</x:f>
      </x:c>
    </x:row>
    <x:row r="427" ht="15" hidden="0" customHeight="1">
      <x:c r="A427" s="12" t="str">
        <x:f>IF(Leads!A427="","",Leads!A427)</x:f>
      </x:c>
      <x:c r="B427" s="12" t="str">
        <x:f>IF(Leads!F427="","",Leads!F427)</x:f>
      </x:c>
      <x:c r="C427" s="12" t="str">
        <x:f>IF(Leads!G427="","",Leads!G427)</x:f>
      </x:c>
      <x:c r="D427" s="12" t="str">
        <x:f>IF(Leads!O427="","",Leads!O427)</x:f>
      </x:c>
      <x:c r="E427" s="12" t="str">
        <x:f>IF(Leads!AV427="","",Leads!AV427)</x:f>
      </x:c>
      <x:c r="F427" s="12" t="str">
        <x:f>IF(Leads!AX427="","",Leads!AX427)</x:f>
      </x:c>
      <x:c r="G427" s="12" t="str">
        <x:f>IF(Leads!BC427="","",Leads!BC427)</x:f>
      </x:c>
      <x:c r="H427" s="12" t="str">
        <x:f>IF(Leads!BE427="","",Leads!BE427)</x:f>
      </x:c>
      <x:c r="I427" s="12" t="str">
        <x:f>IF(Leads!BG427="","",Leads!BG427)</x:f>
      </x:c>
      <x:c r="J427" s="12" t="str">
        <x:f>IF(Leads!BH427="","",Leads!BH427)</x:f>
      </x:c>
      <x:c r="K427" s="12" t="str">
        <x:f>IF(A427="","","مرحبًا "&amp;C427&amp;CHAR(10)&amp;CHAR(10)&amp;"شكرًا لإتمام تقييم DBD الخاص بعيادة "&amp;B427&amp;"."&amp;CHAR(10)&amp;"نتيجتكم الحالية: "&amp;E427&amp;"%."&amp;CHAR(10)&amp;"أولوية التحسين الأولى: "&amp;F427&amp;"."&amp;IF(J427&lt;&gt;"",CHAR(10)&amp;CHAR(10)&amp;"رابط التقرير: "&amp;J427,"")&amp;CHAR(10)&amp;CHAR(10)&amp;"إذا أحببت، يمكننا مساعدتك في فهم التقرير وتحديد أفضل خطوة تالية لعيادتكم.")</x:f>
      </x:c>
      <x:c r="L427" s="12" t="str">
        <x:f>IF(D427="","",HYPERLINK("https://wa.me/"&amp;REGEXREPLACE(D427,"[^\d]","")&amp;"?text="&amp;ENCODEURL(K427),"واتساب 1"))</x:f>
      </x:c>
      <x:c r="M427" s="12" t="str">
        <x:f>IF(A427="","","مرحبًا "&amp;C427&amp;CHAR(10)&amp;CHAR(10)&amp;"بناءً على نتيجة تقييم عيادة "&amp;B427&amp;"، فإن الترشيح الأقوى لكم الآن هو: "&amp;G427&amp;"."&amp;CHAR(10)&amp;"هذا الخيار يساعدكم في معالجة أكبر فجوة حالية بشكل عملي ومباشر."&amp;IF(J427&lt;&gt;"",CHAR(10)&amp;CHAR(10)&amp;"رابط التقرير: "&amp;J427,"")&amp;CHAR(10)&amp;CHAR(10)&amp;"إذا رغبت، يمكننا توضيح لماذا هذا الكورس هو الأنسب لكم الآن.")</x:f>
      </x:c>
      <x:c r="N427" s="12" t="str">
        <x:f>IF(D427="","",HYPERLINK("https://wa.me/"&amp;REGEXREPLACE(D427,"[^\d]","")&amp;"?text="&amp;ENCODEURL(M427),"واتساب 2"))</x:f>
      </x:c>
      <x:c r="O427" s="12" t="str">
        <x:f>IF(A427="","","مرحبًا "&amp;C427&amp;CHAR(10)&amp;CHAR(10)&amp;"إذا كانت التحديات لديكم تحتاج حلًا أشمل، فالبرنامج الكامل المناسب لكم هو: "&amp;H427&amp;"."&amp;IF(I427&lt;&gt;"",CHAR(10)&amp;"كما يمكنكم أيضًا حجز: "&amp;I427&amp;".","")&amp;IF(J427&lt;&gt;"",CHAR(10)&amp;CHAR(10)&amp;"رابط التقرير: "&amp;J427,"")&amp;CHAR(10)&amp;CHAR(10)&amp;"يسعدنا مساعدتكم في اختيار المسار الأنسب حسب وضع العيادة الحالي.")</x:f>
      </x:c>
      <x:c r="P427" s="12" t="str">
        <x:f>IF(D427="","",HYPERLINK("https://wa.me/"&amp;REGEXREPLACE(D427,"[^\d]","")&amp;"?text="&amp;ENCODEURL(O427),"واتساب 3"))</x:f>
      </x:c>
    </x:row>
    <x:row r="428" ht="15" hidden="0" customHeight="1">
      <x:c r="A428" s="12" t="str">
        <x:f>IF(Leads!A428="","",Leads!A428)</x:f>
      </x:c>
      <x:c r="B428" s="12" t="str">
        <x:f>IF(Leads!F428="","",Leads!F428)</x:f>
      </x:c>
      <x:c r="C428" s="12" t="str">
        <x:f>IF(Leads!G428="","",Leads!G428)</x:f>
      </x:c>
      <x:c r="D428" s="12" t="str">
        <x:f>IF(Leads!O428="","",Leads!O428)</x:f>
      </x:c>
      <x:c r="E428" s="12" t="str">
        <x:f>IF(Leads!AV428="","",Leads!AV428)</x:f>
      </x:c>
      <x:c r="F428" s="12" t="str">
        <x:f>IF(Leads!AX428="","",Leads!AX428)</x:f>
      </x:c>
      <x:c r="G428" s="12" t="str">
        <x:f>IF(Leads!BC428="","",Leads!BC428)</x:f>
      </x:c>
      <x:c r="H428" s="12" t="str">
        <x:f>IF(Leads!BE428="","",Leads!BE428)</x:f>
      </x:c>
      <x:c r="I428" s="12" t="str">
        <x:f>IF(Leads!BG428="","",Leads!BG428)</x:f>
      </x:c>
      <x:c r="J428" s="12" t="str">
        <x:f>IF(Leads!BH428="","",Leads!BH428)</x:f>
      </x:c>
      <x:c r="K428" s="12" t="str">
        <x:f>IF(A428="","","مرحبًا "&amp;C428&amp;CHAR(10)&amp;CHAR(10)&amp;"شكرًا لإتمام تقييم DBD الخاص بعيادة "&amp;B428&amp;"."&amp;CHAR(10)&amp;"نتيجتكم الحالية: "&amp;E428&amp;"%."&amp;CHAR(10)&amp;"أولوية التحسين الأولى: "&amp;F428&amp;"."&amp;IF(J428&lt;&gt;"",CHAR(10)&amp;CHAR(10)&amp;"رابط التقرير: "&amp;J428,"")&amp;CHAR(10)&amp;CHAR(10)&amp;"إذا أحببت، يمكننا مساعدتك في فهم التقرير وتحديد أفضل خطوة تالية لعيادتكم.")</x:f>
      </x:c>
      <x:c r="L428" s="12" t="str">
        <x:f>IF(D428="","",HYPERLINK("https://wa.me/"&amp;REGEXREPLACE(D428,"[^\d]","")&amp;"?text="&amp;ENCODEURL(K428),"واتساب 1"))</x:f>
      </x:c>
      <x:c r="M428" s="12" t="str">
        <x:f>IF(A428="","","مرحبًا "&amp;C428&amp;CHAR(10)&amp;CHAR(10)&amp;"بناءً على نتيجة تقييم عيادة "&amp;B428&amp;"، فإن الترشيح الأقوى لكم الآن هو: "&amp;G428&amp;"."&amp;CHAR(10)&amp;"هذا الخيار يساعدكم في معالجة أكبر فجوة حالية بشكل عملي ومباشر."&amp;IF(J428&lt;&gt;"",CHAR(10)&amp;CHAR(10)&amp;"رابط التقرير: "&amp;J428,"")&amp;CHAR(10)&amp;CHAR(10)&amp;"إذا رغبت، يمكننا توضيح لماذا هذا الكورس هو الأنسب لكم الآن.")</x:f>
      </x:c>
      <x:c r="N428" s="12" t="str">
        <x:f>IF(D428="","",HYPERLINK("https://wa.me/"&amp;REGEXREPLACE(D428,"[^\d]","")&amp;"?text="&amp;ENCODEURL(M428),"واتساب 2"))</x:f>
      </x:c>
      <x:c r="O428" s="12" t="str">
        <x:f>IF(A428="","","مرحبًا "&amp;C428&amp;CHAR(10)&amp;CHAR(10)&amp;"إذا كانت التحديات لديكم تحتاج حلًا أشمل، فالبرنامج الكامل المناسب لكم هو: "&amp;H428&amp;"."&amp;IF(I428&lt;&gt;"",CHAR(10)&amp;"كما يمكنكم أيضًا حجز: "&amp;I428&amp;".","")&amp;IF(J428&lt;&gt;"",CHAR(10)&amp;CHAR(10)&amp;"رابط التقرير: "&amp;J428,"")&amp;CHAR(10)&amp;CHAR(10)&amp;"يسعدنا مساعدتكم في اختيار المسار الأنسب حسب وضع العيادة الحالي.")</x:f>
      </x:c>
      <x:c r="P428" s="12" t="str">
        <x:f>IF(D428="","",HYPERLINK("https://wa.me/"&amp;REGEXREPLACE(D428,"[^\d]","")&amp;"?text="&amp;ENCODEURL(O428),"واتساب 3"))</x:f>
      </x:c>
    </x:row>
    <x:row r="429" ht="15" hidden="0" customHeight="1">
      <x:c r="A429" s="12" t="str">
        <x:f>IF(Leads!A429="","",Leads!A429)</x:f>
      </x:c>
      <x:c r="B429" s="12" t="str">
        <x:f>IF(Leads!F429="","",Leads!F429)</x:f>
      </x:c>
      <x:c r="C429" s="12" t="str">
        <x:f>IF(Leads!G429="","",Leads!G429)</x:f>
      </x:c>
      <x:c r="D429" s="12" t="str">
        <x:f>IF(Leads!O429="","",Leads!O429)</x:f>
      </x:c>
      <x:c r="E429" s="12" t="str">
        <x:f>IF(Leads!AV429="","",Leads!AV429)</x:f>
      </x:c>
      <x:c r="F429" s="12" t="str">
        <x:f>IF(Leads!AX429="","",Leads!AX429)</x:f>
      </x:c>
      <x:c r="G429" s="12" t="str">
        <x:f>IF(Leads!BC429="","",Leads!BC429)</x:f>
      </x:c>
      <x:c r="H429" s="12" t="str">
        <x:f>IF(Leads!BE429="","",Leads!BE429)</x:f>
      </x:c>
      <x:c r="I429" s="12" t="str">
        <x:f>IF(Leads!BG429="","",Leads!BG429)</x:f>
      </x:c>
      <x:c r="J429" s="12" t="str">
        <x:f>IF(Leads!BH429="","",Leads!BH429)</x:f>
      </x:c>
      <x:c r="K429" s="12" t="str">
        <x:f>IF(A429="","","مرحبًا "&amp;C429&amp;CHAR(10)&amp;CHAR(10)&amp;"شكرًا لإتمام تقييم DBD الخاص بعيادة "&amp;B429&amp;"."&amp;CHAR(10)&amp;"نتيجتكم الحالية: "&amp;E429&amp;"%."&amp;CHAR(10)&amp;"أولوية التحسين الأولى: "&amp;F429&amp;"."&amp;IF(J429&lt;&gt;"",CHAR(10)&amp;CHAR(10)&amp;"رابط التقرير: "&amp;J429,"")&amp;CHAR(10)&amp;CHAR(10)&amp;"إذا أحببت، يمكننا مساعدتك في فهم التقرير وتحديد أفضل خطوة تالية لعيادتكم.")</x:f>
      </x:c>
      <x:c r="L429" s="12" t="str">
        <x:f>IF(D429="","",HYPERLINK("https://wa.me/"&amp;REGEXREPLACE(D429,"[^\d]","")&amp;"?text="&amp;ENCODEURL(K429),"واتساب 1"))</x:f>
      </x:c>
      <x:c r="M429" s="12" t="str">
        <x:f>IF(A429="","","مرحبًا "&amp;C429&amp;CHAR(10)&amp;CHAR(10)&amp;"بناءً على نتيجة تقييم عيادة "&amp;B429&amp;"، فإن الترشيح الأقوى لكم الآن هو: "&amp;G429&amp;"."&amp;CHAR(10)&amp;"هذا الخيار يساعدكم في معالجة أكبر فجوة حالية بشكل عملي ومباشر."&amp;IF(J429&lt;&gt;"",CHAR(10)&amp;CHAR(10)&amp;"رابط التقرير: "&amp;J429,"")&amp;CHAR(10)&amp;CHAR(10)&amp;"إذا رغبت، يمكننا توضيح لماذا هذا الكورس هو الأنسب لكم الآن.")</x:f>
      </x:c>
      <x:c r="N429" s="12" t="str">
        <x:f>IF(D429="","",HYPERLINK("https://wa.me/"&amp;REGEXREPLACE(D429,"[^\d]","")&amp;"?text="&amp;ENCODEURL(M429),"واتساب 2"))</x:f>
      </x:c>
      <x:c r="O429" s="12" t="str">
        <x:f>IF(A429="","","مرحبًا "&amp;C429&amp;CHAR(10)&amp;CHAR(10)&amp;"إذا كانت التحديات لديكم تحتاج حلًا أشمل، فالبرنامج الكامل المناسب لكم هو: "&amp;H429&amp;"."&amp;IF(I429&lt;&gt;"",CHAR(10)&amp;"كما يمكنكم أيضًا حجز: "&amp;I429&amp;".","")&amp;IF(J429&lt;&gt;"",CHAR(10)&amp;CHAR(10)&amp;"رابط التقرير: "&amp;J429,"")&amp;CHAR(10)&amp;CHAR(10)&amp;"يسعدنا مساعدتكم في اختيار المسار الأنسب حسب وضع العيادة الحالي.")</x:f>
      </x:c>
      <x:c r="P429" s="12" t="str">
        <x:f>IF(D429="","",HYPERLINK("https://wa.me/"&amp;REGEXREPLACE(D429,"[^\d]","")&amp;"?text="&amp;ENCODEURL(O429),"واتساب 3"))</x:f>
      </x:c>
    </x:row>
    <x:row r="430" ht="15" hidden="0" customHeight="1">
      <x:c r="A430" s="12" t="str">
        <x:f>IF(Leads!A430="","",Leads!A430)</x:f>
      </x:c>
      <x:c r="B430" s="12" t="str">
        <x:f>IF(Leads!F430="","",Leads!F430)</x:f>
      </x:c>
      <x:c r="C430" s="12" t="str">
        <x:f>IF(Leads!G430="","",Leads!G430)</x:f>
      </x:c>
      <x:c r="D430" s="12" t="str">
        <x:f>IF(Leads!O430="","",Leads!O430)</x:f>
      </x:c>
      <x:c r="E430" s="12" t="str">
        <x:f>IF(Leads!AV430="","",Leads!AV430)</x:f>
      </x:c>
      <x:c r="F430" s="12" t="str">
        <x:f>IF(Leads!AX430="","",Leads!AX430)</x:f>
      </x:c>
      <x:c r="G430" s="12" t="str">
        <x:f>IF(Leads!BC430="","",Leads!BC430)</x:f>
      </x:c>
      <x:c r="H430" s="12" t="str">
        <x:f>IF(Leads!BE430="","",Leads!BE430)</x:f>
      </x:c>
      <x:c r="I430" s="12" t="str">
        <x:f>IF(Leads!BG430="","",Leads!BG430)</x:f>
      </x:c>
      <x:c r="J430" s="12" t="str">
        <x:f>IF(Leads!BH430="","",Leads!BH430)</x:f>
      </x:c>
      <x:c r="K430" s="12" t="str">
        <x:f>IF(A430="","","مرحبًا "&amp;C430&amp;CHAR(10)&amp;CHAR(10)&amp;"شكرًا لإتمام تقييم DBD الخاص بعيادة "&amp;B430&amp;"."&amp;CHAR(10)&amp;"نتيجتكم الحالية: "&amp;E430&amp;"%."&amp;CHAR(10)&amp;"أولوية التحسين الأولى: "&amp;F430&amp;"."&amp;IF(J430&lt;&gt;"",CHAR(10)&amp;CHAR(10)&amp;"رابط التقرير: "&amp;J430,"")&amp;CHAR(10)&amp;CHAR(10)&amp;"إذا أحببت، يمكننا مساعدتك في فهم التقرير وتحديد أفضل خطوة تالية لعيادتكم.")</x:f>
      </x:c>
      <x:c r="L430" s="12" t="str">
        <x:f>IF(D430="","",HYPERLINK("https://wa.me/"&amp;REGEXREPLACE(D430,"[^\d]","")&amp;"?text="&amp;ENCODEURL(K430),"واتساب 1"))</x:f>
      </x:c>
      <x:c r="M430" s="12" t="str">
        <x:f>IF(A430="","","مرحبًا "&amp;C430&amp;CHAR(10)&amp;CHAR(10)&amp;"بناءً على نتيجة تقييم عيادة "&amp;B430&amp;"، فإن الترشيح الأقوى لكم الآن هو: "&amp;G430&amp;"."&amp;CHAR(10)&amp;"هذا الخيار يساعدكم في معالجة أكبر فجوة حالية بشكل عملي ومباشر."&amp;IF(J430&lt;&gt;"",CHAR(10)&amp;CHAR(10)&amp;"رابط التقرير: "&amp;J430,"")&amp;CHAR(10)&amp;CHAR(10)&amp;"إذا رغبت، يمكننا توضيح لماذا هذا الكورس هو الأنسب لكم الآن.")</x:f>
      </x:c>
      <x:c r="N430" s="12" t="str">
        <x:f>IF(D430="","",HYPERLINK("https://wa.me/"&amp;REGEXREPLACE(D430,"[^\d]","")&amp;"?text="&amp;ENCODEURL(M430),"واتساب 2"))</x:f>
      </x:c>
      <x:c r="O430" s="12" t="str">
        <x:f>IF(A430="","","مرحبًا "&amp;C430&amp;CHAR(10)&amp;CHAR(10)&amp;"إذا كانت التحديات لديكم تحتاج حلًا أشمل، فالبرنامج الكامل المناسب لكم هو: "&amp;H430&amp;"."&amp;IF(I430&lt;&gt;"",CHAR(10)&amp;"كما يمكنكم أيضًا حجز: "&amp;I430&amp;".","")&amp;IF(J430&lt;&gt;"",CHAR(10)&amp;CHAR(10)&amp;"رابط التقرير: "&amp;J430,"")&amp;CHAR(10)&amp;CHAR(10)&amp;"يسعدنا مساعدتكم في اختيار المسار الأنسب حسب وضع العيادة الحالي.")</x:f>
      </x:c>
      <x:c r="P430" s="12" t="str">
        <x:f>IF(D430="","",HYPERLINK("https://wa.me/"&amp;REGEXREPLACE(D430,"[^\d]","")&amp;"?text="&amp;ENCODEURL(O430),"واتساب 3"))</x:f>
      </x:c>
    </x:row>
    <x:row r="431" ht="15" hidden="0" customHeight="1">
      <x:c r="A431" s="12" t="str">
        <x:f>IF(Leads!A431="","",Leads!A431)</x:f>
      </x:c>
      <x:c r="B431" s="12" t="str">
        <x:f>IF(Leads!F431="","",Leads!F431)</x:f>
      </x:c>
      <x:c r="C431" s="12" t="str">
        <x:f>IF(Leads!G431="","",Leads!G431)</x:f>
      </x:c>
      <x:c r="D431" s="12" t="str">
        <x:f>IF(Leads!O431="","",Leads!O431)</x:f>
      </x:c>
      <x:c r="E431" s="12" t="str">
        <x:f>IF(Leads!AV431="","",Leads!AV431)</x:f>
      </x:c>
      <x:c r="F431" s="12" t="str">
        <x:f>IF(Leads!AX431="","",Leads!AX431)</x:f>
      </x:c>
      <x:c r="G431" s="12" t="str">
        <x:f>IF(Leads!BC431="","",Leads!BC431)</x:f>
      </x:c>
      <x:c r="H431" s="12" t="str">
        <x:f>IF(Leads!BE431="","",Leads!BE431)</x:f>
      </x:c>
      <x:c r="I431" s="12" t="str">
        <x:f>IF(Leads!BG431="","",Leads!BG431)</x:f>
      </x:c>
      <x:c r="J431" s="12" t="str">
        <x:f>IF(Leads!BH431="","",Leads!BH431)</x:f>
      </x:c>
      <x:c r="K431" s="12" t="str">
        <x:f>IF(A431="","","مرحبًا "&amp;C431&amp;CHAR(10)&amp;CHAR(10)&amp;"شكرًا لإتمام تقييم DBD الخاص بعيادة "&amp;B431&amp;"."&amp;CHAR(10)&amp;"نتيجتكم الحالية: "&amp;E431&amp;"%."&amp;CHAR(10)&amp;"أولوية التحسين الأولى: "&amp;F431&amp;"."&amp;IF(J431&lt;&gt;"",CHAR(10)&amp;CHAR(10)&amp;"رابط التقرير: "&amp;J431,"")&amp;CHAR(10)&amp;CHAR(10)&amp;"إذا أحببت، يمكننا مساعدتك في فهم التقرير وتحديد أفضل خطوة تالية لعيادتكم.")</x:f>
      </x:c>
      <x:c r="L431" s="12" t="str">
        <x:f>IF(D431="","",HYPERLINK("https://wa.me/"&amp;REGEXREPLACE(D431,"[^\d]","")&amp;"?text="&amp;ENCODEURL(K431),"واتساب 1"))</x:f>
      </x:c>
      <x:c r="M431" s="12" t="str">
        <x:f>IF(A431="","","مرحبًا "&amp;C431&amp;CHAR(10)&amp;CHAR(10)&amp;"بناءً على نتيجة تقييم عيادة "&amp;B431&amp;"، فإن الترشيح الأقوى لكم الآن هو: "&amp;G431&amp;"."&amp;CHAR(10)&amp;"هذا الخيار يساعدكم في معالجة أكبر فجوة حالية بشكل عملي ومباشر."&amp;IF(J431&lt;&gt;"",CHAR(10)&amp;CHAR(10)&amp;"رابط التقرير: "&amp;J431,"")&amp;CHAR(10)&amp;CHAR(10)&amp;"إذا رغبت، يمكننا توضيح لماذا هذا الكورس هو الأنسب لكم الآن.")</x:f>
      </x:c>
      <x:c r="N431" s="12" t="str">
        <x:f>IF(D431="","",HYPERLINK("https://wa.me/"&amp;REGEXREPLACE(D431,"[^\d]","")&amp;"?text="&amp;ENCODEURL(M431),"واتساب 2"))</x:f>
      </x:c>
      <x:c r="O431" s="12" t="str">
        <x:f>IF(A431="","","مرحبًا "&amp;C431&amp;CHAR(10)&amp;CHAR(10)&amp;"إذا كانت التحديات لديكم تحتاج حلًا أشمل، فالبرنامج الكامل المناسب لكم هو: "&amp;H431&amp;"."&amp;IF(I431&lt;&gt;"",CHAR(10)&amp;"كما يمكنكم أيضًا حجز: "&amp;I431&amp;".","")&amp;IF(J431&lt;&gt;"",CHAR(10)&amp;CHAR(10)&amp;"رابط التقرير: "&amp;J431,"")&amp;CHAR(10)&amp;CHAR(10)&amp;"يسعدنا مساعدتكم في اختيار المسار الأنسب حسب وضع العيادة الحالي.")</x:f>
      </x:c>
      <x:c r="P431" s="12" t="str">
        <x:f>IF(D431="","",HYPERLINK("https://wa.me/"&amp;REGEXREPLACE(D431,"[^\d]","")&amp;"?text="&amp;ENCODEURL(O431),"واتساب 3"))</x:f>
      </x:c>
    </x:row>
    <x:row r="432" ht="15" hidden="0" customHeight="1">
      <x:c r="A432" s="12" t="str">
        <x:f>IF(Leads!A432="","",Leads!A432)</x:f>
      </x:c>
      <x:c r="B432" s="12" t="str">
        <x:f>IF(Leads!F432="","",Leads!F432)</x:f>
      </x:c>
      <x:c r="C432" s="12" t="str">
        <x:f>IF(Leads!G432="","",Leads!G432)</x:f>
      </x:c>
      <x:c r="D432" s="12" t="str">
        <x:f>IF(Leads!O432="","",Leads!O432)</x:f>
      </x:c>
      <x:c r="E432" s="12" t="str">
        <x:f>IF(Leads!AV432="","",Leads!AV432)</x:f>
      </x:c>
      <x:c r="F432" s="12" t="str">
        <x:f>IF(Leads!AX432="","",Leads!AX432)</x:f>
      </x:c>
      <x:c r="G432" s="12" t="str">
        <x:f>IF(Leads!BC432="","",Leads!BC432)</x:f>
      </x:c>
      <x:c r="H432" s="12" t="str">
        <x:f>IF(Leads!BE432="","",Leads!BE432)</x:f>
      </x:c>
      <x:c r="I432" s="12" t="str">
        <x:f>IF(Leads!BG432="","",Leads!BG432)</x:f>
      </x:c>
      <x:c r="J432" s="12" t="str">
        <x:f>IF(Leads!BH432="","",Leads!BH432)</x:f>
      </x:c>
      <x:c r="K432" s="12" t="str">
        <x:f>IF(A432="","","مرحبًا "&amp;C432&amp;CHAR(10)&amp;CHAR(10)&amp;"شكرًا لإتمام تقييم DBD الخاص بعيادة "&amp;B432&amp;"."&amp;CHAR(10)&amp;"نتيجتكم الحالية: "&amp;E432&amp;"%."&amp;CHAR(10)&amp;"أولوية التحسين الأولى: "&amp;F432&amp;"."&amp;IF(J432&lt;&gt;"",CHAR(10)&amp;CHAR(10)&amp;"رابط التقرير: "&amp;J432,"")&amp;CHAR(10)&amp;CHAR(10)&amp;"إذا أحببت، يمكننا مساعدتك في فهم التقرير وتحديد أفضل خطوة تالية لعيادتكم.")</x:f>
      </x:c>
      <x:c r="L432" s="12" t="str">
        <x:f>IF(D432="","",HYPERLINK("https://wa.me/"&amp;REGEXREPLACE(D432,"[^\d]","")&amp;"?text="&amp;ENCODEURL(K432),"واتساب 1"))</x:f>
      </x:c>
      <x:c r="M432" s="12" t="str">
        <x:f>IF(A432="","","مرحبًا "&amp;C432&amp;CHAR(10)&amp;CHAR(10)&amp;"بناءً على نتيجة تقييم عيادة "&amp;B432&amp;"، فإن الترشيح الأقوى لكم الآن هو: "&amp;G432&amp;"."&amp;CHAR(10)&amp;"هذا الخيار يساعدكم في معالجة أكبر فجوة حالية بشكل عملي ومباشر."&amp;IF(J432&lt;&gt;"",CHAR(10)&amp;CHAR(10)&amp;"رابط التقرير: "&amp;J432,"")&amp;CHAR(10)&amp;CHAR(10)&amp;"إذا رغبت، يمكننا توضيح لماذا هذا الكورس هو الأنسب لكم الآن.")</x:f>
      </x:c>
      <x:c r="N432" s="12" t="str">
        <x:f>IF(D432="","",HYPERLINK("https://wa.me/"&amp;REGEXREPLACE(D432,"[^\d]","")&amp;"?text="&amp;ENCODEURL(M432),"واتساب 2"))</x:f>
      </x:c>
      <x:c r="O432" s="12" t="str">
        <x:f>IF(A432="","","مرحبًا "&amp;C432&amp;CHAR(10)&amp;CHAR(10)&amp;"إذا كانت التحديات لديكم تحتاج حلًا أشمل، فالبرنامج الكامل المناسب لكم هو: "&amp;H432&amp;"."&amp;IF(I432&lt;&gt;"",CHAR(10)&amp;"كما يمكنكم أيضًا حجز: "&amp;I432&amp;".","")&amp;IF(J432&lt;&gt;"",CHAR(10)&amp;CHAR(10)&amp;"رابط التقرير: "&amp;J432,"")&amp;CHAR(10)&amp;CHAR(10)&amp;"يسعدنا مساعدتكم في اختيار المسار الأنسب حسب وضع العيادة الحالي.")</x:f>
      </x:c>
      <x:c r="P432" s="12" t="str">
        <x:f>IF(D432="","",HYPERLINK("https://wa.me/"&amp;REGEXREPLACE(D432,"[^\d]","")&amp;"?text="&amp;ENCODEURL(O432),"واتساب 3"))</x:f>
      </x:c>
    </x:row>
    <x:row r="433" ht="15" hidden="0" customHeight="1">
      <x:c r="A433" s="12" t="str">
        <x:f>IF(Leads!A433="","",Leads!A433)</x:f>
      </x:c>
      <x:c r="B433" s="12" t="str">
        <x:f>IF(Leads!F433="","",Leads!F433)</x:f>
      </x:c>
      <x:c r="C433" s="12" t="str">
        <x:f>IF(Leads!G433="","",Leads!G433)</x:f>
      </x:c>
      <x:c r="D433" s="12" t="str">
        <x:f>IF(Leads!O433="","",Leads!O433)</x:f>
      </x:c>
      <x:c r="E433" s="12" t="str">
        <x:f>IF(Leads!AV433="","",Leads!AV433)</x:f>
      </x:c>
      <x:c r="F433" s="12" t="str">
        <x:f>IF(Leads!AX433="","",Leads!AX433)</x:f>
      </x:c>
      <x:c r="G433" s="12" t="str">
        <x:f>IF(Leads!BC433="","",Leads!BC433)</x:f>
      </x:c>
      <x:c r="H433" s="12" t="str">
        <x:f>IF(Leads!BE433="","",Leads!BE433)</x:f>
      </x:c>
      <x:c r="I433" s="12" t="str">
        <x:f>IF(Leads!BG433="","",Leads!BG433)</x:f>
      </x:c>
      <x:c r="J433" s="12" t="str">
        <x:f>IF(Leads!BH433="","",Leads!BH433)</x:f>
      </x:c>
      <x:c r="K433" s="12" t="str">
        <x:f>IF(A433="","","مرحبًا "&amp;C433&amp;CHAR(10)&amp;CHAR(10)&amp;"شكرًا لإتمام تقييم DBD الخاص بعيادة "&amp;B433&amp;"."&amp;CHAR(10)&amp;"نتيجتكم الحالية: "&amp;E433&amp;"%."&amp;CHAR(10)&amp;"أولوية التحسين الأولى: "&amp;F433&amp;"."&amp;IF(J433&lt;&gt;"",CHAR(10)&amp;CHAR(10)&amp;"رابط التقرير: "&amp;J433,"")&amp;CHAR(10)&amp;CHAR(10)&amp;"إذا أحببت، يمكننا مساعدتك في فهم التقرير وتحديد أفضل خطوة تالية لعيادتكم.")</x:f>
      </x:c>
      <x:c r="L433" s="12" t="str">
        <x:f>IF(D433="","",HYPERLINK("https://wa.me/"&amp;REGEXREPLACE(D433,"[^\d]","")&amp;"?text="&amp;ENCODEURL(K433),"واتساب 1"))</x:f>
      </x:c>
      <x:c r="M433" s="12" t="str">
        <x:f>IF(A433="","","مرحبًا "&amp;C433&amp;CHAR(10)&amp;CHAR(10)&amp;"بناءً على نتيجة تقييم عيادة "&amp;B433&amp;"، فإن الترشيح الأقوى لكم الآن هو: "&amp;G433&amp;"."&amp;CHAR(10)&amp;"هذا الخيار يساعدكم في معالجة أكبر فجوة حالية بشكل عملي ومباشر."&amp;IF(J433&lt;&gt;"",CHAR(10)&amp;CHAR(10)&amp;"رابط التقرير: "&amp;J433,"")&amp;CHAR(10)&amp;CHAR(10)&amp;"إذا رغبت، يمكننا توضيح لماذا هذا الكورس هو الأنسب لكم الآن.")</x:f>
      </x:c>
      <x:c r="N433" s="12" t="str">
        <x:f>IF(D433="","",HYPERLINK("https://wa.me/"&amp;REGEXREPLACE(D433,"[^\d]","")&amp;"?text="&amp;ENCODEURL(M433),"واتساب 2"))</x:f>
      </x:c>
      <x:c r="O433" s="12" t="str">
        <x:f>IF(A433="","","مرحبًا "&amp;C433&amp;CHAR(10)&amp;CHAR(10)&amp;"إذا كانت التحديات لديكم تحتاج حلًا أشمل، فالبرنامج الكامل المناسب لكم هو: "&amp;H433&amp;"."&amp;IF(I433&lt;&gt;"",CHAR(10)&amp;"كما يمكنكم أيضًا حجز: "&amp;I433&amp;".","")&amp;IF(J433&lt;&gt;"",CHAR(10)&amp;CHAR(10)&amp;"رابط التقرير: "&amp;J433,"")&amp;CHAR(10)&amp;CHAR(10)&amp;"يسعدنا مساعدتكم في اختيار المسار الأنسب حسب وضع العيادة الحالي.")</x:f>
      </x:c>
      <x:c r="P433" s="12" t="str">
        <x:f>IF(D433="","",HYPERLINK("https://wa.me/"&amp;REGEXREPLACE(D433,"[^\d]","")&amp;"?text="&amp;ENCODEURL(O433),"واتساب 3"))</x:f>
      </x:c>
    </x:row>
    <x:row r="434" ht="15" hidden="0" customHeight="1">
      <x:c r="A434" s="12" t="str">
        <x:f>IF(Leads!A434="","",Leads!A434)</x:f>
      </x:c>
      <x:c r="B434" s="12" t="str">
        <x:f>IF(Leads!F434="","",Leads!F434)</x:f>
      </x:c>
      <x:c r="C434" s="12" t="str">
        <x:f>IF(Leads!G434="","",Leads!G434)</x:f>
      </x:c>
      <x:c r="D434" s="12" t="str">
        <x:f>IF(Leads!O434="","",Leads!O434)</x:f>
      </x:c>
      <x:c r="E434" s="12" t="str">
        <x:f>IF(Leads!AV434="","",Leads!AV434)</x:f>
      </x:c>
      <x:c r="F434" s="12" t="str">
        <x:f>IF(Leads!AX434="","",Leads!AX434)</x:f>
      </x:c>
      <x:c r="G434" s="12" t="str">
        <x:f>IF(Leads!BC434="","",Leads!BC434)</x:f>
      </x:c>
      <x:c r="H434" s="12" t="str">
        <x:f>IF(Leads!BE434="","",Leads!BE434)</x:f>
      </x:c>
      <x:c r="I434" s="12" t="str">
        <x:f>IF(Leads!BG434="","",Leads!BG434)</x:f>
      </x:c>
      <x:c r="J434" s="12" t="str">
        <x:f>IF(Leads!BH434="","",Leads!BH434)</x:f>
      </x:c>
      <x:c r="K434" s="12" t="str">
        <x:f>IF(A434="","","مرحبًا "&amp;C434&amp;CHAR(10)&amp;CHAR(10)&amp;"شكرًا لإتمام تقييم DBD الخاص بعيادة "&amp;B434&amp;"."&amp;CHAR(10)&amp;"نتيجتكم الحالية: "&amp;E434&amp;"%."&amp;CHAR(10)&amp;"أولوية التحسين الأولى: "&amp;F434&amp;"."&amp;IF(J434&lt;&gt;"",CHAR(10)&amp;CHAR(10)&amp;"رابط التقرير: "&amp;J434,"")&amp;CHAR(10)&amp;CHAR(10)&amp;"إذا أحببت، يمكننا مساعدتك في فهم التقرير وتحديد أفضل خطوة تالية لعيادتكم.")</x:f>
      </x:c>
      <x:c r="L434" s="12" t="str">
        <x:f>IF(D434="","",HYPERLINK("https://wa.me/"&amp;REGEXREPLACE(D434,"[^\d]","")&amp;"?text="&amp;ENCODEURL(K434),"واتساب 1"))</x:f>
      </x:c>
      <x:c r="M434" s="12" t="str">
        <x:f>IF(A434="","","مرحبًا "&amp;C434&amp;CHAR(10)&amp;CHAR(10)&amp;"بناءً على نتيجة تقييم عيادة "&amp;B434&amp;"، فإن الترشيح الأقوى لكم الآن هو: "&amp;G434&amp;"."&amp;CHAR(10)&amp;"هذا الخيار يساعدكم في معالجة أكبر فجوة حالية بشكل عملي ومباشر."&amp;IF(J434&lt;&gt;"",CHAR(10)&amp;CHAR(10)&amp;"رابط التقرير: "&amp;J434,"")&amp;CHAR(10)&amp;CHAR(10)&amp;"إذا رغبت، يمكننا توضيح لماذا هذا الكورس هو الأنسب لكم الآن.")</x:f>
      </x:c>
      <x:c r="N434" s="12" t="str">
        <x:f>IF(D434="","",HYPERLINK("https://wa.me/"&amp;REGEXREPLACE(D434,"[^\d]","")&amp;"?text="&amp;ENCODEURL(M434),"واتساب 2"))</x:f>
      </x:c>
      <x:c r="O434" s="12" t="str">
        <x:f>IF(A434="","","مرحبًا "&amp;C434&amp;CHAR(10)&amp;CHAR(10)&amp;"إذا كانت التحديات لديكم تحتاج حلًا أشمل، فالبرنامج الكامل المناسب لكم هو: "&amp;H434&amp;"."&amp;IF(I434&lt;&gt;"",CHAR(10)&amp;"كما يمكنكم أيضًا حجز: "&amp;I434&amp;".","")&amp;IF(J434&lt;&gt;"",CHAR(10)&amp;CHAR(10)&amp;"رابط التقرير: "&amp;J434,"")&amp;CHAR(10)&amp;CHAR(10)&amp;"يسعدنا مساعدتكم في اختيار المسار الأنسب حسب وضع العيادة الحالي.")</x:f>
      </x:c>
      <x:c r="P434" s="12" t="str">
        <x:f>IF(D434="","",HYPERLINK("https://wa.me/"&amp;REGEXREPLACE(D434,"[^\d]","")&amp;"?text="&amp;ENCODEURL(O434),"واتساب 3"))</x:f>
      </x:c>
    </x:row>
    <x:row r="435" ht="15" hidden="0" customHeight="1">
      <x:c r="A435" s="12" t="str">
        <x:f>IF(Leads!A435="","",Leads!A435)</x:f>
      </x:c>
      <x:c r="B435" s="12" t="str">
        <x:f>IF(Leads!F435="","",Leads!F435)</x:f>
      </x:c>
      <x:c r="C435" s="12" t="str">
        <x:f>IF(Leads!G435="","",Leads!G435)</x:f>
      </x:c>
      <x:c r="D435" s="12" t="str">
        <x:f>IF(Leads!O435="","",Leads!O435)</x:f>
      </x:c>
      <x:c r="E435" s="12" t="str">
        <x:f>IF(Leads!AV435="","",Leads!AV435)</x:f>
      </x:c>
      <x:c r="F435" s="12" t="str">
        <x:f>IF(Leads!AX435="","",Leads!AX435)</x:f>
      </x:c>
      <x:c r="G435" s="12" t="str">
        <x:f>IF(Leads!BC435="","",Leads!BC435)</x:f>
      </x:c>
      <x:c r="H435" s="12" t="str">
        <x:f>IF(Leads!BE435="","",Leads!BE435)</x:f>
      </x:c>
      <x:c r="I435" s="12" t="str">
        <x:f>IF(Leads!BG435="","",Leads!BG435)</x:f>
      </x:c>
      <x:c r="J435" s="12" t="str">
        <x:f>IF(Leads!BH435="","",Leads!BH435)</x:f>
      </x:c>
      <x:c r="K435" s="12" t="str">
        <x:f>IF(A435="","","مرحبًا "&amp;C435&amp;CHAR(10)&amp;CHAR(10)&amp;"شكرًا لإتمام تقييم DBD الخاص بعيادة "&amp;B435&amp;"."&amp;CHAR(10)&amp;"نتيجتكم الحالية: "&amp;E435&amp;"%."&amp;CHAR(10)&amp;"أولوية التحسين الأولى: "&amp;F435&amp;"."&amp;IF(J435&lt;&gt;"",CHAR(10)&amp;CHAR(10)&amp;"رابط التقرير: "&amp;J435,"")&amp;CHAR(10)&amp;CHAR(10)&amp;"إذا أحببت، يمكننا مساعدتك في فهم التقرير وتحديد أفضل خطوة تالية لعيادتكم.")</x:f>
      </x:c>
      <x:c r="L435" s="12" t="str">
        <x:f>IF(D435="","",HYPERLINK("https://wa.me/"&amp;REGEXREPLACE(D435,"[^\d]","")&amp;"?text="&amp;ENCODEURL(K435),"واتساب 1"))</x:f>
      </x:c>
      <x:c r="M435" s="12" t="str">
        <x:f>IF(A435="","","مرحبًا "&amp;C435&amp;CHAR(10)&amp;CHAR(10)&amp;"بناءً على نتيجة تقييم عيادة "&amp;B435&amp;"، فإن الترشيح الأقوى لكم الآن هو: "&amp;G435&amp;"."&amp;CHAR(10)&amp;"هذا الخيار يساعدكم في معالجة أكبر فجوة حالية بشكل عملي ومباشر."&amp;IF(J435&lt;&gt;"",CHAR(10)&amp;CHAR(10)&amp;"رابط التقرير: "&amp;J435,"")&amp;CHAR(10)&amp;CHAR(10)&amp;"إذا رغبت، يمكننا توضيح لماذا هذا الكورس هو الأنسب لكم الآن.")</x:f>
      </x:c>
      <x:c r="N435" s="12" t="str">
        <x:f>IF(D435="","",HYPERLINK("https://wa.me/"&amp;REGEXREPLACE(D435,"[^\d]","")&amp;"?text="&amp;ENCODEURL(M435),"واتساب 2"))</x:f>
      </x:c>
      <x:c r="O435" s="12" t="str">
        <x:f>IF(A435="","","مرحبًا "&amp;C435&amp;CHAR(10)&amp;CHAR(10)&amp;"إذا كانت التحديات لديكم تحتاج حلًا أشمل، فالبرنامج الكامل المناسب لكم هو: "&amp;H435&amp;"."&amp;IF(I435&lt;&gt;"",CHAR(10)&amp;"كما يمكنكم أيضًا حجز: "&amp;I435&amp;".","")&amp;IF(J435&lt;&gt;"",CHAR(10)&amp;CHAR(10)&amp;"رابط التقرير: "&amp;J435,"")&amp;CHAR(10)&amp;CHAR(10)&amp;"يسعدنا مساعدتكم في اختيار المسار الأنسب حسب وضع العيادة الحالي.")</x:f>
      </x:c>
      <x:c r="P435" s="12" t="str">
        <x:f>IF(D435="","",HYPERLINK("https://wa.me/"&amp;REGEXREPLACE(D435,"[^\d]","")&amp;"?text="&amp;ENCODEURL(O435),"واتساب 3"))</x:f>
      </x:c>
    </x:row>
    <x:row r="436" ht="15" hidden="0" customHeight="1">
      <x:c r="A436" s="12" t="str">
        <x:f>IF(Leads!A436="","",Leads!A436)</x:f>
      </x:c>
      <x:c r="B436" s="12" t="str">
        <x:f>IF(Leads!F436="","",Leads!F436)</x:f>
      </x:c>
      <x:c r="C436" s="12" t="str">
        <x:f>IF(Leads!G436="","",Leads!G436)</x:f>
      </x:c>
      <x:c r="D436" s="12" t="str">
        <x:f>IF(Leads!O436="","",Leads!O436)</x:f>
      </x:c>
      <x:c r="E436" s="12" t="str">
        <x:f>IF(Leads!AV436="","",Leads!AV436)</x:f>
      </x:c>
      <x:c r="F436" s="12" t="str">
        <x:f>IF(Leads!AX436="","",Leads!AX436)</x:f>
      </x:c>
      <x:c r="G436" s="12" t="str">
        <x:f>IF(Leads!BC436="","",Leads!BC436)</x:f>
      </x:c>
      <x:c r="H436" s="12" t="str">
        <x:f>IF(Leads!BE436="","",Leads!BE436)</x:f>
      </x:c>
      <x:c r="I436" s="12" t="str">
        <x:f>IF(Leads!BG436="","",Leads!BG436)</x:f>
      </x:c>
      <x:c r="J436" s="12" t="str">
        <x:f>IF(Leads!BH436="","",Leads!BH436)</x:f>
      </x:c>
      <x:c r="K436" s="12" t="str">
        <x:f>IF(A436="","","مرحبًا "&amp;C436&amp;CHAR(10)&amp;CHAR(10)&amp;"شكرًا لإتمام تقييم DBD الخاص بعيادة "&amp;B436&amp;"."&amp;CHAR(10)&amp;"نتيجتكم الحالية: "&amp;E436&amp;"%."&amp;CHAR(10)&amp;"أولوية التحسين الأولى: "&amp;F436&amp;"."&amp;IF(J436&lt;&gt;"",CHAR(10)&amp;CHAR(10)&amp;"رابط التقرير: "&amp;J436,"")&amp;CHAR(10)&amp;CHAR(10)&amp;"إذا أحببت، يمكننا مساعدتك في فهم التقرير وتحديد أفضل خطوة تالية لعيادتكم.")</x:f>
      </x:c>
      <x:c r="L436" s="12" t="str">
        <x:f>IF(D436="","",HYPERLINK("https://wa.me/"&amp;REGEXREPLACE(D436,"[^\d]","")&amp;"?text="&amp;ENCODEURL(K436),"واتساب 1"))</x:f>
      </x:c>
      <x:c r="M436" s="12" t="str">
        <x:f>IF(A436="","","مرحبًا "&amp;C436&amp;CHAR(10)&amp;CHAR(10)&amp;"بناءً على نتيجة تقييم عيادة "&amp;B436&amp;"، فإن الترشيح الأقوى لكم الآن هو: "&amp;G436&amp;"."&amp;CHAR(10)&amp;"هذا الخيار يساعدكم في معالجة أكبر فجوة حالية بشكل عملي ومباشر."&amp;IF(J436&lt;&gt;"",CHAR(10)&amp;CHAR(10)&amp;"رابط التقرير: "&amp;J436,"")&amp;CHAR(10)&amp;CHAR(10)&amp;"إذا رغبت، يمكننا توضيح لماذا هذا الكورس هو الأنسب لكم الآن.")</x:f>
      </x:c>
      <x:c r="N436" s="12" t="str">
        <x:f>IF(D436="","",HYPERLINK("https://wa.me/"&amp;REGEXREPLACE(D436,"[^\d]","")&amp;"?text="&amp;ENCODEURL(M436),"واتساب 2"))</x:f>
      </x:c>
      <x:c r="O436" s="12" t="str">
        <x:f>IF(A436="","","مرحبًا "&amp;C436&amp;CHAR(10)&amp;CHAR(10)&amp;"إذا كانت التحديات لديكم تحتاج حلًا أشمل، فالبرنامج الكامل المناسب لكم هو: "&amp;H436&amp;"."&amp;IF(I436&lt;&gt;"",CHAR(10)&amp;"كما يمكنكم أيضًا حجز: "&amp;I436&amp;".","")&amp;IF(J436&lt;&gt;"",CHAR(10)&amp;CHAR(10)&amp;"رابط التقرير: "&amp;J436,"")&amp;CHAR(10)&amp;CHAR(10)&amp;"يسعدنا مساعدتكم في اختيار المسار الأنسب حسب وضع العيادة الحالي.")</x:f>
      </x:c>
      <x:c r="P436" s="12" t="str">
        <x:f>IF(D436="","",HYPERLINK("https://wa.me/"&amp;REGEXREPLACE(D436,"[^\d]","")&amp;"?text="&amp;ENCODEURL(O436),"واتساب 3"))</x:f>
      </x:c>
    </x:row>
    <x:row r="437" ht="15" hidden="0" customHeight="1">
      <x:c r="A437" s="12" t="str">
        <x:f>IF(Leads!A437="","",Leads!A437)</x:f>
      </x:c>
      <x:c r="B437" s="12" t="str">
        <x:f>IF(Leads!F437="","",Leads!F437)</x:f>
      </x:c>
      <x:c r="C437" s="12" t="str">
        <x:f>IF(Leads!G437="","",Leads!G437)</x:f>
      </x:c>
      <x:c r="D437" s="12" t="str">
        <x:f>IF(Leads!O437="","",Leads!O437)</x:f>
      </x:c>
      <x:c r="E437" s="12" t="str">
        <x:f>IF(Leads!AV437="","",Leads!AV437)</x:f>
      </x:c>
      <x:c r="F437" s="12" t="str">
        <x:f>IF(Leads!AX437="","",Leads!AX437)</x:f>
      </x:c>
      <x:c r="G437" s="12" t="str">
        <x:f>IF(Leads!BC437="","",Leads!BC437)</x:f>
      </x:c>
      <x:c r="H437" s="12" t="str">
        <x:f>IF(Leads!BE437="","",Leads!BE437)</x:f>
      </x:c>
      <x:c r="I437" s="12" t="str">
        <x:f>IF(Leads!BG437="","",Leads!BG437)</x:f>
      </x:c>
      <x:c r="J437" s="12" t="str">
        <x:f>IF(Leads!BH437="","",Leads!BH437)</x:f>
      </x:c>
      <x:c r="K437" s="12" t="str">
        <x:f>IF(A437="","","مرحبًا "&amp;C437&amp;CHAR(10)&amp;CHAR(10)&amp;"شكرًا لإتمام تقييم DBD الخاص بعيادة "&amp;B437&amp;"."&amp;CHAR(10)&amp;"نتيجتكم الحالية: "&amp;E437&amp;"%."&amp;CHAR(10)&amp;"أولوية التحسين الأولى: "&amp;F437&amp;"."&amp;IF(J437&lt;&gt;"",CHAR(10)&amp;CHAR(10)&amp;"رابط التقرير: "&amp;J437,"")&amp;CHAR(10)&amp;CHAR(10)&amp;"إذا أحببت، يمكننا مساعدتك في فهم التقرير وتحديد أفضل خطوة تالية لعيادتكم.")</x:f>
      </x:c>
      <x:c r="L437" s="12" t="str">
        <x:f>IF(D437="","",HYPERLINK("https://wa.me/"&amp;REGEXREPLACE(D437,"[^\d]","")&amp;"?text="&amp;ENCODEURL(K437),"واتساب 1"))</x:f>
      </x:c>
      <x:c r="M437" s="12" t="str">
        <x:f>IF(A437="","","مرحبًا "&amp;C437&amp;CHAR(10)&amp;CHAR(10)&amp;"بناءً على نتيجة تقييم عيادة "&amp;B437&amp;"، فإن الترشيح الأقوى لكم الآن هو: "&amp;G437&amp;"."&amp;CHAR(10)&amp;"هذا الخيار يساعدكم في معالجة أكبر فجوة حالية بشكل عملي ومباشر."&amp;IF(J437&lt;&gt;"",CHAR(10)&amp;CHAR(10)&amp;"رابط التقرير: "&amp;J437,"")&amp;CHAR(10)&amp;CHAR(10)&amp;"إذا رغبت، يمكننا توضيح لماذا هذا الكورس هو الأنسب لكم الآن.")</x:f>
      </x:c>
      <x:c r="N437" s="12" t="str">
        <x:f>IF(D437="","",HYPERLINK("https://wa.me/"&amp;REGEXREPLACE(D437,"[^\d]","")&amp;"?text="&amp;ENCODEURL(M437),"واتساب 2"))</x:f>
      </x:c>
      <x:c r="O437" s="12" t="str">
        <x:f>IF(A437="","","مرحبًا "&amp;C437&amp;CHAR(10)&amp;CHAR(10)&amp;"إذا كانت التحديات لديكم تحتاج حلًا أشمل، فالبرنامج الكامل المناسب لكم هو: "&amp;H437&amp;"."&amp;IF(I437&lt;&gt;"",CHAR(10)&amp;"كما يمكنكم أيضًا حجز: "&amp;I437&amp;".","")&amp;IF(J437&lt;&gt;"",CHAR(10)&amp;CHAR(10)&amp;"رابط التقرير: "&amp;J437,"")&amp;CHAR(10)&amp;CHAR(10)&amp;"يسعدنا مساعدتكم في اختيار المسار الأنسب حسب وضع العيادة الحالي.")</x:f>
      </x:c>
      <x:c r="P437" s="12" t="str">
        <x:f>IF(D437="","",HYPERLINK("https://wa.me/"&amp;REGEXREPLACE(D437,"[^\d]","")&amp;"?text="&amp;ENCODEURL(O437),"واتساب 3"))</x:f>
      </x:c>
    </x:row>
    <x:row r="438" ht="15" hidden="0" customHeight="1">
      <x:c r="A438" s="12" t="str">
        <x:f>IF(Leads!A438="","",Leads!A438)</x:f>
      </x:c>
      <x:c r="B438" s="12" t="str">
        <x:f>IF(Leads!F438="","",Leads!F438)</x:f>
      </x:c>
      <x:c r="C438" s="12" t="str">
        <x:f>IF(Leads!G438="","",Leads!G438)</x:f>
      </x:c>
      <x:c r="D438" s="12" t="str">
        <x:f>IF(Leads!O438="","",Leads!O438)</x:f>
      </x:c>
      <x:c r="E438" s="12" t="str">
        <x:f>IF(Leads!AV438="","",Leads!AV438)</x:f>
      </x:c>
      <x:c r="F438" s="12" t="str">
        <x:f>IF(Leads!AX438="","",Leads!AX438)</x:f>
      </x:c>
      <x:c r="G438" s="12" t="str">
        <x:f>IF(Leads!BC438="","",Leads!BC438)</x:f>
      </x:c>
      <x:c r="H438" s="12" t="str">
        <x:f>IF(Leads!BE438="","",Leads!BE438)</x:f>
      </x:c>
      <x:c r="I438" s="12" t="str">
        <x:f>IF(Leads!BG438="","",Leads!BG438)</x:f>
      </x:c>
      <x:c r="J438" s="12" t="str">
        <x:f>IF(Leads!BH438="","",Leads!BH438)</x:f>
      </x:c>
      <x:c r="K438" s="12" t="str">
        <x:f>IF(A438="","","مرحبًا "&amp;C438&amp;CHAR(10)&amp;CHAR(10)&amp;"شكرًا لإتمام تقييم DBD الخاص بعيادة "&amp;B438&amp;"."&amp;CHAR(10)&amp;"نتيجتكم الحالية: "&amp;E438&amp;"%."&amp;CHAR(10)&amp;"أولوية التحسين الأولى: "&amp;F438&amp;"."&amp;IF(J438&lt;&gt;"",CHAR(10)&amp;CHAR(10)&amp;"رابط التقرير: "&amp;J438,"")&amp;CHAR(10)&amp;CHAR(10)&amp;"إذا أحببت، يمكننا مساعدتك في فهم التقرير وتحديد أفضل خطوة تالية لعيادتكم.")</x:f>
      </x:c>
      <x:c r="L438" s="12" t="str">
        <x:f>IF(D438="","",HYPERLINK("https://wa.me/"&amp;REGEXREPLACE(D438,"[^\d]","")&amp;"?text="&amp;ENCODEURL(K438),"واتساب 1"))</x:f>
      </x:c>
      <x:c r="M438" s="12" t="str">
        <x:f>IF(A438="","","مرحبًا "&amp;C438&amp;CHAR(10)&amp;CHAR(10)&amp;"بناءً على نتيجة تقييم عيادة "&amp;B438&amp;"، فإن الترشيح الأقوى لكم الآن هو: "&amp;G438&amp;"."&amp;CHAR(10)&amp;"هذا الخيار يساعدكم في معالجة أكبر فجوة حالية بشكل عملي ومباشر."&amp;IF(J438&lt;&gt;"",CHAR(10)&amp;CHAR(10)&amp;"رابط التقرير: "&amp;J438,"")&amp;CHAR(10)&amp;CHAR(10)&amp;"إذا رغبت، يمكننا توضيح لماذا هذا الكورس هو الأنسب لكم الآن.")</x:f>
      </x:c>
      <x:c r="N438" s="12" t="str">
        <x:f>IF(D438="","",HYPERLINK("https://wa.me/"&amp;REGEXREPLACE(D438,"[^\d]","")&amp;"?text="&amp;ENCODEURL(M438),"واتساب 2"))</x:f>
      </x:c>
      <x:c r="O438" s="12" t="str">
        <x:f>IF(A438="","","مرحبًا "&amp;C438&amp;CHAR(10)&amp;CHAR(10)&amp;"إذا كانت التحديات لديكم تحتاج حلًا أشمل، فالبرنامج الكامل المناسب لكم هو: "&amp;H438&amp;"."&amp;IF(I438&lt;&gt;"",CHAR(10)&amp;"كما يمكنكم أيضًا حجز: "&amp;I438&amp;".","")&amp;IF(J438&lt;&gt;"",CHAR(10)&amp;CHAR(10)&amp;"رابط التقرير: "&amp;J438,"")&amp;CHAR(10)&amp;CHAR(10)&amp;"يسعدنا مساعدتكم في اختيار المسار الأنسب حسب وضع العيادة الحالي.")</x:f>
      </x:c>
      <x:c r="P438" s="12" t="str">
        <x:f>IF(D438="","",HYPERLINK("https://wa.me/"&amp;REGEXREPLACE(D438,"[^\d]","")&amp;"?text="&amp;ENCODEURL(O438),"واتساب 3"))</x:f>
      </x:c>
    </x:row>
    <x:row r="439" ht="15" hidden="0" customHeight="1">
      <x:c r="A439" s="12" t="str">
        <x:f>IF(Leads!A439="","",Leads!A439)</x:f>
      </x:c>
      <x:c r="B439" s="12" t="str">
        <x:f>IF(Leads!F439="","",Leads!F439)</x:f>
      </x:c>
      <x:c r="C439" s="12" t="str">
        <x:f>IF(Leads!G439="","",Leads!G439)</x:f>
      </x:c>
      <x:c r="D439" s="12" t="str">
        <x:f>IF(Leads!O439="","",Leads!O439)</x:f>
      </x:c>
      <x:c r="E439" s="12" t="str">
        <x:f>IF(Leads!AV439="","",Leads!AV439)</x:f>
      </x:c>
      <x:c r="F439" s="12" t="str">
        <x:f>IF(Leads!AX439="","",Leads!AX439)</x:f>
      </x:c>
      <x:c r="G439" s="12" t="str">
        <x:f>IF(Leads!BC439="","",Leads!BC439)</x:f>
      </x:c>
      <x:c r="H439" s="12" t="str">
        <x:f>IF(Leads!BE439="","",Leads!BE439)</x:f>
      </x:c>
      <x:c r="I439" s="12" t="str">
        <x:f>IF(Leads!BG439="","",Leads!BG439)</x:f>
      </x:c>
      <x:c r="J439" s="12" t="str">
        <x:f>IF(Leads!BH439="","",Leads!BH439)</x:f>
      </x:c>
      <x:c r="K439" s="12" t="str">
        <x:f>IF(A439="","","مرحبًا "&amp;C439&amp;CHAR(10)&amp;CHAR(10)&amp;"شكرًا لإتمام تقييم DBD الخاص بعيادة "&amp;B439&amp;"."&amp;CHAR(10)&amp;"نتيجتكم الحالية: "&amp;E439&amp;"%."&amp;CHAR(10)&amp;"أولوية التحسين الأولى: "&amp;F439&amp;"."&amp;IF(J439&lt;&gt;"",CHAR(10)&amp;CHAR(10)&amp;"رابط التقرير: "&amp;J439,"")&amp;CHAR(10)&amp;CHAR(10)&amp;"إذا أحببت، يمكننا مساعدتك في فهم التقرير وتحديد أفضل خطوة تالية لعيادتكم.")</x:f>
      </x:c>
      <x:c r="L439" s="12" t="str">
        <x:f>IF(D439="","",HYPERLINK("https://wa.me/"&amp;REGEXREPLACE(D439,"[^\d]","")&amp;"?text="&amp;ENCODEURL(K439),"واتساب 1"))</x:f>
      </x:c>
      <x:c r="M439" s="12" t="str">
        <x:f>IF(A439="","","مرحبًا "&amp;C439&amp;CHAR(10)&amp;CHAR(10)&amp;"بناءً على نتيجة تقييم عيادة "&amp;B439&amp;"، فإن الترشيح الأقوى لكم الآن هو: "&amp;G439&amp;"."&amp;CHAR(10)&amp;"هذا الخيار يساعدكم في معالجة أكبر فجوة حالية بشكل عملي ومباشر."&amp;IF(J439&lt;&gt;"",CHAR(10)&amp;CHAR(10)&amp;"رابط التقرير: "&amp;J439,"")&amp;CHAR(10)&amp;CHAR(10)&amp;"إذا رغبت، يمكننا توضيح لماذا هذا الكورس هو الأنسب لكم الآن.")</x:f>
      </x:c>
      <x:c r="N439" s="12" t="str">
        <x:f>IF(D439="","",HYPERLINK("https://wa.me/"&amp;REGEXREPLACE(D439,"[^\d]","")&amp;"?text="&amp;ENCODEURL(M439),"واتساب 2"))</x:f>
      </x:c>
      <x:c r="O439" s="12" t="str">
        <x:f>IF(A439="","","مرحبًا "&amp;C439&amp;CHAR(10)&amp;CHAR(10)&amp;"إذا كانت التحديات لديكم تحتاج حلًا أشمل، فالبرنامج الكامل المناسب لكم هو: "&amp;H439&amp;"."&amp;IF(I439&lt;&gt;"",CHAR(10)&amp;"كما يمكنكم أيضًا حجز: "&amp;I439&amp;".","")&amp;IF(J439&lt;&gt;"",CHAR(10)&amp;CHAR(10)&amp;"رابط التقرير: "&amp;J439,"")&amp;CHAR(10)&amp;CHAR(10)&amp;"يسعدنا مساعدتكم في اختيار المسار الأنسب حسب وضع العيادة الحالي.")</x:f>
      </x:c>
      <x:c r="P439" s="12" t="str">
        <x:f>IF(D439="","",HYPERLINK("https://wa.me/"&amp;REGEXREPLACE(D439,"[^\d]","")&amp;"?text="&amp;ENCODEURL(O439),"واتساب 3"))</x:f>
      </x:c>
    </x:row>
    <x:row r="440" ht="15" hidden="0" customHeight="1">
      <x:c r="A440" s="12" t="str">
        <x:f>IF(Leads!A440="","",Leads!A440)</x:f>
      </x:c>
      <x:c r="B440" s="12" t="str">
        <x:f>IF(Leads!F440="","",Leads!F440)</x:f>
      </x:c>
      <x:c r="C440" s="12" t="str">
        <x:f>IF(Leads!G440="","",Leads!G440)</x:f>
      </x:c>
      <x:c r="D440" s="12" t="str">
        <x:f>IF(Leads!O440="","",Leads!O440)</x:f>
      </x:c>
      <x:c r="E440" s="12" t="str">
        <x:f>IF(Leads!AV440="","",Leads!AV440)</x:f>
      </x:c>
      <x:c r="F440" s="12" t="str">
        <x:f>IF(Leads!AX440="","",Leads!AX440)</x:f>
      </x:c>
      <x:c r="G440" s="12" t="str">
        <x:f>IF(Leads!BC440="","",Leads!BC440)</x:f>
      </x:c>
      <x:c r="H440" s="12" t="str">
        <x:f>IF(Leads!BE440="","",Leads!BE440)</x:f>
      </x:c>
      <x:c r="I440" s="12" t="str">
        <x:f>IF(Leads!BG440="","",Leads!BG440)</x:f>
      </x:c>
      <x:c r="J440" s="12" t="str">
        <x:f>IF(Leads!BH440="","",Leads!BH440)</x:f>
      </x:c>
      <x:c r="K440" s="12" t="str">
        <x:f>IF(A440="","","مرحبًا "&amp;C440&amp;CHAR(10)&amp;CHAR(10)&amp;"شكرًا لإتمام تقييم DBD الخاص بعيادة "&amp;B440&amp;"."&amp;CHAR(10)&amp;"نتيجتكم الحالية: "&amp;E440&amp;"%."&amp;CHAR(10)&amp;"أولوية التحسين الأولى: "&amp;F440&amp;"."&amp;IF(J440&lt;&gt;"",CHAR(10)&amp;CHAR(10)&amp;"رابط التقرير: "&amp;J440,"")&amp;CHAR(10)&amp;CHAR(10)&amp;"إذا أحببت، يمكننا مساعدتك في فهم التقرير وتحديد أفضل خطوة تالية لعيادتكم.")</x:f>
      </x:c>
      <x:c r="L440" s="12" t="str">
        <x:f>IF(D440="","",HYPERLINK("https://wa.me/"&amp;REGEXREPLACE(D440,"[^\d]","")&amp;"?text="&amp;ENCODEURL(K440),"واتساب 1"))</x:f>
      </x:c>
      <x:c r="M440" s="12" t="str">
        <x:f>IF(A440="","","مرحبًا "&amp;C440&amp;CHAR(10)&amp;CHAR(10)&amp;"بناءً على نتيجة تقييم عيادة "&amp;B440&amp;"، فإن الترشيح الأقوى لكم الآن هو: "&amp;G440&amp;"."&amp;CHAR(10)&amp;"هذا الخيار يساعدكم في معالجة أكبر فجوة حالية بشكل عملي ومباشر."&amp;IF(J440&lt;&gt;"",CHAR(10)&amp;CHAR(10)&amp;"رابط التقرير: "&amp;J440,"")&amp;CHAR(10)&amp;CHAR(10)&amp;"إذا رغبت، يمكننا توضيح لماذا هذا الكورس هو الأنسب لكم الآن.")</x:f>
      </x:c>
      <x:c r="N440" s="12" t="str">
        <x:f>IF(D440="","",HYPERLINK("https://wa.me/"&amp;REGEXREPLACE(D440,"[^\d]","")&amp;"?text="&amp;ENCODEURL(M440),"واتساب 2"))</x:f>
      </x:c>
      <x:c r="O440" s="12" t="str">
        <x:f>IF(A440="","","مرحبًا "&amp;C440&amp;CHAR(10)&amp;CHAR(10)&amp;"إذا كانت التحديات لديكم تحتاج حلًا أشمل، فالبرنامج الكامل المناسب لكم هو: "&amp;H440&amp;"."&amp;IF(I440&lt;&gt;"",CHAR(10)&amp;"كما يمكنكم أيضًا حجز: "&amp;I440&amp;".","")&amp;IF(J440&lt;&gt;"",CHAR(10)&amp;CHAR(10)&amp;"رابط التقرير: "&amp;J440,"")&amp;CHAR(10)&amp;CHAR(10)&amp;"يسعدنا مساعدتكم في اختيار المسار الأنسب حسب وضع العيادة الحالي.")</x:f>
      </x:c>
      <x:c r="P440" s="12" t="str">
        <x:f>IF(D440="","",HYPERLINK("https://wa.me/"&amp;REGEXREPLACE(D440,"[^\d]","")&amp;"?text="&amp;ENCODEURL(O440),"واتساب 3"))</x:f>
      </x:c>
    </x:row>
    <x:row r="441" ht="15" hidden="0" customHeight="1">
      <x:c r="A441" s="12" t="str">
        <x:f>IF(Leads!A441="","",Leads!A441)</x:f>
      </x:c>
      <x:c r="B441" s="12" t="str">
        <x:f>IF(Leads!F441="","",Leads!F441)</x:f>
      </x:c>
      <x:c r="C441" s="12" t="str">
        <x:f>IF(Leads!G441="","",Leads!G441)</x:f>
      </x:c>
      <x:c r="D441" s="12" t="str">
        <x:f>IF(Leads!O441="","",Leads!O441)</x:f>
      </x:c>
      <x:c r="E441" s="12" t="str">
        <x:f>IF(Leads!AV441="","",Leads!AV441)</x:f>
      </x:c>
      <x:c r="F441" s="12" t="str">
        <x:f>IF(Leads!AX441="","",Leads!AX441)</x:f>
      </x:c>
      <x:c r="G441" s="12" t="str">
        <x:f>IF(Leads!BC441="","",Leads!BC441)</x:f>
      </x:c>
      <x:c r="H441" s="12" t="str">
        <x:f>IF(Leads!BE441="","",Leads!BE441)</x:f>
      </x:c>
      <x:c r="I441" s="12" t="str">
        <x:f>IF(Leads!BG441="","",Leads!BG441)</x:f>
      </x:c>
      <x:c r="J441" s="12" t="str">
        <x:f>IF(Leads!BH441="","",Leads!BH441)</x:f>
      </x:c>
      <x:c r="K441" s="12" t="str">
        <x:f>IF(A441="","","مرحبًا "&amp;C441&amp;CHAR(10)&amp;CHAR(10)&amp;"شكرًا لإتمام تقييم DBD الخاص بعيادة "&amp;B441&amp;"."&amp;CHAR(10)&amp;"نتيجتكم الحالية: "&amp;E441&amp;"%."&amp;CHAR(10)&amp;"أولوية التحسين الأولى: "&amp;F441&amp;"."&amp;IF(J441&lt;&gt;"",CHAR(10)&amp;CHAR(10)&amp;"رابط التقرير: "&amp;J441,"")&amp;CHAR(10)&amp;CHAR(10)&amp;"إذا أحببت، يمكننا مساعدتك في فهم التقرير وتحديد أفضل خطوة تالية لعيادتكم.")</x:f>
      </x:c>
      <x:c r="L441" s="12" t="str">
        <x:f>IF(D441="","",HYPERLINK("https://wa.me/"&amp;REGEXREPLACE(D441,"[^\d]","")&amp;"?text="&amp;ENCODEURL(K441),"واتساب 1"))</x:f>
      </x:c>
      <x:c r="M441" s="12" t="str">
        <x:f>IF(A441="","","مرحبًا "&amp;C441&amp;CHAR(10)&amp;CHAR(10)&amp;"بناءً على نتيجة تقييم عيادة "&amp;B441&amp;"، فإن الترشيح الأقوى لكم الآن هو: "&amp;G441&amp;"."&amp;CHAR(10)&amp;"هذا الخيار يساعدكم في معالجة أكبر فجوة حالية بشكل عملي ومباشر."&amp;IF(J441&lt;&gt;"",CHAR(10)&amp;CHAR(10)&amp;"رابط التقرير: "&amp;J441,"")&amp;CHAR(10)&amp;CHAR(10)&amp;"إذا رغبت، يمكننا توضيح لماذا هذا الكورس هو الأنسب لكم الآن.")</x:f>
      </x:c>
      <x:c r="N441" s="12" t="str">
        <x:f>IF(D441="","",HYPERLINK("https://wa.me/"&amp;REGEXREPLACE(D441,"[^\d]","")&amp;"?text="&amp;ENCODEURL(M441),"واتساب 2"))</x:f>
      </x:c>
      <x:c r="O441" s="12" t="str">
        <x:f>IF(A441="","","مرحبًا "&amp;C441&amp;CHAR(10)&amp;CHAR(10)&amp;"إذا كانت التحديات لديكم تحتاج حلًا أشمل، فالبرنامج الكامل المناسب لكم هو: "&amp;H441&amp;"."&amp;IF(I441&lt;&gt;"",CHAR(10)&amp;"كما يمكنكم أيضًا حجز: "&amp;I441&amp;".","")&amp;IF(J441&lt;&gt;"",CHAR(10)&amp;CHAR(10)&amp;"رابط التقرير: "&amp;J441,"")&amp;CHAR(10)&amp;CHAR(10)&amp;"يسعدنا مساعدتكم في اختيار المسار الأنسب حسب وضع العيادة الحالي.")</x:f>
      </x:c>
      <x:c r="P441" s="12" t="str">
        <x:f>IF(D441="","",HYPERLINK("https://wa.me/"&amp;REGEXREPLACE(D441,"[^\d]","")&amp;"?text="&amp;ENCODEURL(O441),"واتساب 3"))</x:f>
      </x:c>
    </x:row>
    <x:row r="442" ht="15" hidden="0" customHeight="1">
      <x:c r="A442" s="12" t="str">
        <x:f>IF(Leads!A442="","",Leads!A442)</x:f>
      </x:c>
      <x:c r="B442" s="12" t="str">
        <x:f>IF(Leads!F442="","",Leads!F442)</x:f>
      </x:c>
      <x:c r="C442" s="12" t="str">
        <x:f>IF(Leads!G442="","",Leads!G442)</x:f>
      </x:c>
      <x:c r="D442" s="12" t="str">
        <x:f>IF(Leads!O442="","",Leads!O442)</x:f>
      </x:c>
      <x:c r="E442" s="12" t="str">
        <x:f>IF(Leads!AV442="","",Leads!AV442)</x:f>
      </x:c>
      <x:c r="F442" s="12" t="str">
        <x:f>IF(Leads!AX442="","",Leads!AX442)</x:f>
      </x:c>
      <x:c r="G442" s="12" t="str">
        <x:f>IF(Leads!BC442="","",Leads!BC442)</x:f>
      </x:c>
      <x:c r="H442" s="12" t="str">
        <x:f>IF(Leads!BE442="","",Leads!BE442)</x:f>
      </x:c>
      <x:c r="I442" s="12" t="str">
        <x:f>IF(Leads!BG442="","",Leads!BG442)</x:f>
      </x:c>
      <x:c r="J442" s="12" t="str">
        <x:f>IF(Leads!BH442="","",Leads!BH442)</x:f>
      </x:c>
      <x:c r="K442" s="12" t="str">
        <x:f>IF(A442="","","مرحبًا "&amp;C442&amp;CHAR(10)&amp;CHAR(10)&amp;"شكرًا لإتمام تقييم DBD الخاص بعيادة "&amp;B442&amp;"."&amp;CHAR(10)&amp;"نتيجتكم الحالية: "&amp;E442&amp;"%."&amp;CHAR(10)&amp;"أولوية التحسين الأولى: "&amp;F442&amp;"."&amp;IF(J442&lt;&gt;"",CHAR(10)&amp;CHAR(10)&amp;"رابط التقرير: "&amp;J442,"")&amp;CHAR(10)&amp;CHAR(10)&amp;"إذا أحببت، يمكننا مساعدتك في فهم التقرير وتحديد أفضل خطوة تالية لعيادتكم.")</x:f>
      </x:c>
      <x:c r="L442" s="12" t="str">
        <x:f>IF(D442="","",HYPERLINK("https://wa.me/"&amp;REGEXREPLACE(D442,"[^\d]","")&amp;"?text="&amp;ENCODEURL(K442),"واتساب 1"))</x:f>
      </x:c>
      <x:c r="M442" s="12" t="str">
        <x:f>IF(A442="","","مرحبًا "&amp;C442&amp;CHAR(10)&amp;CHAR(10)&amp;"بناءً على نتيجة تقييم عيادة "&amp;B442&amp;"، فإن الترشيح الأقوى لكم الآن هو: "&amp;G442&amp;"."&amp;CHAR(10)&amp;"هذا الخيار يساعدكم في معالجة أكبر فجوة حالية بشكل عملي ومباشر."&amp;IF(J442&lt;&gt;"",CHAR(10)&amp;CHAR(10)&amp;"رابط التقرير: "&amp;J442,"")&amp;CHAR(10)&amp;CHAR(10)&amp;"إذا رغبت، يمكننا توضيح لماذا هذا الكورس هو الأنسب لكم الآن.")</x:f>
      </x:c>
      <x:c r="N442" s="12" t="str">
        <x:f>IF(D442="","",HYPERLINK("https://wa.me/"&amp;REGEXREPLACE(D442,"[^\d]","")&amp;"?text="&amp;ENCODEURL(M442),"واتساب 2"))</x:f>
      </x:c>
      <x:c r="O442" s="12" t="str">
        <x:f>IF(A442="","","مرحبًا "&amp;C442&amp;CHAR(10)&amp;CHAR(10)&amp;"إذا كانت التحديات لديكم تحتاج حلًا أشمل، فالبرنامج الكامل المناسب لكم هو: "&amp;H442&amp;"."&amp;IF(I442&lt;&gt;"",CHAR(10)&amp;"كما يمكنكم أيضًا حجز: "&amp;I442&amp;".","")&amp;IF(J442&lt;&gt;"",CHAR(10)&amp;CHAR(10)&amp;"رابط التقرير: "&amp;J442,"")&amp;CHAR(10)&amp;CHAR(10)&amp;"يسعدنا مساعدتكم في اختيار المسار الأنسب حسب وضع العيادة الحالي.")</x:f>
      </x:c>
      <x:c r="P442" s="12" t="str">
        <x:f>IF(D442="","",HYPERLINK("https://wa.me/"&amp;REGEXREPLACE(D442,"[^\d]","")&amp;"?text="&amp;ENCODEURL(O442),"واتساب 3"))</x:f>
      </x:c>
    </x:row>
    <x:row r="443" ht="15" hidden="0" customHeight="1">
      <x:c r="A443" s="12" t="str">
        <x:f>IF(Leads!A443="","",Leads!A443)</x:f>
      </x:c>
      <x:c r="B443" s="12" t="str">
        <x:f>IF(Leads!F443="","",Leads!F443)</x:f>
      </x:c>
      <x:c r="C443" s="12" t="str">
        <x:f>IF(Leads!G443="","",Leads!G443)</x:f>
      </x:c>
      <x:c r="D443" s="12" t="str">
        <x:f>IF(Leads!O443="","",Leads!O443)</x:f>
      </x:c>
      <x:c r="E443" s="12" t="str">
        <x:f>IF(Leads!AV443="","",Leads!AV443)</x:f>
      </x:c>
      <x:c r="F443" s="12" t="str">
        <x:f>IF(Leads!AX443="","",Leads!AX443)</x:f>
      </x:c>
      <x:c r="G443" s="12" t="str">
        <x:f>IF(Leads!BC443="","",Leads!BC443)</x:f>
      </x:c>
      <x:c r="H443" s="12" t="str">
        <x:f>IF(Leads!BE443="","",Leads!BE443)</x:f>
      </x:c>
      <x:c r="I443" s="12" t="str">
        <x:f>IF(Leads!BG443="","",Leads!BG443)</x:f>
      </x:c>
      <x:c r="J443" s="12" t="str">
        <x:f>IF(Leads!BH443="","",Leads!BH443)</x:f>
      </x:c>
      <x:c r="K443" s="12" t="str">
        <x:f>IF(A443="","","مرحبًا "&amp;C443&amp;CHAR(10)&amp;CHAR(10)&amp;"شكرًا لإتمام تقييم DBD الخاص بعيادة "&amp;B443&amp;"."&amp;CHAR(10)&amp;"نتيجتكم الحالية: "&amp;E443&amp;"%."&amp;CHAR(10)&amp;"أولوية التحسين الأولى: "&amp;F443&amp;"."&amp;IF(J443&lt;&gt;"",CHAR(10)&amp;CHAR(10)&amp;"رابط التقرير: "&amp;J443,"")&amp;CHAR(10)&amp;CHAR(10)&amp;"إذا أحببت، يمكننا مساعدتك في فهم التقرير وتحديد أفضل خطوة تالية لعيادتكم.")</x:f>
      </x:c>
      <x:c r="L443" s="12" t="str">
        <x:f>IF(D443="","",HYPERLINK("https://wa.me/"&amp;REGEXREPLACE(D443,"[^\d]","")&amp;"?text="&amp;ENCODEURL(K443),"واتساب 1"))</x:f>
      </x:c>
      <x:c r="M443" s="12" t="str">
        <x:f>IF(A443="","","مرحبًا "&amp;C443&amp;CHAR(10)&amp;CHAR(10)&amp;"بناءً على نتيجة تقييم عيادة "&amp;B443&amp;"، فإن الترشيح الأقوى لكم الآن هو: "&amp;G443&amp;"."&amp;CHAR(10)&amp;"هذا الخيار يساعدكم في معالجة أكبر فجوة حالية بشكل عملي ومباشر."&amp;IF(J443&lt;&gt;"",CHAR(10)&amp;CHAR(10)&amp;"رابط التقرير: "&amp;J443,"")&amp;CHAR(10)&amp;CHAR(10)&amp;"إذا رغبت، يمكننا توضيح لماذا هذا الكورس هو الأنسب لكم الآن.")</x:f>
      </x:c>
      <x:c r="N443" s="12" t="str">
        <x:f>IF(D443="","",HYPERLINK("https://wa.me/"&amp;REGEXREPLACE(D443,"[^\d]","")&amp;"?text="&amp;ENCODEURL(M443),"واتساب 2"))</x:f>
      </x:c>
      <x:c r="O443" s="12" t="str">
        <x:f>IF(A443="","","مرحبًا "&amp;C443&amp;CHAR(10)&amp;CHAR(10)&amp;"إذا كانت التحديات لديكم تحتاج حلًا أشمل، فالبرنامج الكامل المناسب لكم هو: "&amp;H443&amp;"."&amp;IF(I443&lt;&gt;"",CHAR(10)&amp;"كما يمكنكم أيضًا حجز: "&amp;I443&amp;".","")&amp;IF(J443&lt;&gt;"",CHAR(10)&amp;CHAR(10)&amp;"رابط التقرير: "&amp;J443,"")&amp;CHAR(10)&amp;CHAR(10)&amp;"يسعدنا مساعدتكم في اختيار المسار الأنسب حسب وضع العيادة الحالي.")</x:f>
      </x:c>
      <x:c r="P443" s="12" t="str">
        <x:f>IF(D443="","",HYPERLINK("https://wa.me/"&amp;REGEXREPLACE(D443,"[^\d]","")&amp;"?text="&amp;ENCODEURL(O443),"واتساب 3"))</x:f>
      </x:c>
    </x:row>
    <x:row r="444" ht="15" hidden="0" customHeight="1">
      <x:c r="A444" s="12" t="str">
        <x:f>IF(Leads!A444="","",Leads!A444)</x:f>
      </x:c>
      <x:c r="B444" s="12" t="str">
        <x:f>IF(Leads!F444="","",Leads!F444)</x:f>
      </x:c>
      <x:c r="C444" s="12" t="str">
        <x:f>IF(Leads!G444="","",Leads!G444)</x:f>
      </x:c>
      <x:c r="D444" s="12" t="str">
        <x:f>IF(Leads!O444="","",Leads!O444)</x:f>
      </x:c>
      <x:c r="E444" s="12" t="str">
        <x:f>IF(Leads!AV444="","",Leads!AV444)</x:f>
      </x:c>
      <x:c r="F444" s="12" t="str">
        <x:f>IF(Leads!AX444="","",Leads!AX444)</x:f>
      </x:c>
      <x:c r="G444" s="12" t="str">
        <x:f>IF(Leads!BC444="","",Leads!BC444)</x:f>
      </x:c>
      <x:c r="H444" s="12" t="str">
        <x:f>IF(Leads!BE444="","",Leads!BE444)</x:f>
      </x:c>
      <x:c r="I444" s="12" t="str">
        <x:f>IF(Leads!BG444="","",Leads!BG444)</x:f>
      </x:c>
      <x:c r="J444" s="12" t="str">
        <x:f>IF(Leads!BH444="","",Leads!BH444)</x:f>
      </x:c>
      <x:c r="K444" s="12" t="str">
        <x:f>IF(A444="","","مرحبًا "&amp;C444&amp;CHAR(10)&amp;CHAR(10)&amp;"شكرًا لإتمام تقييم DBD الخاص بعيادة "&amp;B444&amp;"."&amp;CHAR(10)&amp;"نتيجتكم الحالية: "&amp;E444&amp;"%."&amp;CHAR(10)&amp;"أولوية التحسين الأولى: "&amp;F444&amp;"."&amp;IF(J444&lt;&gt;"",CHAR(10)&amp;CHAR(10)&amp;"رابط التقرير: "&amp;J444,"")&amp;CHAR(10)&amp;CHAR(10)&amp;"إذا أحببت، يمكننا مساعدتك في فهم التقرير وتحديد أفضل خطوة تالية لعيادتكم.")</x:f>
      </x:c>
      <x:c r="L444" s="12" t="str">
        <x:f>IF(D444="","",HYPERLINK("https://wa.me/"&amp;REGEXREPLACE(D444,"[^\d]","")&amp;"?text="&amp;ENCODEURL(K444),"واتساب 1"))</x:f>
      </x:c>
      <x:c r="M444" s="12" t="str">
        <x:f>IF(A444="","","مرحبًا "&amp;C444&amp;CHAR(10)&amp;CHAR(10)&amp;"بناءً على نتيجة تقييم عيادة "&amp;B444&amp;"، فإن الترشيح الأقوى لكم الآن هو: "&amp;G444&amp;"."&amp;CHAR(10)&amp;"هذا الخيار يساعدكم في معالجة أكبر فجوة حالية بشكل عملي ومباشر."&amp;IF(J444&lt;&gt;"",CHAR(10)&amp;CHAR(10)&amp;"رابط التقرير: "&amp;J444,"")&amp;CHAR(10)&amp;CHAR(10)&amp;"إذا رغبت، يمكننا توضيح لماذا هذا الكورس هو الأنسب لكم الآن.")</x:f>
      </x:c>
      <x:c r="N444" s="12" t="str">
        <x:f>IF(D444="","",HYPERLINK("https://wa.me/"&amp;REGEXREPLACE(D444,"[^\d]","")&amp;"?text="&amp;ENCODEURL(M444),"واتساب 2"))</x:f>
      </x:c>
      <x:c r="O444" s="12" t="str">
        <x:f>IF(A444="","","مرحبًا "&amp;C444&amp;CHAR(10)&amp;CHAR(10)&amp;"إذا كانت التحديات لديكم تحتاج حلًا أشمل، فالبرنامج الكامل المناسب لكم هو: "&amp;H444&amp;"."&amp;IF(I444&lt;&gt;"",CHAR(10)&amp;"كما يمكنكم أيضًا حجز: "&amp;I444&amp;".","")&amp;IF(J444&lt;&gt;"",CHAR(10)&amp;CHAR(10)&amp;"رابط التقرير: "&amp;J444,"")&amp;CHAR(10)&amp;CHAR(10)&amp;"يسعدنا مساعدتكم في اختيار المسار الأنسب حسب وضع العيادة الحالي.")</x:f>
      </x:c>
      <x:c r="P444" s="12" t="str">
        <x:f>IF(D444="","",HYPERLINK("https://wa.me/"&amp;REGEXREPLACE(D444,"[^\d]","")&amp;"?text="&amp;ENCODEURL(O444),"واتساب 3"))</x:f>
      </x:c>
    </x:row>
    <x:row r="445" ht="15" hidden="0" customHeight="1">
      <x:c r="A445" s="12" t="str">
        <x:f>IF(Leads!A445="","",Leads!A445)</x:f>
      </x:c>
      <x:c r="B445" s="12" t="str">
        <x:f>IF(Leads!F445="","",Leads!F445)</x:f>
      </x:c>
      <x:c r="C445" s="12" t="str">
        <x:f>IF(Leads!G445="","",Leads!G445)</x:f>
      </x:c>
      <x:c r="D445" s="12" t="str">
        <x:f>IF(Leads!O445="","",Leads!O445)</x:f>
      </x:c>
      <x:c r="E445" s="12" t="str">
        <x:f>IF(Leads!AV445="","",Leads!AV445)</x:f>
      </x:c>
      <x:c r="F445" s="12" t="str">
        <x:f>IF(Leads!AX445="","",Leads!AX445)</x:f>
      </x:c>
      <x:c r="G445" s="12" t="str">
        <x:f>IF(Leads!BC445="","",Leads!BC445)</x:f>
      </x:c>
      <x:c r="H445" s="12" t="str">
        <x:f>IF(Leads!BE445="","",Leads!BE445)</x:f>
      </x:c>
      <x:c r="I445" s="12" t="str">
        <x:f>IF(Leads!BG445="","",Leads!BG445)</x:f>
      </x:c>
      <x:c r="J445" s="12" t="str">
        <x:f>IF(Leads!BH445="","",Leads!BH445)</x:f>
      </x:c>
      <x:c r="K445" s="12" t="str">
        <x:f>IF(A445="","","مرحبًا "&amp;C445&amp;CHAR(10)&amp;CHAR(10)&amp;"شكرًا لإتمام تقييم DBD الخاص بعيادة "&amp;B445&amp;"."&amp;CHAR(10)&amp;"نتيجتكم الحالية: "&amp;E445&amp;"%."&amp;CHAR(10)&amp;"أولوية التحسين الأولى: "&amp;F445&amp;"."&amp;IF(J445&lt;&gt;"",CHAR(10)&amp;CHAR(10)&amp;"رابط التقرير: "&amp;J445,"")&amp;CHAR(10)&amp;CHAR(10)&amp;"إذا أحببت، يمكننا مساعدتك في فهم التقرير وتحديد أفضل خطوة تالية لعيادتكم.")</x:f>
      </x:c>
      <x:c r="L445" s="12" t="str">
        <x:f>IF(D445="","",HYPERLINK("https://wa.me/"&amp;REGEXREPLACE(D445,"[^\d]","")&amp;"?text="&amp;ENCODEURL(K445),"واتساب 1"))</x:f>
      </x:c>
      <x:c r="M445" s="12" t="str">
        <x:f>IF(A445="","","مرحبًا "&amp;C445&amp;CHAR(10)&amp;CHAR(10)&amp;"بناءً على نتيجة تقييم عيادة "&amp;B445&amp;"، فإن الترشيح الأقوى لكم الآن هو: "&amp;G445&amp;"."&amp;CHAR(10)&amp;"هذا الخيار يساعدكم في معالجة أكبر فجوة حالية بشكل عملي ومباشر."&amp;IF(J445&lt;&gt;"",CHAR(10)&amp;CHAR(10)&amp;"رابط التقرير: "&amp;J445,"")&amp;CHAR(10)&amp;CHAR(10)&amp;"إذا رغبت، يمكننا توضيح لماذا هذا الكورس هو الأنسب لكم الآن.")</x:f>
      </x:c>
      <x:c r="N445" s="12" t="str">
        <x:f>IF(D445="","",HYPERLINK("https://wa.me/"&amp;REGEXREPLACE(D445,"[^\d]","")&amp;"?text="&amp;ENCODEURL(M445),"واتساب 2"))</x:f>
      </x:c>
      <x:c r="O445" s="12" t="str">
        <x:f>IF(A445="","","مرحبًا "&amp;C445&amp;CHAR(10)&amp;CHAR(10)&amp;"إذا كانت التحديات لديكم تحتاج حلًا أشمل، فالبرنامج الكامل المناسب لكم هو: "&amp;H445&amp;"."&amp;IF(I445&lt;&gt;"",CHAR(10)&amp;"كما يمكنكم أيضًا حجز: "&amp;I445&amp;".","")&amp;IF(J445&lt;&gt;"",CHAR(10)&amp;CHAR(10)&amp;"رابط التقرير: "&amp;J445,"")&amp;CHAR(10)&amp;CHAR(10)&amp;"يسعدنا مساعدتكم في اختيار المسار الأنسب حسب وضع العيادة الحالي.")</x:f>
      </x:c>
      <x:c r="P445" s="12" t="str">
        <x:f>IF(D445="","",HYPERLINK("https://wa.me/"&amp;REGEXREPLACE(D445,"[^\d]","")&amp;"?text="&amp;ENCODEURL(O445),"واتساب 3"))</x:f>
      </x:c>
    </x:row>
    <x:row r="446" ht="15" hidden="0" customHeight="1">
      <x:c r="A446" s="12" t="str">
        <x:f>IF(Leads!A446="","",Leads!A446)</x:f>
      </x:c>
      <x:c r="B446" s="12" t="str">
        <x:f>IF(Leads!F446="","",Leads!F446)</x:f>
      </x:c>
      <x:c r="C446" s="12" t="str">
        <x:f>IF(Leads!G446="","",Leads!G446)</x:f>
      </x:c>
      <x:c r="D446" s="12" t="str">
        <x:f>IF(Leads!O446="","",Leads!O446)</x:f>
      </x:c>
      <x:c r="E446" s="12" t="str">
        <x:f>IF(Leads!AV446="","",Leads!AV446)</x:f>
      </x:c>
      <x:c r="F446" s="12" t="str">
        <x:f>IF(Leads!AX446="","",Leads!AX446)</x:f>
      </x:c>
      <x:c r="G446" s="12" t="str">
        <x:f>IF(Leads!BC446="","",Leads!BC446)</x:f>
      </x:c>
      <x:c r="H446" s="12" t="str">
        <x:f>IF(Leads!BE446="","",Leads!BE446)</x:f>
      </x:c>
      <x:c r="I446" s="12" t="str">
        <x:f>IF(Leads!BG446="","",Leads!BG446)</x:f>
      </x:c>
      <x:c r="J446" s="12" t="str">
        <x:f>IF(Leads!BH446="","",Leads!BH446)</x:f>
      </x:c>
      <x:c r="K446" s="12" t="str">
        <x:f>IF(A446="","","مرحبًا "&amp;C446&amp;CHAR(10)&amp;CHAR(10)&amp;"شكرًا لإتمام تقييم DBD الخاص بعيادة "&amp;B446&amp;"."&amp;CHAR(10)&amp;"نتيجتكم الحالية: "&amp;E446&amp;"%."&amp;CHAR(10)&amp;"أولوية التحسين الأولى: "&amp;F446&amp;"."&amp;IF(J446&lt;&gt;"",CHAR(10)&amp;CHAR(10)&amp;"رابط التقرير: "&amp;J446,"")&amp;CHAR(10)&amp;CHAR(10)&amp;"إذا أحببت، يمكننا مساعدتك في فهم التقرير وتحديد أفضل خطوة تالية لعيادتكم.")</x:f>
      </x:c>
      <x:c r="L446" s="12" t="str">
        <x:f>IF(D446="","",HYPERLINK("https://wa.me/"&amp;REGEXREPLACE(D446,"[^\d]","")&amp;"?text="&amp;ENCODEURL(K446),"واتساب 1"))</x:f>
      </x:c>
      <x:c r="M446" s="12" t="str">
        <x:f>IF(A446="","","مرحبًا "&amp;C446&amp;CHAR(10)&amp;CHAR(10)&amp;"بناءً على نتيجة تقييم عيادة "&amp;B446&amp;"، فإن الترشيح الأقوى لكم الآن هو: "&amp;G446&amp;"."&amp;CHAR(10)&amp;"هذا الخيار يساعدكم في معالجة أكبر فجوة حالية بشكل عملي ومباشر."&amp;IF(J446&lt;&gt;"",CHAR(10)&amp;CHAR(10)&amp;"رابط التقرير: "&amp;J446,"")&amp;CHAR(10)&amp;CHAR(10)&amp;"إذا رغبت، يمكننا توضيح لماذا هذا الكورس هو الأنسب لكم الآن.")</x:f>
      </x:c>
      <x:c r="N446" s="12" t="str">
        <x:f>IF(D446="","",HYPERLINK("https://wa.me/"&amp;REGEXREPLACE(D446,"[^\d]","")&amp;"?text="&amp;ENCODEURL(M446),"واتساب 2"))</x:f>
      </x:c>
      <x:c r="O446" s="12" t="str">
        <x:f>IF(A446="","","مرحبًا "&amp;C446&amp;CHAR(10)&amp;CHAR(10)&amp;"إذا كانت التحديات لديكم تحتاج حلًا أشمل، فالبرنامج الكامل المناسب لكم هو: "&amp;H446&amp;"."&amp;IF(I446&lt;&gt;"",CHAR(10)&amp;"كما يمكنكم أيضًا حجز: "&amp;I446&amp;".","")&amp;IF(J446&lt;&gt;"",CHAR(10)&amp;CHAR(10)&amp;"رابط التقرير: "&amp;J446,"")&amp;CHAR(10)&amp;CHAR(10)&amp;"يسعدنا مساعدتكم في اختيار المسار الأنسب حسب وضع العيادة الحالي.")</x:f>
      </x:c>
      <x:c r="P446" s="12" t="str">
        <x:f>IF(D446="","",HYPERLINK("https://wa.me/"&amp;REGEXREPLACE(D446,"[^\d]","")&amp;"?text="&amp;ENCODEURL(O446),"واتساب 3"))</x:f>
      </x:c>
    </x:row>
    <x:row r="447" ht="15" hidden="0" customHeight="1">
      <x:c r="A447" s="12" t="str">
        <x:f>IF(Leads!A447="","",Leads!A447)</x:f>
      </x:c>
      <x:c r="B447" s="12" t="str">
        <x:f>IF(Leads!F447="","",Leads!F447)</x:f>
      </x:c>
      <x:c r="C447" s="12" t="str">
        <x:f>IF(Leads!G447="","",Leads!G447)</x:f>
      </x:c>
      <x:c r="D447" s="12" t="str">
        <x:f>IF(Leads!O447="","",Leads!O447)</x:f>
      </x:c>
      <x:c r="E447" s="12" t="str">
        <x:f>IF(Leads!AV447="","",Leads!AV447)</x:f>
      </x:c>
      <x:c r="F447" s="12" t="str">
        <x:f>IF(Leads!AX447="","",Leads!AX447)</x:f>
      </x:c>
      <x:c r="G447" s="12" t="str">
        <x:f>IF(Leads!BC447="","",Leads!BC447)</x:f>
      </x:c>
      <x:c r="H447" s="12" t="str">
        <x:f>IF(Leads!BE447="","",Leads!BE447)</x:f>
      </x:c>
      <x:c r="I447" s="12" t="str">
        <x:f>IF(Leads!BG447="","",Leads!BG447)</x:f>
      </x:c>
      <x:c r="J447" s="12" t="str">
        <x:f>IF(Leads!BH447="","",Leads!BH447)</x:f>
      </x:c>
      <x:c r="K447" s="12" t="str">
        <x:f>IF(A447="","","مرحبًا "&amp;C447&amp;CHAR(10)&amp;CHAR(10)&amp;"شكرًا لإتمام تقييم DBD الخاص بعيادة "&amp;B447&amp;"."&amp;CHAR(10)&amp;"نتيجتكم الحالية: "&amp;E447&amp;"%."&amp;CHAR(10)&amp;"أولوية التحسين الأولى: "&amp;F447&amp;"."&amp;IF(J447&lt;&gt;"",CHAR(10)&amp;CHAR(10)&amp;"رابط التقرير: "&amp;J447,"")&amp;CHAR(10)&amp;CHAR(10)&amp;"إذا أحببت، يمكننا مساعدتك في فهم التقرير وتحديد أفضل خطوة تالية لعيادتكم.")</x:f>
      </x:c>
      <x:c r="L447" s="12" t="str">
        <x:f>IF(D447="","",HYPERLINK("https://wa.me/"&amp;REGEXREPLACE(D447,"[^\d]","")&amp;"?text="&amp;ENCODEURL(K447),"واتساب 1"))</x:f>
      </x:c>
      <x:c r="M447" s="12" t="str">
        <x:f>IF(A447="","","مرحبًا "&amp;C447&amp;CHAR(10)&amp;CHAR(10)&amp;"بناءً على نتيجة تقييم عيادة "&amp;B447&amp;"، فإن الترشيح الأقوى لكم الآن هو: "&amp;G447&amp;"."&amp;CHAR(10)&amp;"هذا الخيار يساعدكم في معالجة أكبر فجوة حالية بشكل عملي ومباشر."&amp;IF(J447&lt;&gt;"",CHAR(10)&amp;CHAR(10)&amp;"رابط التقرير: "&amp;J447,"")&amp;CHAR(10)&amp;CHAR(10)&amp;"إذا رغبت، يمكننا توضيح لماذا هذا الكورس هو الأنسب لكم الآن.")</x:f>
      </x:c>
      <x:c r="N447" s="12" t="str">
        <x:f>IF(D447="","",HYPERLINK("https://wa.me/"&amp;REGEXREPLACE(D447,"[^\d]","")&amp;"?text="&amp;ENCODEURL(M447),"واتساب 2"))</x:f>
      </x:c>
      <x:c r="O447" s="12" t="str">
        <x:f>IF(A447="","","مرحبًا "&amp;C447&amp;CHAR(10)&amp;CHAR(10)&amp;"إذا كانت التحديات لديكم تحتاج حلًا أشمل، فالبرنامج الكامل المناسب لكم هو: "&amp;H447&amp;"."&amp;IF(I447&lt;&gt;"",CHAR(10)&amp;"كما يمكنكم أيضًا حجز: "&amp;I447&amp;".","")&amp;IF(J447&lt;&gt;"",CHAR(10)&amp;CHAR(10)&amp;"رابط التقرير: "&amp;J447,"")&amp;CHAR(10)&amp;CHAR(10)&amp;"يسعدنا مساعدتكم في اختيار المسار الأنسب حسب وضع العيادة الحالي.")</x:f>
      </x:c>
      <x:c r="P447" s="12" t="str">
        <x:f>IF(D447="","",HYPERLINK("https://wa.me/"&amp;REGEXREPLACE(D447,"[^\d]","")&amp;"?text="&amp;ENCODEURL(O447),"واتساب 3"))</x:f>
      </x:c>
    </x:row>
    <x:row r="448" ht="15" hidden="0" customHeight="1">
      <x:c r="A448" s="12" t="str">
        <x:f>IF(Leads!A448="","",Leads!A448)</x:f>
      </x:c>
      <x:c r="B448" s="12" t="str">
        <x:f>IF(Leads!F448="","",Leads!F448)</x:f>
      </x:c>
      <x:c r="C448" s="12" t="str">
        <x:f>IF(Leads!G448="","",Leads!G448)</x:f>
      </x:c>
      <x:c r="D448" s="12" t="str">
        <x:f>IF(Leads!O448="","",Leads!O448)</x:f>
      </x:c>
      <x:c r="E448" s="12" t="str">
        <x:f>IF(Leads!AV448="","",Leads!AV448)</x:f>
      </x:c>
      <x:c r="F448" s="12" t="str">
        <x:f>IF(Leads!AX448="","",Leads!AX448)</x:f>
      </x:c>
      <x:c r="G448" s="12" t="str">
        <x:f>IF(Leads!BC448="","",Leads!BC448)</x:f>
      </x:c>
      <x:c r="H448" s="12" t="str">
        <x:f>IF(Leads!BE448="","",Leads!BE448)</x:f>
      </x:c>
      <x:c r="I448" s="12" t="str">
        <x:f>IF(Leads!BG448="","",Leads!BG448)</x:f>
      </x:c>
      <x:c r="J448" s="12" t="str">
        <x:f>IF(Leads!BH448="","",Leads!BH448)</x:f>
      </x:c>
      <x:c r="K448" s="12" t="str">
        <x:f>IF(A448="","","مرحبًا "&amp;C448&amp;CHAR(10)&amp;CHAR(10)&amp;"شكرًا لإتمام تقييم DBD الخاص بعيادة "&amp;B448&amp;"."&amp;CHAR(10)&amp;"نتيجتكم الحالية: "&amp;E448&amp;"%."&amp;CHAR(10)&amp;"أولوية التحسين الأولى: "&amp;F448&amp;"."&amp;IF(J448&lt;&gt;"",CHAR(10)&amp;CHAR(10)&amp;"رابط التقرير: "&amp;J448,"")&amp;CHAR(10)&amp;CHAR(10)&amp;"إذا أحببت، يمكننا مساعدتك في فهم التقرير وتحديد أفضل خطوة تالية لعيادتكم.")</x:f>
      </x:c>
      <x:c r="L448" s="12" t="str">
        <x:f>IF(D448="","",HYPERLINK("https://wa.me/"&amp;REGEXREPLACE(D448,"[^\d]","")&amp;"?text="&amp;ENCODEURL(K448),"واتساب 1"))</x:f>
      </x:c>
      <x:c r="M448" s="12" t="str">
        <x:f>IF(A448="","","مرحبًا "&amp;C448&amp;CHAR(10)&amp;CHAR(10)&amp;"بناءً على نتيجة تقييم عيادة "&amp;B448&amp;"، فإن الترشيح الأقوى لكم الآن هو: "&amp;G448&amp;"."&amp;CHAR(10)&amp;"هذا الخيار يساعدكم في معالجة أكبر فجوة حالية بشكل عملي ومباشر."&amp;IF(J448&lt;&gt;"",CHAR(10)&amp;CHAR(10)&amp;"رابط التقرير: "&amp;J448,"")&amp;CHAR(10)&amp;CHAR(10)&amp;"إذا رغبت، يمكننا توضيح لماذا هذا الكورس هو الأنسب لكم الآن.")</x:f>
      </x:c>
      <x:c r="N448" s="12" t="str">
        <x:f>IF(D448="","",HYPERLINK("https://wa.me/"&amp;REGEXREPLACE(D448,"[^\d]","")&amp;"?text="&amp;ENCODEURL(M448),"واتساب 2"))</x:f>
      </x:c>
      <x:c r="O448" s="12" t="str">
        <x:f>IF(A448="","","مرحبًا "&amp;C448&amp;CHAR(10)&amp;CHAR(10)&amp;"إذا كانت التحديات لديكم تحتاج حلًا أشمل، فالبرنامج الكامل المناسب لكم هو: "&amp;H448&amp;"."&amp;IF(I448&lt;&gt;"",CHAR(10)&amp;"كما يمكنكم أيضًا حجز: "&amp;I448&amp;".","")&amp;IF(J448&lt;&gt;"",CHAR(10)&amp;CHAR(10)&amp;"رابط التقرير: "&amp;J448,"")&amp;CHAR(10)&amp;CHAR(10)&amp;"يسعدنا مساعدتكم في اختيار المسار الأنسب حسب وضع العيادة الحالي.")</x:f>
      </x:c>
      <x:c r="P448" s="12" t="str">
        <x:f>IF(D448="","",HYPERLINK("https://wa.me/"&amp;REGEXREPLACE(D448,"[^\d]","")&amp;"?text="&amp;ENCODEURL(O448),"واتساب 3"))</x:f>
      </x:c>
    </x:row>
    <x:row r="449" ht="15" hidden="0" customHeight="1">
      <x:c r="A449" s="12" t="str">
        <x:f>IF(Leads!A449="","",Leads!A449)</x:f>
      </x:c>
      <x:c r="B449" s="12" t="str">
        <x:f>IF(Leads!F449="","",Leads!F449)</x:f>
      </x:c>
      <x:c r="C449" s="12" t="str">
        <x:f>IF(Leads!G449="","",Leads!G449)</x:f>
      </x:c>
      <x:c r="D449" s="12" t="str">
        <x:f>IF(Leads!O449="","",Leads!O449)</x:f>
      </x:c>
      <x:c r="E449" s="12" t="str">
        <x:f>IF(Leads!AV449="","",Leads!AV449)</x:f>
      </x:c>
      <x:c r="F449" s="12" t="str">
        <x:f>IF(Leads!AX449="","",Leads!AX449)</x:f>
      </x:c>
      <x:c r="G449" s="12" t="str">
        <x:f>IF(Leads!BC449="","",Leads!BC449)</x:f>
      </x:c>
      <x:c r="H449" s="12" t="str">
        <x:f>IF(Leads!BE449="","",Leads!BE449)</x:f>
      </x:c>
      <x:c r="I449" s="12" t="str">
        <x:f>IF(Leads!BG449="","",Leads!BG449)</x:f>
      </x:c>
      <x:c r="J449" s="12" t="str">
        <x:f>IF(Leads!BH449="","",Leads!BH449)</x:f>
      </x:c>
      <x:c r="K449" s="12" t="str">
        <x:f>IF(A449="","","مرحبًا "&amp;C449&amp;CHAR(10)&amp;CHAR(10)&amp;"شكرًا لإتمام تقييم DBD الخاص بعيادة "&amp;B449&amp;"."&amp;CHAR(10)&amp;"نتيجتكم الحالية: "&amp;E449&amp;"%."&amp;CHAR(10)&amp;"أولوية التحسين الأولى: "&amp;F449&amp;"."&amp;IF(J449&lt;&gt;"",CHAR(10)&amp;CHAR(10)&amp;"رابط التقرير: "&amp;J449,"")&amp;CHAR(10)&amp;CHAR(10)&amp;"إذا أحببت، يمكننا مساعدتك في فهم التقرير وتحديد أفضل خطوة تالية لعيادتكم.")</x:f>
      </x:c>
      <x:c r="L449" s="12" t="str">
        <x:f>IF(D449="","",HYPERLINK("https://wa.me/"&amp;REGEXREPLACE(D449,"[^\d]","")&amp;"?text="&amp;ENCODEURL(K449),"واتساب 1"))</x:f>
      </x:c>
      <x:c r="M449" s="12" t="str">
        <x:f>IF(A449="","","مرحبًا "&amp;C449&amp;CHAR(10)&amp;CHAR(10)&amp;"بناءً على نتيجة تقييم عيادة "&amp;B449&amp;"، فإن الترشيح الأقوى لكم الآن هو: "&amp;G449&amp;"."&amp;CHAR(10)&amp;"هذا الخيار يساعدكم في معالجة أكبر فجوة حالية بشكل عملي ومباشر."&amp;IF(J449&lt;&gt;"",CHAR(10)&amp;CHAR(10)&amp;"رابط التقرير: "&amp;J449,"")&amp;CHAR(10)&amp;CHAR(10)&amp;"إذا رغبت، يمكننا توضيح لماذا هذا الكورس هو الأنسب لكم الآن.")</x:f>
      </x:c>
      <x:c r="N449" s="12" t="str">
        <x:f>IF(D449="","",HYPERLINK("https://wa.me/"&amp;REGEXREPLACE(D449,"[^\d]","")&amp;"?text="&amp;ENCODEURL(M449),"واتساب 2"))</x:f>
      </x:c>
      <x:c r="O449" s="12" t="str">
        <x:f>IF(A449="","","مرحبًا "&amp;C449&amp;CHAR(10)&amp;CHAR(10)&amp;"إذا كانت التحديات لديكم تحتاج حلًا أشمل، فالبرنامج الكامل المناسب لكم هو: "&amp;H449&amp;"."&amp;IF(I449&lt;&gt;"",CHAR(10)&amp;"كما يمكنكم أيضًا حجز: "&amp;I449&amp;".","")&amp;IF(J449&lt;&gt;"",CHAR(10)&amp;CHAR(10)&amp;"رابط التقرير: "&amp;J449,"")&amp;CHAR(10)&amp;CHAR(10)&amp;"يسعدنا مساعدتكم في اختيار المسار الأنسب حسب وضع العيادة الحالي.")</x:f>
      </x:c>
      <x:c r="P449" s="12" t="str">
        <x:f>IF(D449="","",HYPERLINK("https://wa.me/"&amp;REGEXREPLACE(D449,"[^\d]","")&amp;"?text="&amp;ENCODEURL(O449),"واتساب 3"))</x:f>
      </x:c>
    </x:row>
    <x:row r="450" ht="15" hidden="0" customHeight="1">
      <x:c r="A450" s="12" t="str">
        <x:f>IF(Leads!A450="","",Leads!A450)</x:f>
      </x:c>
      <x:c r="B450" s="12" t="str">
        <x:f>IF(Leads!F450="","",Leads!F450)</x:f>
      </x:c>
      <x:c r="C450" s="12" t="str">
        <x:f>IF(Leads!G450="","",Leads!G450)</x:f>
      </x:c>
      <x:c r="D450" s="12" t="str">
        <x:f>IF(Leads!O450="","",Leads!O450)</x:f>
      </x:c>
      <x:c r="E450" s="12" t="str">
        <x:f>IF(Leads!AV450="","",Leads!AV450)</x:f>
      </x:c>
      <x:c r="F450" s="12" t="str">
        <x:f>IF(Leads!AX450="","",Leads!AX450)</x:f>
      </x:c>
      <x:c r="G450" s="12" t="str">
        <x:f>IF(Leads!BC450="","",Leads!BC450)</x:f>
      </x:c>
      <x:c r="H450" s="12" t="str">
        <x:f>IF(Leads!BE450="","",Leads!BE450)</x:f>
      </x:c>
      <x:c r="I450" s="12" t="str">
        <x:f>IF(Leads!BG450="","",Leads!BG450)</x:f>
      </x:c>
      <x:c r="J450" s="12" t="str">
        <x:f>IF(Leads!BH450="","",Leads!BH450)</x:f>
      </x:c>
      <x:c r="K450" s="12" t="str">
        <x:f>IF(A450="","","مرحبًا "&amp;C450&amp;CHAR(10)&amp;CHAR(10)&amp;"شكرًا لإتمام تقييم DBD الخاص بعيادة "&amp;B450&amp;"."&amp;CHAR(10)&amp;"نتيجتكم الحالية: "&amp;E450&amp;"%."&amp;CHAR(10)&amp;"أولوية التحسين الأولى: "&amp;F450&amp;"."&amp;IF(J450&lt;&gt;"",CHAR(10)&amp;CHAR(10)&amp;"رابط التقرير: "&amp;J450,"")&amp;CHAR(10)&amp;CHAR(10)&amp;"إذا أحببت، يمكننا مساعدتك في فهم التقرير وتحديد أفضل خطوة تالية لعيادتكم.")</x:f>
      </x:c>
      <x:c r="L450" s="12" t="str">
        <x:f>IF(D450="","",HYPERLINK("https://wa.me/"&amp;REGEXREPLACE(D450,"[^\d]","")&amp;"?text="&amp;ENCODEURL(K450),"واتساب 1"))</x:f>
      </x:c>
      <x:c r="M450" s="12" t="str">
        <x:f>IF(A450="","","مرحبًا "&amp;C450&amp;CHAR(10)&amp;CHAR(10)&amp;"بناءً على نتيجة تقييم عيادة "&amp;B450&amp;"، فإن الترشيح الأقوى لكم الآن هو: "&amp;G450&amp;"."&amp;CHAR(10)&amp;"هذا الخيار يساعدكم في معالجة أكبر فجوة حالية بشكل عملي ومباشر."&amp;IF(J450&lt;&gt;"",CHAR(10)&amp;CHAR(10)&amp;"رابط التقرير: "&amp;J450,"")&amp;CHAR(10)&amp;CHAR(10)&amp;"إذا رغبت، يمكننا توضيح لماذا هذا الكورس هو الأنسب لكم الآن.")</x:f>
      </x:c>
      <x:c r="N450" s="12" t="str">
        <x:f>IF(D450="","",HYPERLINK("https://wa.me/"&amp;REGEXREPLACE(D450,"[^\d]","")&amp;"?text="&amp;ENCODEURL(M450),"واتساب 2"))</x:f>
      </x:c>
      <x:c r="O450" s="12" t="str">
        <x:f>IF(A450="","","مرحبًا "&amp;C450&amp;CHAR(10)&amp;CHAR(10)&amp;"إذا كانت التحديات لديكم تحتاج حلًا أشمل، فالبرنامج الكامل المناسب لكم هو: "&amp;H450&amp;"."&amp;IF(I450&lt;&gt;"",CHAR(10)&amp;"كما يمكنكم أيضًا حجز: "&amp;I450&amp;".","")&amp;IF(J450&lt;&gt;"",CHAR(10)&amp;CHAR(10)&amp;"رابط التقرير: "&amp;J450,"")&amp;CHAR(10)&amp;CHAR(10)&amp;"يسعدنا مساعدتكم في اختيار المسار الأنسب حسب وضع العيادة الحالي.")</x:f>
      </x:c>
      <x:c r="P450" s="12" t="str">
        <x:f>IF(D450="","",HYPERLINK("https://wa.me/"&amp;REGEXREPLACE(D450,"[^\d]","")&amp;"?text="&amp;ENCODEURL(O450),"واتساب 3"))</x:f>
      </x:c>
    </x:row>
    <x:row r="451" ht="15" hidden="0" customHeight="1">
      <x:c r="A451" s="12" t="str">
        <x:f>IF(Leads!A451="","",Leads!A451)</x:f>
      </x:c>
      <x:c r="B451" s="12" t="str">
        <x:f>IF(Leads!F451="","",Leads!F451)</x:f>
      </x:c>
      <x:c r="C451" s="12" t="str">
        <x:f>IF(Leads!G451="","",Leads!G451)</x:f>
      </x:c>
      <x:c r="D451" s="12" t="str">
        <x:f>IF(Leads!O451="","",Leads!O451)</x:f>
      </x:c>
      <x:c r="E451" s="12" t="str">
        <x:f>IF(Leads!AV451="","",Leads!AV451)</x:f>
      </x:c>
      <x:c r="F451" s="12" t="str">
        <x:f>IF(Leads!AX451="","",Leads!AX451)</x:f>
      </x:c>
      <x:c r="G451" s="12" t="str">
        <x:f>IF(Leads!BC451="","",Leads!BC451)</x:f>
      </x:c>
      <x:c r="H451" s="12" t="str">
        <x:f>IF(Leads!BE451="","",Leads!BE451)</x:f>
      </x:c>
      <x:c r="I451" s="12" t="str">
        <x:f>IF(Leads!BG451="","",Leads!BG451)</x:f>
      </x:c>
      <x:c r="J451" s="12" t="str">
        <x:f>IF(Leads!BH451="","",Leads!BH451)</x:f>
      </x:c>
      <x:c r="K451" s="12" t="str">
        <x:f>IF(A451="","","مرحبًا "&amp;C451&amp;CHAR(10)&amp;CHAR(10)&amp;"شكرًا لإتمام تقييم DBD الخاص بعيادة "&amp;B451&amp;"."&amp;CHAR(10)&amp;"نتيجتكم الحالية: "&amp;E451&amp;"%."&amp;CHAR(10)&amp;"أولوية التحسين الأولى: "&amp;F451&amp;"."&amp;IF(J451&lt;&gt;"",CHAR(10)&amp;CHAR(10)&amp;"رابط التقرير: "&amp;J451,"")&amp;CHAR(10)&amp;CHAR(10)&amp;"إذا أحببت، يمكننا مساعدتك في فهم التقرير وتحديد أفضل خطوة تالية لعيادتكم.")</x:f>
      </x:c>
      <x:c r="L451" s="12" t="str">
        <x:f>IF(D451="","",HYPERLINK("https://wa.me/"&amp;REGEXREPLACE(D451,"[^\d]","")&amp;"?text="&amp;ENCODEURL(K451),"واتساب 1"))</x:f>
      </x:c>
      <x:c r="M451" s="12" t="str">
        <x:f>IF(A451="","","مرحبًا "&amp;C451&amp;CHAR(10)&amp;CHAR(10)&amp;"بناءً على نتيجة تقييم عيادة "&amp;B451&amp;"، فإن الترشيح الأقوى لكم الآن هو: "&amp;G451&amp;"."&amp;CHAR(10)&amp;"هذا الخيار يساعدكم في معالجة أكبر فجوة حالية بشكل عملي ومباشر."&amp;IF(J451&lt;&gt;"",CHAR(10)&amp;CHAR(10)&amp;"رابط التقرير: "&amp;J451,"")&amp;CHAR(10)&amp;CHAR(10)&amp;"إذا رغبت، يمكننا توضيح لماذا هذا الكورس هو الأنسب لكم الآن.")</x:f>
      </x:c>
      <x:c r="N451" s="12" t="str">
        <x:f>IF(D451="","",HYPERLINK("https://wa.me/"&amp;REGEXREPLACE(D451,"[^\d]","")&amp;"?text="&amp;ENCODEURL(M451),"واتساب 2"))</x:f>
      </x:c>
      <x:c r="O451" s="12" t="str">
        <x:f>IF(A451="","","مرحبًا "&amp;C451&amp;CHAR(10)&amp;CHAR(10)&amp;"إذا كانت التحديات لديكم تحتاج حلًا أشمل، فالبرنامج الكامل المناسب لكم هو: "&amp;H451&amp;"."&amp;IF(I451&lt;&gt;"",CHAR(10)&amp;"كما يمكنكم أيضًا حجز: "&amp;I451&amp;".","")&amp;IF(J451&lt;&gt;"",CHAR(10)&amp;CHAR(10)&amp;"رابط التقرير: "&amp;J451,"")&amp;CHAR(10)&amp;CHAR(10)&amp;"يسعدنا مساعدتكم في اختيار المسار الأنسب حسب وضع العيادة الحالي.")</x:f>
      </x:c>
      <x:c r="P451" s="12" t="str">
        <x:f>IF(D451="","",HYPERLINK("https://wa.me/"&amp;REGEXREPLACE(D451,"[^\d]","")&amp;"?text="&amp;ENCODEURL(O451),"واتساب 3"))</x:f>
      </x:c>
    </x:row>
    <x:row r="452" ht="15" hidden="0" customHeight="1">
      <x:c r="A452" s="12" t="str">
        <x:f>IF(Leads!A452="","",Leads!A452)</x:f>
      </x:c>
      <x:c r="B452" s="12" t="str">
        <x:f>IF(Leads!F452="","",Leads!F452)</x:f>
      </x:c>
      <x:c r="C452" s="12" t="str">
        <x:f>IF(Leads!G452="","",Leads!G452)</x:f>
      </x:c>
      <x:c r="D452" s="12" t="str">
        <x:f>IF(Leads!O452="","",Leads!O452)</x:f>
      </x:c>
      <x:c r="E452" s="12" t="str">
        <x:f>IF(Leads!AV452="","",Leads!AV452)</x:f>
      </x:c>
      <x:c r="F452" s="12" t="str">
        <x:f>IF(Leads!AX452="","",Leads!AX452)</x:f>
      </x:c>
      <x:c r="G452" s="12" t="str">
        <x:f>IF(Leads!BC452="","",Leads!BC452)</x:f>
      </x:c>
      <x:c r="H452" s="12" t="str">
        <x:f>IF(Leads!BE452="","",Leads!BE452)</x:f>
      </x:c>
      <x:c r="I452" s="12" t="str">
        <x:f>IF(Leads!BG452="","",Leads!BG452)</x:f>
      </x:c>
      <x:c r="J452" s="12" t="str">
        <x:f>IF(Leads!BH452="","",Leads!BH452)</x:f>
      </x:c>
      <x:c r="K452" s="12" t="str">
        <x:f>IF(A452="","","مرحبًا "&amp;C452&amp;CHAR(10)&amp;CHAR(10)&amp;"شكرًا لإتمام تقييم DBD الخاص بعيادة "&amp;B452&amp;"."&amp;CHAR(10)&amp;"نتيجتكم الحالية: "&amp;E452&amp;"%."&amp;CHAR(10)&amp;"أولوية التحسين الأولى: "&amp;F452&amp;"."&amp;IF(J452&lt;&gt;"",CHAR(10)&amp;CHAR(10)&amp;"رابط التقرير: "&amp;J452,"")&amp;CHAR(10)&amp;CHAR(10)&amp;"إذا أحببت، يمكننا مساعدتك في فهم التقرير وتحديد أفضل خطوة تالية لعيادتكم.")</x:f>
      </x:c>
      <x:c r="L452" s="12" t="str">
        <x:f>IF(D452="","",HYPERLINK("https://wa.me/"&amp;REGEXREPLACE(D452,"[^\d]","")&amp;"?text="&amp;ENCODEURL(K452),"واتساب 1"))</x:f>
      </x:c>
      <x:c r="M452" s="12" t="str">
        <x:f>IF(A452="","","مرحبًا "&amp;C452&amp;CHAR(10)&amp;CHAR(10)&amp;"بناءً على نتيجة تقييم عيادة "&amp;B452&amp;"، فإن الترشيح الأقوى لكم الآن هو: "&amp;G452&amp;"."&amp;CHAR(10)&amp;"هذا الخيار يساعدكم في معالجة أكبر فجوة حالية بشكل عملي ومباشر."&amp;IF(J452&lt;&gt;"",CHAR(10)&amp;CHAR(10)&amp;"رابط التقرير: "&amp;J452,"")&amp;CHAR(10)&amp;CHAR(10)&amp;"إذا رغبت، يمكننا توضيح لماذا هذا الكورس هو الأنسب لكم الآن.")</x:f>
      </x:c>
      <x:c r="N452" s="12" t="str">
        <x:f>IF(D452="","",HYPERLINK("https://wa.me/"&amp;REGEXREPLACE(D452,"[^\d]","")&amp;"?text="&amp;ENCODEURL(M452),"واتساب 2"))</x:f>
      </x:c>
      <x:c r="O452" s="12" t="str">
        <x:f>IF(A452="","","مرحبًا "&amp;C452&amp;CHAR(10)&amp;CHAR(10)&amp;"إذا كانت التحديات لديكم تحتاج حلًا أشمل، فالبرنامج الكامل المناسب لكم هو: "&amp;H452&amp;"."&amp;IF(I452&lt;&gt;"",CHAR(10)&amp;"كما يمكنكم أيضًا حجز: "&amp;I452&amp;".","")&amp;IF(J452&lt;&gt;"",CHAR(10)&amp;CHAR(10)&amp;"رابط التقرير: "&amp;J452,"")&amp;CHAR(10)&amp;CHAR(10)&amp;"يسعدنا مساعدتكم في اختيار المسار الأنسب حسب وضع العيادة الحالي.")</x:f>
      </x:c>
      <x:c r="P452" s="12" t="str">
        <x:f>IF(D452="","",HYPERLINK("https://wa.me/"&amp;REGEXREPLACE(D452,"[^\d]","")&amp;"?text="&amp;ENCODEURL(O452),"واتساب 3"))</x:f>
      </x:c>
    </x:row>
    <x:row r="453" ht="15" hidden="0" customHeight="1">
      <x:c r="A453" s="12" t="str">
        <x:f>IF(Leads!A453="","",Leads!A453)</x:f>
      </x:c>
      <x:c r="B453" s="12" t="str">
        <x:f>IF(Leads!F453="","",Leads!F453)</x:f>
      </x:c>
      <x:c r="C453" s="12" t="str">
        <x:f>IF(Leads!G453="","",Leads!G453)</x:f>
      </x:c>
      <x:c r="D453" s="12" t="str">
        <x:f>IF(Leads!O453="","",Leads!O453)</x:f>
      </x:c>
      <x:c r="E453" s="12" t="str">
        <x:f>IF(Leads!AV453="","",Leads!AV453)</x:f>
      </x:c>
      <x:c r="F453" s="12" t="str">
        <x:f>IF(Leads!AX453="","",Leads!AX453)</x:f>
      </x:c>
      <x:c r="G453" s="12" t="str">
        <x:f>IF(Leads!BC453="","",Leads!BC453)</x:f>
      </x:c>
      <x:c r="H453" s="12" t="str">
        <x:f>IF(Leads!BE453="","",Leads!BE453)</x:f>
      </x:c>
      <x:c r="I453" s="12" t="str">
        <x:f>IF(Leads!BG453="","",Leads!BG453)</x:f>
      </x:c>
      <x:c r="J453" s="12" t="str">
        <x:f>IF(Leads!BH453="","",Leads!BH453)</x:f>
      </x:c>
      <x:c r="K453" s="12" t="str">
        <x:f>IF(A453="","","مرحبًا "&amp;C453&amp;CHAR(10)&amp;CHAR(10)&amp;"شكرًا لإتمام تقييم DBD الخاص بعيادة "&amp;B453&amp;"."&amp;CHAR(10)&amp;"نتيجتكم الحالية: "&amp;E453&amp;"%."&amp;CHAR(10)&amp;"أولوية التحسين الأولى: "&amp;F453&amp;"."&amp;IF(J453&lt;&gt;"",CHAR(10)&amp;CHAR(10)&amp;"رابط التقرير: "&amp;J453,"")&amp;CHAR(10)&amp;CHAR(10)&amp;"إذا أحببت، يمكننا مساعدتك في فهم التقرير وتحديد أفضل خطوة تالية لعيادتكم.")</x:f>
      </x:c>
      <x:c r="L453" s="12" t="str">
        <x:f>IF(D453="","",HYPERLINK("https://wa.me/"&amp;REGEXREPLACE(D453,"[^\d]","")&amp;"?text="&amp;ENCODEURL(K453),"واتساب 1"))</x:f>
      </x:c>
      <x:c r="M453" s="12" t="str">
        <x:f>IF(A453="","","مرحبًا "&amp;C453&amp;CHAR(10)&amp;CHAR(10)&amp;"بناءً على نتيجة تقييم عيادة "&amp;B453&amp;"، فإن الترشيح الأقوى لكم الآن هو: "&amp;G453&amp;"."&amp;CHAR(10)&amp;"هذا الخيار يساعدكم في معالجة أكبر فجوة حالية بشكل عملي ومباشر."&amp;IF(J453&lt;&gt;"",CHAR(10)&amp;CHAR(10)&amp;"رابط التقرير: "&amp;J453,"")&amp;CHAR(10)&amp;CHAR(10)&amp;"إذا رغبت، يمكننا توضيح لماذا هذا الكورس هو الأنسب لكم الآن.")</x:f>
      </x:c>
      <x:c r="N453" s="12" t="str">
        <x:f>IF(D453="","",HYPERLINK("https://wa.me/"&amp;REGEXREPLACE(D453,"[^\d]","")&amp;"?text="&amp;ENCODEURL(M453),"واتساب 2"))</x:f>
      </x:c>
      <x:c r="O453" s="12" t="str">
        <x:f>IF(A453="","","مرحبًا "&amp;C453&amp;CHAR(10)&amp;CHAR(10)&amp;"إذا كانت التحديات لديكم تحتاج حلًا أشمل، فالبرنامج الكامل المناسب لكم هو: "&amp;H453&amp;"."&amp;IF(I453&lt;&gt;"",CHAR(10)&amp;"كما يمكنكم أيضًا حجز: "&amp;I453&amp;".","")&amp;IF(J453&lt;&gt;"",CHAR(10)&amp;CHAR(10)&amp;"رابط التقرير: "&amp;J453,"")&amp;CHAR(10)&amp;CHAR(10)&amp;"يسعدنا مساعدتكم في اختيار المسار الأنسب حسب وضع العيادة الحالي.")</x:f>
      </x:c>
      <x:c r="P453" s="12" t="str">
        <x:f>IF(D453="","",HYPERLINK("https://wa.me/"&amp;REGEXREPLACE(D453,"[^\d]","")&amp;"?text="&amp;ENCODEURL(O453),"واتساب 3"))</x:f>
      </x:c>
    </x:row>
    <x:row r="454" ht="15" hidden="0" customHeight="1">
      <x:c r="A454" s="12" t="str">
        <x:f>IF(Leads!A454="","",Leads!A454)</x:f>
      </x:c>
      <x:c r="B454" s="12" t="str">
        <x:f>IF(Leads!F454="","",Leads!F454)</x:f>
      </x:c>
      <x:c r="C454" s="12" t="str">
        <x:f>IF(Leads!G454="","",Leads!G454)</x:f>
      </x:c>
      <x:c r="D454" s="12" t="str">
        <x:f>IF(Leads!O454="","",Leads!O454)</x:f>
      </x:c>
      <x:c r="E454" s="12" t="str">
        <x:f>IF(Leads!AV454="","",Leads!AV454)</x:f>
      </x:c>
      <x:c r="F454" s="12" t="str">
        <x:f>IF(Leads!AX454="","",Leads!AX454)</x:f>
      </x:c>
      <x:c r="G454" s="12" t="str">
        <x:f>IF(Leads!BC454="","",Leads!BC454)</x:f>
      </x:c>
      <x:c r="H454" s="12" t="str">
        <x:f>IF(Leads!BE454="","",Leads!BE454)</x:f>
      </x:c>
      <x:c r="I454" s="12" t="str">
        <x:f>IF(Leads!BG454="","",Leads!BG454)</x:f>
      </x:c>
      <x:c r="J454" s="12" t="str">
        <x:f>IF(Leads!BH454="","",Leads!BH454)</x:f>
      </x:c>
      <x:c r="K454" s="12" t="str">
        <x:f>IF(A454="","","مرحبًا "&amp;C454&amp;CHAR(10)&amp;CHAR(10)&amp;"شكرًا لإتمام تقييم DBD الخاص بعيادة "&amp;B454&amp;"."&amp;CHAR(10)&amp;"نتيجتكم الحالية: "&amp;E454&amp;"%."&amp;CHAR(10)&amp;"أولوية التحسين الأولى: "&amp;F454&amp;"."&amp;IF(J454&lt;&gt;"",CHAR(10)&amp;CHAR(10)&amp;"رابط التقرير: "&amp;J454,"")&amp;CHAR(10)&amp;CHAR(10)&amp;"إذا أحببت، يمكننا مساعدتك في فهم التقرير وتحديد أفضل خطوة تالية لعيادتكم.")</x:f>
      </x:c>
      <x:c r="L454" s="12" t="str">
        <x:f>IF(D454="","",HYPERLINK("https://wa.me/"&amp;REGEXREPLACE(D454,"[^\d]","")&amp;"?text="&amp;ENCODEURL(K454),"واتساب 1"))</x:f>
      </x:c>
      <x:c r="M454" s="12" t="str">
        <x:f>IF(A454="","","مرحبًا "&amp;C454&amp;CHAR(10)&amp;CHAR(10)&amp;"بناءً على نتيجة تقييم عيادة "&amp;B454&amp;"، فإن الترشيح الأقوى لكم الآن هو: "&amp;G454&amp;"."&amp;CHAR(10)&amp;"هذا الخيار يساعدكم في معالجة أكبر فجوة حالية بشكل عملي ومباشر."&amp;IF(J454&lt;&gt;"",CHAR(10)&amp;CHAR(10)&amp;"رابط التقرير: "&amp;J454,"")&amp;CHAR(10)&amp;CHAR(10)&amp;"إذا رغبت، يمكننا توضيح لماذا هذا الكورس هو الأنسب لكم الآن.")</x:f>
      </x:c>
      <x:c r="N454" s="12" t="str">
        <x:f>IF(D454="","",HYPERLINK("https://wa.me/"&amp;REGEXREPLACE(D454,"[^\d]","")&amp;"?text="&amp;ENCODEURL(M454),"واتساب 2"))</x:f>
      </x:c>
      <x:c r="O454" s="12" t="str">
        <x:f>IF(A454="","","مرحبًا "&amp;C454&amp;CHAR(10)&amp;CHAR(10)&amp;"إذا كانت التحديات لديكم تحتاج حلًا أشمل، فالبرنامج الكامل المناسب لكم هو: "&amp;H454&amp;"."&amp;IF(I454&lt;&gt;"",CHAR(10)&amp;"كما يمكنكم أيضًا حجز: "&amp;I454&amp;".","")&amp;IF(J454&lt;&gt;"",CHAR(10)&amp;CHAR(10)&amp;"رابط التقرير: "&amp;J454,"")&amp;CHAR(10)&amp;CHAR(10)&amp;"يسعدنا مساعدتكم في اختيار المسار الأنسب حسب وضع العيادة الحالي.")</x:f>
      </x:c>
      <x:c r="P454" s="12" t="str">
        <x:f>IF(D454="","",HYPERLINK("https://wa.me/"&amp;REGEXREPLACE(D454,"[^\d]","")&amp;"?text="&amp;ENCODEURL(O454),"واتساب 3"))</x:f>
      </x:c>
    </x:row>
    <x:row r="455" ht="15" hidden="0" customHeight="1">
      <x:c r="A455" s="12" t="str">
        <x:f>IF(Leads!A455="","",Leads!A455)</x:f>
      </x:c>
      <x:c r="B455" s="12" t="str">
        <x:f>IF(Leads!F455="","",Leads!F455)</x:f>
      </x:c>
      <x:c r="C455" s="12" t="str">
        <x:f>IF(Leads!G455="","",Leads!G455)</x:f>
      </x:c>
      <x:c r="D455" s="12" t="str">
        <x:f>IF(Leads!O455="","",Leads!O455)</x:f>
      </x:c>
      <x:c r="E455" s="12" t="str">
        <x:f>IF(Leads!AV455="","",Leads!AV455)</x:f>
      </x:c>
      <x:c r="F455" s="12" t="str">
        <x:f>IF(Leads!AX455="","",Leads!AX455)</x:f>
      </x:c>
      <x:c r="G455" s="12" t="str">
        <x:f>IF(Leads!BC455="","",Leads!BC455)</x:f>
      </x:c>
      <x:c r="H455" s="12" t="str">
        <x:f>IF(Leads!BE455="","",Leads!BE455)</x:f>
      </x:c>
      <x:c r="I455" s="12" t="str">
        <x:f>IF(Leads!BG455="","",Leads!BG455)</x:f>
      </x:c>
      <x:c r="J455" s="12" t="str">
        <x:f>IF(Leads!BH455="","",Leads!BH455)</x:f>
      </x:c>
      <x:c r="K455" s="12" t="str">
        <x:f>IF(A455="","","مرحبًا "&amp;C455&amp;CHAR(10)&amp;CHAR(10)&amp;"شكرًا لإتمام تقييم DBD الخاص بعيادة "&amp;B455&amp;"."&amp;CHAR(10)&amp;"نتيجتكم الحالية: "&amp;E455&amp;"%."&amp;CHAR(10)&amp;"أولوية التحسين الأولى: "&amp;F455&amp;"."&amp;IF(J455&lt;&gt;"",CHAR(10)&amp;CHAR(10)&amp;"رابط التقرير: "&amp;J455,"")&amp;CHAR(10)&amp;CHAR(10)&amp;"إذا أحببت، يمكننا مساعدتك في فهم التقرير وتحديد أفضل خطوة تالية لعيادتكم.")</x:f>
      </x:c>
      <x:c r="L455" s="12" t="str">
        <x:f>IF(D455="","",HYPERLINK("https://wa.me/"&amp;REGEXREPLACE(D455,"[^\d]","")&amp;"?text="&amp;ENCODEURL(K455),"واتساب 1"))</x:f>
      </x:c>
      <x:c r="M455" s="12" t="str">
        <x:f>IF(A455="","","مرحبًا "&amp;C455&amp;CHAR(10)&amp;CHAR(10)&amp;"بناءً على نتيجة تقييم عيادة "&amp;B455&amp;"، فإن الترشيح الأقوى لكم الآن هو: "&amp;G455&amp;"."&amp;CHAR(10)&amp;"هذا الخيار يساعدكم في معالجة أكبر فجوة حالية بشكل عملي ومباشر."&amp;IF(J455&lt;&gt;"",CHAR(10)&amp;CHAR(10)&amp;"رابط التقرير: "&amp;J455,"")&amp;CHAR(10)&amp;CHAR(10)&amp;"إذا رغبت، يمكننا توضيح لماذا هذا الكورس هو الأنسب لكم الآن.")</x:f>
      </x:c>
      <x:c r="N455" s="12" t="str">
        <x:f>IF(D455="","",HYPERLINK("https://wa.me/"&amp;REGEXREPLACE(D455,"[^\d]","")&amp;"?text="&amp;ENCODEURL(M455),"واتساب 2"))</x:f>
      </x:c>
      <x:c r="O455" s="12" t="str">
        <x:f>IF(A455="","","مرحبًا "&amp;C455&amp;CHAR(10)&amp;CHAR(10)&amp;"إذا كانت التحديات لديكم تحتاج حلًا أشمل، فالبرنامج الكامل المناسب لكم هو: "&amp;H455&amp;"."&amp;IF(I455&lt;&gt;"",CHAR(10)&amp;"كما يمكنكم أيضًا حجز: "&amp;I455&amp;".","")&amp;IF(J455&lt;&gt;"",CHAR(10)&amp;CHAR(10)&amp;"رابط التقرير: "&amp;J455,"")&amp;CHAR(10)&amp;CHAR(10)&amp;"يسعدنا مساعدتكم في اختيار المسار الأنسب حسب وضع العيادة الحالي.")</x:f>
      </x:c>
      <x:c r="P455" s="12" t="str">
        <x:f>IF(D455="","",HYPERLINK("https://wa.me/"&amp;REGEXREPLACE(D455,"[^\d]","")&amp;"?text="&amp;ENCODEURL(O455),"واتساب 3"))</x:f>
      </x:c>
    </x:row>
    <x:row r="456" ht="15" hidden="0" customHeight="1">
      <x:c r="A456" s="12" t="str">
        <x:f>IF(Leads!A456="","",Leads!A456)</x:f>
      </x:c>
      <x:c r="B456" s="12" t="str">
        <x:f>IF(Leads!F456="","",Leads!F456)</x:f>
      </x:c>
      <x:c r="C456" s="12" t="str">
        <x:f>IF(Leads!G456="","",Leads!G456)</x:f>
      </x:c>
      <x:c r="D456" s="12" t="str">
        <x:f>IF(Leads!O456="","",Leads!O456)</x:f>
      </x:c>
      <x:c r="E456" s="12" t="str">
        <x:f>IF(Leads!AV456="","",Leads!AV456)</x:f>
      </x:c>
      <x:c r="F456" s="12" t="str">
        <x:f>IF(Leads!AX456="","",Leads!AX456)</x:f>
      </x:c>
      <x:c r="G456" s="12" t="str">
        <x:f>IF(Leads!BC456="","",Leads!BC456)</x:f>
      </x:c>
      <x:c r="H456" s="12" t="str">
        <x:f>IF(Leads!BE456="","",Leads!BE456)</x:f>
      </x:c>
      <x:c r="I456" s="12" t="str">
        <x:f>IF(Leads!BG456="","",Leads!BG456)</x:f>
      </x:c>
      <x:c r="J456" s="12" t="str">
        <x:f>IF(Leads!BH456="","",Leads!BH456)</x:f>
      </x:c>
      <x:c r="K456" s="12" t="str">
        <x:f>IF(A456="","","مرحبًا "&amp;C456&amp;CHAR(10)&amp;CHAR(10)&amp;"شكرًا لإتمام تقييم DBD الخاص بعيادة "&amp;B456&amp;"."&amp;CHAR(10)&amp;"نتيجتكم الحالية: "&amp;E456&amp;"%."&amp;CHAR(10)&amp;"أولوية التحسين الأولى: "&amp;F456&amp;"."&amp;IF(J456&lt;&gt;"",CHAR(10)&amp;CHAR(10)&amp;"رابط التقرير: "&amp;J456,"")&amp;CHAR(10)&amp;CHAR(10)&amp;"إذا أحببت، يمكننا مساعدتك في فهم التقرير وتحديد أفضل خطوة تالية لعيادتكم.")</x:f>
      </x:c>
      <x:c r="L456" s="12" t="str">
        <x:f>IF(D456="","",HYPERLINK("https://wa.me/"&amp;REGEXREPLACE(D456,"[^\d]","")&amp;"?text="&amp;ENCODEURL(K456),"واتساب 1"))</x:f>
      </x:c>
      <x:c r="M456" s="12" t="str">
        <x:f>IF(A456="","","مرحبًا "&amp;C456&amp;CHAR(10)&amp;CHAR(10)&amp;"بناءً على نتيجة تقييم عيادة "&amp;B456&amp;"، فإن الترشيح الأقوى لكم الآن هو: "&amp;G456&amp;"."&amp;CHAR(10)&amp;"هذا الخيار يساعدكم في معالجة أكبر فجوة حالية بشكل عملي ومباشر."&amp;IF(J456&lt;&gt;"",CHAR(10)&amp;CHAR(10)&amp;"رابط التقرير: "&amp;J456,"")&amp;CHAR(10)&amp;CHAR(10)&amp;"إذا رغبت، يمكننا توضيح لماذا هذا الكورس هو الأنسب لكم الآن.")</x:f>
      </x:c>
      <x:c r="N456" s="12" t="str">
        <x:f>IF(D456="","",HYPERLINK("https://wa.me/"&amp;REGEXREPLACE(D456,"[^\d]","")&amp;"?text="&amp;ENCODEURL(M456),"واتساب 2"))</x:f>
      </x:c>
      <x:c r="O456" s="12" t="str">
        <x:f>IF(A456="","","مرحبًا "&amp;C456&amp;CHAR(10)&amp;CHAR(10)&amp;"إذا كانت التحديات لديكم تحتاج حلًا أشمل، فالبرنامج الكامل المناسب لكم هو: "&amp;H456&amp;"."&amp;IF(I456&lt;&gt;"",CHAR(10)&amp;"كما يمكنكم أيضًا حجز: "&amp;I456&amp;".","")&amp;IF(J456&lt;&gt;"",CHAR(10)&amp;CHAR(10)&amp;"رابط التقرير: "&amp;J456,"")&amp;CHAR(10)&amp;CHAR(10)&amp;"يسعدنا مساعدتكم في اختيار المسار الأنسب حسب وضع العيادة الحالي.")</x:f>
      </x:c>
      <x:c r="P456" s="12" t="str">
        <x:f>IF(D456="","",HYPERLINK("https://wa.me/"&amp;REGEXREPLACE(D456,"[^\d]","")&amp;"?text="&amp;ENCODEURL(O456),"واتساب 3"))</x:f>
      </x:c>
    </x:row>
    <x:row r="457" ht="15" hidden="0" customHeight="1">
      <x:c r="A457" s="12" t="str">
        <x:f>IF(Leads!A457="","",Leads!A457)</x:f>
      </x:c>
      <x:c r="B457" s="12" t="str">
        <x:f>IF(Leads!F457="","",Leads!F457)</x:f>
      </x:c>
      <x:c r="C457" s="12" t="str">
        <x:f>IF(Leads!G457="","",Leads!G457)</x:f>
      </x:c>
      <x:c r="D457" s="12" t="str">
        <x:f>IF(Leads!O457="","",Leads!O457)</x:f>
      </x:c>
      <x:c r="E457" s="12" t="str">
        <x:f>IF(Leads!AV457="","",Leads!AV457)</x:f>
      </x:c>
      <x:c r="F457" s="12" t="str">
        <x:f>IF(Leads!AX457="","",Leads!AX457)</x:f>
      </x:c>
      <x:c r="G457" s="12" t="str">
        <x:f>IF(Leads!BC457="","",Leads!BC457)</x:f>
      </x:c>
      <x:c r="H457" s="12" t="str">
        <x:f>IF(Leads!BE457="","",Leads!BE457)</x:f>
      </x:c>
      <x:c r="I457" s="12" t="str">
        <x:f>IF(Leads!BG457="","",Leads!BG457)</x:f>
      </x:c>
      <x:c r="J457" s="12" t="str">
        <x:f>IF(Leads!BH457="","",Leads!BH457)</x:f>
      </x:c>
      <x:c r="K457" s="12" t="str">
        <x:f>IF(A457="","","مرحبًا "&amp;C457&amp;CHAR(10)&amp;CHAR(10)&amp;"شكرًا لإتمام تقييم DBD الخاص بعيادة "&amp;B457&amp;"."&amp;CHAR(10)&amp;"نتيجتكم الحالية: "&amp;E457&amp;"%."&amp;CHAR(10)&amp;"أولوية التحسين الأولى: "&amp;F457&amp;"."&amp;IF(J457&lt;&gt;"",CHAR(10)&amp;CHAR(10)&amp;"رابط التقرير: "&amp;J457,"")&amp;CHAR(10)&amp;CHAR(10)&amp;"إذا أحببت، يمكننا مساعدتك في فهم التقرير وتحديد أفضل خطوة تالية لعيادتكم.")</x:f>
      </x:c>
      <x:c r="L457" s="12" t="str">
        <x:f>IF(D457="","",HYPERLINK("https://wa.me/"&amp;REGEXREPLACE(D457,"[^\d]","")&amp;"?text="&amp;ENCODEURL(K457),"واتساب 1"))</x:f>
      </x:c>
      <x:c r="M457" s="12" t="str">
        <x:f>IF(A457="","","مرحبًا "&amp;C457&amp;CHAR(10)&amp;CHAR(10)&amp;"بناءً على نتيجة تقييم عيادة "&amp;B457&amp;"، فإن الترشيح الأقوى لكم الآن هو: "&amp;G457&amp;"."&amp;CHAR(10)&amp;"هذا الخيار يساعدكم في معالجة أكبر فجوة حالية بشكل عملي ومباشر."&amp;IF(J457&lt;&gt;"",CHAR(10)&amp;CHAR(10)&amp;"رابط التقرير: "&amp;J457,"")&amp;CHAR(10)&amp;CHAR(10)&amp;"إذا رغبت، يمكننا توضيح لماذا هذا الكورس هو الأنسب لكم الآن.")</x:f>
      </x:c>
      <x:c r="N457" s="12" t="str">
        <x:f>IF(D457="","",HYPERLINK("https://wa.me/"&amp;REGEXREPLACE(D457,"[^\d]","")&amp;"?text="&amp;ENCODEURL(M457),"واتساب 2"))</x:f>
      </x:c>
      <x:c r="O457" s="12" t="str">
        <x:f>IF(A457="","","مرحبًا "&amp;C457&amp;CHAR(10)&amp;CHAR(10)&amp;"إذا كانت التحديات لديكم تحتاج حلًا أشمل، فالبرنامج الكامل المناسب لكم هو: "&amp;H457&amp;"."&amp;IF(I457&lt;&gt;"",CHAR(10)&amp;"كما يمكنكم أيضًا حجز: "&amp;I457&amp;".","")&amp;IF(J457&lt;&gt;"",CHAR(10)&amp;CHAR(10)&amp;"رابط التقرير: "&amp;J457,"")&amp;CHAR(10)&amp;CHAR(10)&amp;"يسعدنا مساعدتكم في اختيار المسار الأنسب حسب وضع العيادة الحالي.")</x:f>
      </x:c>
      <x:c r="P457" s="12" t="str">
        <x:f>IF(D457="","",HYPERLINK("https://wa.me/"&amp;REGEXREPLACE(D457,"[^\d]","")&amp;"?text="&amp;ENCODEURL(O457),"واتساب 3"))</x:f>
      </x:c>
    </x:row>
    <x:row r="458" ht="15" hidden="0" customHeight="1">
      <x:c r="A458" s="12" t="str">
        <x:f>IF(Leads!A458="","",Leads!A458)</x:f>
      </x:c>
      <x:c r="B458" s="12" t="str">
        <x:f>IF(Leads!F458="","",Leads!F458)</x:f>
      </x:c>
      <x:c r="C458" s="12" t="str">
        <x:f>IF(Leads!G458="","",Leads!G458)</x:f>
      </x:c>
      <x:c r="D458" s="12" t="str">
        <x:f>IF(Leads!O458="","",Leads!O458)</x:f>
      </x:c>
      <x:c r="E458" s="12" t="str">
        <x:f>IF(Leads!AV458="","",Leads!AV458)</x:f>
      </x:c>
      <x:c r="F458" s="12" t="str">
        <x:f>IF(Leads!AX458="","",Leads!AX458)</x:f>
      </x:c>
      <x:c r="G458" s="12" t="str">
        <x:f>IF(Leads!BC458="","",Leads!BC458)</x:f>
      </x:c>
      <x:c r="H458" s="12" t="str">
        <x:f>IF(Leads!BE458="","",Leads!BE458)</x:f>
      </x:c>
      <x:c r="I458" s="12" t="str">
        <x:f>IF(Leads!BG458="","",Leads!BG458)</x:f>
      </x:c>
      <x:c r="J458" s="12" t="str">
        <x:f>IF(Leads!BH458="","",Leads!BH458)</x:f>
      </x:c>
      <x:c r="K458" s="12" t="str">
        <x:f>IF(A458="","","مرحبًا "&amp;C458&amp;CHAR(10)&amp;CHAR(10)&amp;"شكرًا لإتمام تقييم DBD الخاص بعيادة "&amp;B458&amp;"."&amp;CHAR(10)&amp;"نتيجتكم الحالية: "&amp;E458&amp;"%."&amp;CHAR(10)&amp;"أولوية التحسين الأولى: "&amp;F458&amp;"."&amp;IF(J458&lt;&gt;"",CHAR(10)&amp;CHAR(10)&amp;"رابط التقرير: "&amp;J458,"")&amp;CHAR(10)&amp;CHAR(10)&amp;"إذا أحببت، يمكننا مساعدتك في فهم التقرير وتحديد أفضل خطوة تالية لعيادتكم.")</x:f>
      </x:c>
      <x:c r="L458" s="12" t="str">
        <x:f>IF(D458="","",HYPERLINK("https://wa.me/"&amp;REGEXREPLACE(D458,"[^\d]","")&amp;"?text="&amp;ENCODEURL(K458),"واتساب 1"))</x:f>
      </x:c>
      <x:c r="M458" s="12" t="str">
        <x:f>IF(A458="","","مرحبًا "&amp;C458&amp;CHAR(10)&amp;CHAR(10)&amp;"بناءً على نتيجة تقييم عيادة "&amp;B458&amp;"، فإن الترشيح الأقوى لكم الآن هو: "&amp;G458&amp;"."&amp;CHAR(10)&amp;"هذا الخيار يساعدكم في معالجة أكبر فجوة حالية بشكل عملي ومباشر."&amp;IF(J458&lt;&gt;"",CHAR(10)&amp;CHAR(10)&amp;"رابط التقرير: "&amp;J458,"")&amp;CHAR(10)&amp;CHAR(10)&amp;"إذا رغبت، يمكننا توضيح لماذا هذا الكورس هو الأنسب لكم الآن.")</x:f>
      </x:c>
      <x:c r="N458" s="12" t="str">
        <x:f>IF(D458="","",HYPERLINK("https://wa.me/"&amp;REGEXREPLACE(D458,"[^\d]","")&amp;"?text="&amp;ENCODEURL(M458),"واتساب 2"))</x:f>
      </x:c>
      <x:c r="O458" s="12" t="str">
        <x:f>IF(A458="","","مرحبًا "&amp;C458&amp;CHAR(10)&amp;CHAR(10)&amp;"إذا كانت التحديات لديكم تحتاج حلًا أشمل، فالبرنامج الكامل المناسب لكم هو: "&amp;H458&amp;"."&amp;IF(I458&lt;&gt;"",CHAR(10)&amp;"كما يمكنكم أيضًا حجز: "&amp;I458&amp;".","")&amp;IF(J458&lt;&gt;"",CHAR(10)&amp;CHAR(10)&amp;"رابط التقرير: "&amp;J458,"")&amp;CHAR(10)&amp;CHAR(10)&amp;"يسعدنا مساعدتكم في اختيار المسار الأنسب حسب وضع العيادة الحالي.")</x:f>
      </x:c>
      <x:c r="P458" s="12" t="str">
        <x:f>IF(D458="","",HYPERLINK("https://wa.me/"&amp;REGEXREPLACE(D458,"[^\d]","")&amp;"?text="&amp;ENCODEURL(O458),"واتساب 3"))</x:f>
      </x:c>
    </x:row>
    <x:row r="459" ht="15" hidden="0" customHeight="1">
      <x:c r="A459" s="12" t="str">
        <x:f>IF(Leads!A459="","",Leads!A459)</x:f>
      </x:c>
      <x:c r="B459" s="12" t="str">
        <x:f>IF(Leads!F459="","",Leads!F459)</x:f>
      </x:c>
      <x:c r="C459" s="12" t="str">
        <x:f>IF(Leads!G459="","",Leads!G459)</x:f>
      </x:c>
      <x:c r="D459" s="12" t="str">
        <x:f>IF(Leads!O459="","",Leads!O459)</x:f>
      </x:c>
      <x:c r="E459" s="12" t="str">
        <x:f>IF(Leads!AV459="","",Leads!AV459)</x:f>
      </x:c>
      <x:c r="F459" s="12" t="str">
        <x:f>IF(Leads!AX459="","",Leads!AX459)</x:f>
      </x:c>
      <x:c r="G459" s="12" t="str">
        <x:f>IF(Leads!BC459="","",Leads!BC459)</x:f>
      </x:c>
      <x:c r="H459" s="12" t="str">
        <x:f>IF(Leads!BE459="","",Leads!BE459)</x:f>
      </x:c>
      <x:c r="I459" s="12" t="str">
        <x:f>IF(Leads!BG459="","",Leads!BG459)</x:f>
      </x:c>
      <x:c r="J459" s="12" t="str">
        <x:f>IF(Leads!BH459="","",Leads!BH459)</x:f>
      </x:c>
      <x:c r="K459" s="12" t="str">
        <x:f>IF(A459="","","مرحبًا "&amp;C459&amp;CHAR(10)&amp;CHAR(10)&amp;"شكرًا لإتمام تقييم DBD الخاص بعيادة "&amp;B459&amp;"."&amp;CHAR(10)&amp;"نتيجتكم الحالية: "&amp;E459&amp;"%."&amp;CHAR(10)&amp;"أولوية التحسين الأولى: "&amp;F459&amp;"."&amp;IF(J459&lt;&gt;"",CHAR(10)&amp;CHAR(10)&amp;"رابط التقرير: "&amp;J459,"")&amp;CHAR(10)&amp;CHAR(10)&amp;"إذا أحببت، يمكننا مساعدتك في فهم التقرير وتحديد أفضل خطوة تالية لعيادتكم.")</x:f>
      </x:c>
      <x:c r="L459" s="12" t="str">
        <x:f>IF(D459="","",HYPERLINK("https://wa.me/"&amp;REGEXREPLACE(D459,"[^\d]","")&amp;"?text="&amp;ENCODEURL(K459),"واتساب 1"))</x:f>
      </x:c>
      <x:c r="M459" s="12" t="str">
        <x:f>IF(A459="","","مرحبًا "&amp;C459&amp;CHAR(10)&amp;CHAR(10)&amp;"بناءً على نتيجة تقييم عيادة "&amp;B459&amp;"، فإن الترشيح الأقوى لكم الآن هو: "&amp;G459&amp;"."&amp;CHAR(10)&amp;"هذا الخيار يساعدكم في معالجة أكبر فجوة حالية بشكل عملي ومباشر."&amp;IF(J459&lt;&gt;"",CHAR(10)&amp;CHAR(10)&amp;"رابط التقرير: "&amp;J459,"")&amp;CHAR(10)&amp;CHAR(10)&amp;"إذا رغبت، يمكننا توضيح لماذا هذا الكورس هو الأنسب لكم الآن.")</x:f>
      </x:c>
      <x:c r="N459" s="12" t="str">
        <x:f>IF(D459="","",HYPERLINK("https://wa.me/"&amp;REGEXREPLACE(D459,"[^\d]","")&amp;"?text="&amp;ENCODEURL(M459),"واتساب 2"))</x:f>
      </x:c>
      <x:c r="O459" s="12" t="str">
        <x:f>IF(A459="","","مرحبًا "&amp;C459&amp;CHAR(10)&amp;CHAR(10)&amp;"إذا كانت التحديات لديكم تحتاج حلًا أشمل، فالبرنامج الكامل المناسب لكم هو: "&amp;H459&amp;"."&amp;IF(I459&lt;&gt;"",CHAR(10)&amp;"كما يمكنكم أيضًا حجز: "&amp;I459&amp;".","")&amp;IF(J459&lt;&gt;"",CHAR(10)&amp;CHAR(10)&amp;"رابط التقرير: "&amp;J459,"")&amp;CHAR(10)&amp;CHAR(10)&amp;"يسعدنا مساعدتكم في اختيار المسار الأنسب حسب وضع العيادة الحالي.")</x:f>
      </x:c>
      <x:c r="P459" s="12" t="str">
        <x:f>IF(D459="","",HYPERLINK("https://wa.me/"&amp;REGEXREPLACE(D459,"[^\d]","")&amp;"?text="&amp;ENCODEURL(O459),"واتساب 3"))</x:f>
      </x:c>
    </x:row>
    <x:row r="460" ht="15" hidden="0" customHeight="1">
      <x:c r="A460" s="12" t="str">
        <x:f>IF(Leads!A460="","",Leads!A460)</x:f>
      </x:c>
      <x:c r="B460" s="12" t="str">
        <x:f>IF(Leads!F460="","",Leads!F460)</x:f>
      </x:c>
      <x:c r="C460" s="12" t="str">
        <x:f>IF(Leads!G460="","",Leads!G460)</x:f>
      </x:c>
      <x:c r="D460" s="12" t="str">
        <x:f>IF(Leads!O460="","",Leads!O460)</x:f>
      </x:c>
      <x:c r="E460" s="12" t="str">
        <x:f>IF(Leads!AV460="","",Leads!AV460)</x:f>
      </x:c>
      <x:c r="F460" s="12" t="str">
        <x:f>IF(Leads!AX460="","",Leads!AX460)</x:f>
      </x:c>
      <x:c r="G460" s="12" t="str">
        <x:f>IF(Leads!BC460="","",Leads!BC460)</x:f>
      </x:c>
      <x:c r="H460" s="12" t="str">
        <x:f>IF(Leads!BE460="","",Leads!BE460)</x:f>
      </x:c>
      <x:c r="I460" s="12" t="str">
        <x:f>IF(Leads!BG460="","",Leads!BG460)</x:f>
      </x:c>
      <x:c r="J460" s="12" t="str">
        <x:f>IF(Leads!BH460="","",Leads!BH460)</x:f>
      </x:c>
      <x:c r="K460" s="12" t="str">
        <x:f>IF(A460="","","مرحبًا "&amp;C460&amp;CHAR(10)&amp;CHAR(10)&amp;"شكرًا لإتمام تقييم DBD الخاص بعيادة "&amp;B460&amp;"."&amp;CHAR(10)&amp;"نتيجتكم الحالية: "&amp;E460&amp;"%."&amp;CHAR(10)&amp;"أولوية التحسين الأولى: "&amp;F460&amp;"."&amp;IF(J460&lt;&gt;"",CHAR(10)&amp;CHAR(10)&amp;"رابط التقرير: "&amp;J460,"")&amp;CHAR(10)&amp;CHAR(10)&amp;"إذا أحببت، يمكننا مساعدتك في فهم التقرير وتحديد أفضل خطوة تالية لعيادتكم.")</x:f>
      </x:c>
      <x:c r="L460" s="12" t="str">
        <x:f>IF(D460="","",HYPERLINK("https://wa.me/"&amp;REGEXREPLACE(D460,"[^\d]","")&amp;"?text="&amp;ENCODEURL(K460),"واتساب 1"))</x:f>
      </x:c>
      <x:c r="M460" s="12" t="str">
        <x:f>IF(A460="","","مرحبًا "&amp;C460&amp;CHAR(10)&amp;CHAR(10)&amp;"بناءً على نتيجة تقييم عيادة "&amp;B460&amp;"، فإن الترشيح الأقوى لكم الآن هو: "&amp;G460&amp;"."&amp;CHAR(10)&amp;"هذا الخيار يساعدكم في معالجة أكبر فجوة حالية بشكل عملي ومباشر."&amp;IF(J460&lt;&gt;"",CHAR(10)&amp;CHAR(10)&amp;"رابط التقرير: "&amp;J460,"")&amp;CHAR(10)&amp;CHAR(10)&amp;"إذا رغبت، يمكننا توضيح لماذا هذا الكورس هو الأنسب لكم الآن.")</x:f>
      </x:c>
      <x:c r="N460" s="12" t="str">
        <x:f>IF(D460="","",HYPERLINK("https://wa.me/"&amp;REGEXREPLACE(D460,"[^\d]","")&amp;"?text="&amp;ENCODEURL(M460),"واتساب 2"))</x:f>
      </x:c>
      <x:c r="O460" s="12" t="str">
        <x:f>IF(A460="","","مرحبًا "&amp;C460&amp;CHAR(10)&amp;CHAR(10)&amp;"إذا كانت التحديات لديكم تحتاج حلًا أشمل، فالبرنامج الكامل المناسب لكم هو: "&amp;H460&amp;"."&amp;IF(I460&lt;&gt;"",CHAR(10)&amp;"كما يمكنكم أيضًا حجز: "&amp;I460&amp;".","")&amp;IF(J460&lt;&gt;"",CHAR(10)&amp;CHAR(10)&amp;"رابط التقرير: "&amp;J460,"")&amp;CHAR(10)&amp;CHAR(10)&amp;"يسعدنا مساعدتكم في اختيار المسار الأنسب حسب وضع العيادة الحالي.")</x:f>
      </x:c>
      <x:c r="P460" s="12" t="str">
        <x:f>IF(D460="","",HYPERLINK("https://wa.me/"&amp;REGEXREPLACE(D460,"[^\d]","")&amp;"?text="&amp;ENCODEURL(O460),"واتساب 3"))</x:f>
      </x:c>
    </x:row>
    <x:row r="461" ht="15" hidden="0" customHeight="1">
      <x:c r="A461" s="12" t="str">
        <x:f>IF(Leads!A461="","",Leads!A461)</x:f>
      </x:c>
      <x:c r="B461" s="12" t="str">
        <x:f>IF(Leads!F461="","",Leads!F461)</x:f>
      </x:c>
      <x:c r="C461" s="12" t="str">
        <x:f>IF(Leads!G461="","",Leads!G461)</x:f>
      </x:c>
      <x:c r="D461" s="12" t="str">
        <x:f>IF(Leads!O461="","",Leads!O461)</x:f>
      </x:c>
      <x:c r="E461" s="12" t="str">
        <x:f>IF(Leads!AV461="","",Leads!AV461)</x:f>
      </x:c>
      <x:c r="F461" s="12" t="str">
        <x:f>IF(Leads!AX461="","",Leads!AX461)</x:f>
      </x:c>
      <x:c r="G461" s="12" t="str">
        <x:f>IF(Leads!BC461="","",Leads!BC461)</x:f>
      </x:c>
      <x:c r="H461" s="12" t="str">
        <x:f>IF(Leads!BE461="","",Leads!BE461)</x:f>
      </x:c>
      <x:c r="I461" s="12" t="str">
        <x:f>IF(Leads!BG461="","",Leads!BG461)</x:f>
      </x:c>
      <x:c r="J461" s="12" t="str">
        <x:f>IF(Leads!BH461="","",Leads!BH461)</x:f>
      </x:c>
      <x:c r="K461" s="12" t="str">
        <x:f>IF(A461="","","مرحبًا "&amp;C461&amp;CHAR(10)&amp;CHAR(10)&amp;"شكرًا لإتمام تقييم DBD الخاص بعيادة "&amp;B461&amp;"."&amp;CHAR(10)&amp;"نتيجتكم الحالية: "&amp;E461&amp;"%."&amp;CHAR(10)&amp;"أولوية التحسين الأولى: "&amp;F461&amp;"."&amp;IF(J461&lt;&gt;"",CHAR(10)&amp;CHAR(10)&amp;"رابط التقرير: "&amp;J461,"")&amp;CHAR(10)&amp;CHAR(10)&amp;"إذا أحببت، يمكننا مساعدتك في فهم التقرير وتحديد أفضل خطوة تالية لعيادتكم.")</x:f>
      </x:c>
      <x:c r="L461" s="12" t="str">
        <x:f>IF(D461="","",HYPERLINK("https://wa.me/"&amp;REGEXREPLACE(D461,"[^\d]","")&amp;"?text="&amp;ENCODEURL(K461),"واتساب 1"))</x:f>
      </x:c>
      <x:c r="M461" s="12" t="str">
        <x:f>IF(A461="","","مرحبًا "&amp;C461&amp;CHAR(10)&amp;CHAR(10)&amp;"بناءً على نتيجة تقييم عيادة "&amp;B461&amp;"، فإن الترشيح الأقوى لكم الآن هو: "&amp;G461&amp;"."&amp;CHAR(10)&amp;"هذا الخيار يساعدكم في معالجة أكبر فجوة حالية بشكل عملي ومباشر."&amp;IF(J461&lt;&gt;"",CHAR(10)&amp;CHAR(10)&amp;"رابط التقرير: "&amp;J461,"")&amp;CHAR(10)&amp;CHAR(10)&amp;"إذا رغبت، يمكننا توضيح لماذا هذا الكورس هو الأنسب لكم الآن.")</x:f>
      </x:c>
      <x:c r="N461" s="12" t="str">
        <x:f>IF(D461="","",HYPERLINK("https://wa.me/"&amp;REGEXREPLACE(D461,"[^\d]","")&amp;"?text="&amp;ENCODEURL(M461),"واتساب 2"))</x:f>
      </x:c>
      <x:c r="O461" s="12" t="str">
        <x:f>IF(A461="","","مرحبًا "&amp;C461&amp;CHAR(10)&amp;CHAR(10)&amp;"إذا كانت التحديات لديكم تحتاج حلًا أشمل، فالبرنامج الكامل المناسب لكم هو: "&amp;H461&amp;"."&amp;IF(I461&lt;&gt;"",CHAR(10)&amp;"كما يمكنكم أيضًا حجز: "&amp;I461&amp;".","")&amp;IF(J461&lt;&gt;"",CHAR(10)&amp;CHAR(10)&amp;"رابط التقرير: "&amp;J461,"")&amp;CHAR(10)&amp;CHAR(10)&amp;"يسعدنا مساعدتكم في اختيار المسار الأنسب حسب وضع العيادة الحالي.")</x:f>
      </x:c>
      <x:c r="P461" s="12" t="str">
        <x:f>IF(D461="","",HYPERLINK("https://wa.me/"&amp;REGEXREPLACE(D461,"[^\d]","")&amp;"?text="&amp;ENCODEURL(O461),"واتساب 3"))</x:f>
      </x:c>
    </x:row>
    <x:row r="462" ht="15" hidden="0" customHeight="1">
      <x:c r="A462" s="12" t="str">
        <x:f>IF(Leads!A462="","",Leads!A462)</x:f>
      </x:c>
      <x:c r="B462" s="12" t="str">
        <x:f>IF(Leads!F462="","",Leads!F462)</x:f>
      </x:c>
      <x:c r="C462" s="12" t="str">
        <x:f>IF(Leads!G462="","",Leads!G462)</x:f>
      </x:c>
      <x:c r="D462" s="12" t="str">
        <x:f>IF(Leads!O462="","",Leads!O462)</x:f>
      </x:c>
      <x:c r="E462" s="12" t="str">
        <x:f>IF(Leads!AV462="","",Leads!AV462)</x:f>
      </x:c>
      <x:c r="F462" s="12" t="str">
        <x:f>IF(Leads!AX462="","",Leads!AX462)</x:f>
      </x:c>
      <x:c r="G462" s="12" t="str">
        <x:f>IF(Leads!BC462="","",Leads!BC462)</x:f>
      </x:c>
      <x:c r="H462" s="12" t="str">
        <x:f>IF(Leads!BE462="","",Leads!BE462)</x:f>
      </x:c>
      <x:c r="I462" s="12" t="str">
        <x:f>IF(Leads!BG462="","",Leads!BG462)</x:f>
      </x:c>
      <x:c r="J462" s="12" t="str">
        <x:f>IF(Leads!BH462="","",Leads!BH462)</x:f>
      </x:c>
      <x:c r="K462" s="12" t="str">
        <x:f>IF(A462="","","مرحبًا "&amp;C462&amp;CHAR(10)&amp;CHAR(10)&amp;"شكرًا لإتمام تقييم DBD الخاص بعيادة "&amp;B462&amp;"."&amp;CHAR(10)&amp;"نتيجتكم الحالية: "&amp;E462&amp;"%."&amp;CHAR(10)&amp;"أولوية التحسين الأولى: "&amp;F462&amp;"."&amp;IF(J462&lt;&gt;"",CHAR(10)&amp;CHAR(10)&amp;"رابط التقرير: "&amp;J462,"")&amp;CHAR(10)&amp;CHAR(10)&amp;"إذا أحببت، يمكننا مساعدتك في فهم التقرير وتحديد أفضل خطوة تالية لعيادتكم.")</x:f>
      </x:c>
      <x:c r="L462" s="12" t="str">
        <x:f>IF(D462="","",HYPERLINK("https://wa.me/"&amp;REGEXREPLACE(D462,"[^\d]","")&amp;"?text="&amp;ENCODEURL(K462),"واتساب 1"))</x:f>
      </x:c>
      <x:c r="M462" s="12" t="str">
        <x:f>IF(A462="","","مرحبًا "&amp;C462&amp;CHAR(10)&amp;CHAR(10)&amp;"بناءً على نتيجة تقييم عيادة "&amp;B462&amp;"، فإن الترشيح الأقوى لكم الآن هو: "&amp;G462&amp;"."&amp;CHAR(10)&amp;"هذا الخيار يساعدكم في معالجة أكبر فجوة حالية بشكل عملي ومباشر."&amp;IF(J462&lt;&gt;"",CHAR(10)&amp;CHAR(10)&amp;"رابط التقرير: "&amp;J462,"")&amp;CHAR(10)&amp;CHAR(10)&amp;"إذا رغبت، يمكننا توضيح لماذا هذا الكورس هو الأنسب لكم الآن.")</x:f>
      </x:c>
      <x:c r="N462" s="12" t="str">
        <x:f>IF(D462="","",HYPERLINK("https://wa.me/"&amp;REGEXREPLACE(D462,"[^\d]","")&amp;"?text="&amp;ENCODEURL(M462),"واتساب 2"))</x:f>
      </x:c>
      <x:c r="O462" s="12" t="str">
        <x:f>IF(A462="","","مرحبًا "&amp;C462&amp;CHAR(10)&amp;CHAR(10)&amp;"إذا كانت التحديات لديكم تحتاج حلًا أشمل، فالبرنامج الكامل المناسب لكم هو: "&amp;H462&amp;"."&amp;IF(I462&lt;&gt;"",CHAR(10)&amp;"كما يمكنكم أيضًا حجز: "&amp;I462&amp;".","")&amp;IF(J462&lt;&gt;"",CHAR(10)&amp;CHAR(10)&amp;"رابط التقرير: "&amp;J462,"")&amp;CHAR(10)&amp;CHAR(10)&amp;"يسعدنا مساعدتكم في اختيار المسار الأنسب حسب وضع العيادة الحالي.")</x:f>
      </x:c>
      <x:c r="P462" s="12" t="str">
        <x:f>IF(D462="","",HYPERLINK("https://wa.me/"&amp;REGEXREPLACE(D462,"[^\d]","")&amp;"?text="&amp;ENCODEURL(O462),"واتساب 3"))</x:f>
      </x:c>
    </x:row>
    <x:row r="463" ht="15" hidden="0" customHeight="1">
      <x:c r="A463" s="12" t="str">
        <x:f>IF(Leads!A463="","",Leads!A463)</x:f>
      </x:c>
      <x:c r="B463" s="12" t="str">
        <x:f>IF(Leads!F463="","",Leads!F463)</x:f>
      </x:c>
      <x:c r="C463" s="12" t="str">
        <x:f>IF(Leads!G463="","",Leads!G463)</x:f>
      </x:c>
      <x:c r="D463" s="12" t="str">
        <x:f>IF(Leads!O463="","",Leads!O463)</x:f>
      </x:c>
      <x:c r="E463" s="12" t="str">
        <x:f>IF(Leads!AV463="","",Leads!AV463)</x:f>
      </x:c>
      <x:c r="F463" s="12" t="str">
        <x:f>IF(Leads!AX463="","",Leads!AX463)</x:f>
      </x:c>
      <x:c r="G463" s="12" t="str">
        <x:f>IF(Leads!BC463="","",Leads!BC463)</x:f>
      </x:c>
      <x:c r="H463" s="12" t="str">
        <x:f>IF(Leads!BE463="","",Leads!BE463)</x:f>
      </x:c>
      <x:c r="I463" s="12" t="str">
        <x:f>IF(Leads!BG463="","",Leads!BG463)</x:f>
      </x:c>
      <x:c r="J463" s="12" t="str">
        <x:f>IF(Leads!BH463="","",Leads!BH463)</x:f>
      </x:c>
      <x:c r="K463" s="12" t="str">
        <x:f>IF(A463="","","مرحبًا "&amp;C463&amp;CHAR(10)&amp;CHAR(10)&amp;"شكرًا لإتمام تقييم DBD الخاص بعيادة "&amp;B463&amp;"."&amp;CHAR(10)&amp;"نتيجتكم الحالية: "&amp;E463&amp;"%."&amp;CHAR(10)&amp;"أولوية التحسين الأولى: "&amp;F463&amp;"."&amp;IF(J463&lt;&gt;"",CHAR(10)&amp;CHAR(10)&amp;"رابط التقرير: "&amp;J463,"")&amp;CHAR(10)&amp;CHAR(10)&amp;"إذا أحببت، يمكننا مساعدتك في فهم التقرير وتحديد أفضل خطوة تالية لعيادتكم.")</x:f>
      </x:c>
      <x:c r="L463" s="12" t="str">
        <x:f>IF(D463="","",HYPERLINK("https://wa.me/"&amp;REGEXREPLACE(D463,"[^\d]","")&amp;"?text="&amp;ENCODEURL(K463),"واتساب 1"))</x:f>
      </x:c>
      <x:c r="M463" s="12" t="str">
        <x:f>IF(A463="","","مرحبًا "&amp;C463&amp;CHAR(10)&amp;CHAR(10)&amp;"بناءً على نتيجة تقييم عيادة "&amp;B463&amp;"، فإن الترشيح الأقوى لكم الآن هو: "&amp;G463&amp;"."&amp;CHAR(10)&amp;"هذا الخيار يساعدكم في معالجة أكبر فجوة حالية بشكل عملي ومباشر."&amp;IF(J463&lt;&gt;"",CHAR(10)&amp;CHAR(10)&amp;"رابط التقرير: "&amp;J463,"")&amp;CHAR(10)&amp;CHAR(10)&amp;"إذا رغبت، يمكننا توضيح لماذا هذا الكورس هو الأنسب لكم الآن.")</x:f>
      </x:c>
      <x:c r="N463" s="12" t="str">
        <x:f>IF(D463="","",HYPERLINK("https://wa.me/"&amp;REGEXREPLACE(D463,"[^\d]","")&amp;"?text="&amp;ENCODEURL(M463),"واتساب 2"))</x:f>
      </x:c>
      <x:c r="O463" s="12" t="str">
        <x:f>IF(A463="","","مرحبًا "&amp;C463&amp;CHAR(10)&amp;CHAR(10)&amp;"إذا كانت التحديات لديكم تحتاج حلًا أشمل، فالبرنامج الكامل المناسب لكم هو: "&amp;H463&amp;"."&amp;IF(I463&lt;&gt;"",CHAR(10)&amp;"كما يمكنكم أيضًا حجز: "&amp;I463&amp;".","")&amp;IF(J463&lt;&gt;"",CHAR(10)&amp;CHAR(10)&amp;"رابط التقرير: "&amp;J463,"")&amp;CHAR(10)&amp;CHAR(10)&amp;"يسعدنا مساعدتكم في اختيار المسار الأنسب حسب وضع العيادة الحالي.")</x:f>
      </x:c>
      <x:c r="P463" s="12" t="str">
        <x:f>IF(D463="","",HYPERLINK("https://wa.me/"&amp;REGEXREPLACE(D463,"[^\d]","")&amp;"?text="&amp;ENCODEURL(O463),"واتساب 3"))</x:f>
      </x:c>
    </x:row>
    <x:row r="464" ht="15" hidden="0" customHeight="1">
      <x:c r="A464" s="12" t="str">
        <x:f>IF(Leads!A464="","",Leads!A464)</x:f>
      </x:c>
      <x:c r="B464" s="12" t="str">
        <x:f>IF(Leads!F464="","",Leads!F464)</x:f>
      </x:c>
      <x:c r="C464" s="12" t="str">
        <x:f>IF(Leads!G464="","",Leads!G464)</x:f>
      </x:c>
      <x:c r="D464" s="12" t="str">
        <x:f>IF(Leads!O464="","",Leads!O464)</x:f>
      </x:c>
      <x:c r="E464" s="12" t="str">
        <x:f>IF(Leads!AV464="","",Leads!AV464)</x:f>
      </x:c>
      <x:c r="F464" s="12" t="str">
        <x:f>IF(Leads!AX464="","",Leads!AX464)</x:f>
      </x:c>
      <x:c r="G464" s="12" t="str">
        <x:f>IF(Leads!BC464="","",Leads!BC464)</x:f>
      </x:c>
      <x:c r="H464" s="12" t="str">
        <x:f>IF(Leads!BE464="","",Leads!BE464)</x:f>
      </x:c>
      <x:c r="I464" s="12" t="str">
        <x:f>IF(Leads!BG464="","",Leads!BG464)</x:f>
      </x:c>
      <x:c r="J464" s="12" t="str">
        <x:f>IF(Leads!BH464="","",Leads!BH464)</x:f>
      </x:c>
      <x:c r="K464" s="12" t="str">
        <x:f>IF(A464="","","مرحبًا "&amp;C464&amp;CHAR(10)&amp;CHAR(10)&amp;"شكرًا لإتمام تقييم DBD الخاص بعيادة "&amp;B464&amp;"."&amp;CHAR(10)&amp;"نتيجتكم الحالية: "&amp;E464&amp;"%."&amp;CHAR(10)&amp;"أولوية التحسين الأولى: "&amp;F464&amp;"."&amp;IF(J464&lt;&gt;"",CHAR(10)&amp;CHAR(10)&amp;"رابط التقرير: "&amp;J464,"")&amp;CHAR(10)&amp;CHAR(10)&amp;"إذا أحببت، يمكننا مساعدتك في فهم التقرير وتحديد أفضل خطوة تالية لعيادتكم.")</x:f>
      </x:c>
      <x:c r="L464" s="12" t="str">
        <x:f>IF(D464="","",HYPERLINK("https://wa.me/"&amp;REGEXREPLACE(D464,"[^\d]","")&amp;"?text="&amp;ENCODEURL(K464),"واتساب 1"))</x:f>
      </x:c>
      <x:c r="M464" s="12" t="str">
        <x:f>IF(A464="","","مرحبًا "&amp;C464&amp;CHAR(10)&amp;CHAR(10)&amp;"بناءً على نتيجة تقييم عيادة "&amp;B464&amp;"، فإن الترشيح الأقوى لكم الآن هو: "&amp;G464&amp;"."&amp;CHAR(10)&amp;"هذا الخيار يساعدكم في معالجة أكبر فجوة حالية بشكل عملي ومباشر."&amp;IF(J464&lt;&gt;"",CHAR(10)&amp;CHAR(10)&amp;"رابط التقرير: "&amp;J464,"")&amp;CHAR(10)&amp;CHAR(10)&amp;"إذا رغبت، يمكننا توضيح لماذا هذا الكورس هو الأنسب لكم الآن.")</x:f>
      </x:c>
      <x:c r="N464" s="12" t="str">
        <x:f>IF(D464="","",HYPERLINK("https://wa.me/"&amp;REGEXREPLACE(D464,"[^\d]","")&amp;"?text="&amp;ENCODEURL(M464),"واتساب 2"))</x:f>
      </x:c>
      <x:c r="O464" s="12" t="str">
        <x:f>IF(A464="","","مرحبًا "&amp;C464&amp;CHAR(10)&amp;CHAR(10)&amp;"إذا كانت التحديات لديكم تحتاج حلًا أشمل، فالبرنامج الكامل المناسب لكم هو: "&amp;H464&amp;"."&amp;IF(I464&lt;&gt;"",CHAR(10)&amp;"كما يمكنكم أيضًا حجز: "&amp;I464&amp;".","")&amp;IF(J464&lt;&gt;"",CHAR(10)&amp;CHAR(10)&amp;"رابط التقرير: "&amp;J464,"")&amp;CHAR(10)&amp;CHAR(10)&amp;"يسعدنا مساعدتكم في اختيار المسار الأنسب حسب وضع العيادة الحالي.")</x:f>
      </x:c>
      <x:c r="P464" s="12" t="str">
        <x:f>IF(D464="","",HYPERLINK("https://wa.me/"&amp;REGEXREPLACE(D464,"[^\d]","")&amp;"?text="&amp;ENCODEURL(O464),"واتساب 3"))</x:f>
      </x:c>
    </x:row>
    <x:row r="465" ht="15" hidden="0" customHeight="1">
      <x:c r="A465" s="12" t="str">
        <x:f>IF(Leads!A465="","",Leads!A465)</x:f>
      </x:c>
      <x:c r="B465" s="12" t="str">
        <x:f>IF(Leads!F465="","",Leads!F465)</x:f>
      </x:c>
      <x:c r="C465" s="12" t="str">
        <x:f>IF(Leads!G465="","",Leads!G465)</x:f>
      </x:c>
      <x:c r="D465" s="12" t="str">
        <x:f>IF(Leads!O465="","",Leads!O465)</x:f>
      </x:c>
      <x:c r="E465" s="12" t="str">
        <x:f>IF(Leads!AV465="","",Leads!AV465)</x:f>
      </x:c>
      <x:c r="F465" s="12" t="str">
        <x:f>IF(Leads!AX465="","",Leads!AX465)</x:f>
      </x:c>
      <x:c r="G465" s="12" t="str">
        <x:f>IF(Leads!BC465="","",Leads!BC465)</x:f>
      </x:c>
      <x:c r="H465" s="12" t="str">
        <x:f>IF(Leads!BE465="","",Leads!BE465)</x:f>
      </x:c>
      <x:c r="I465" s="12" t="str">
        <x:f>IF(Leads!BG465="","",Leads!BG465)</x:f>
      </x:c>
      <x:c r="J465" s="12" t="str">
        <x:f>IF(Leads!BH465="","",Leads!BH465)</x:f>
      </x:c>
      <x:c r="K465" s="12" t="str">
        <x:f>IF(A465="","","مرحبًا "&amp;C465&amp;CHAR(10)&amp;CHAR(10)&amp;"شكرًا لإتمام تقييم DBD الخاص بعيادة "&amp;B465&amp;"."&amp;CHAR(10)&amp;"نتيجتكم الحالية: "&amp;E465&amp;"%."&amp;CHAR(10)&amp;"أولوية التحسين الأولى: "&amp;F465&amp;"."&amp;IF(J465&lt;&gt;"",CHAR(10)&amp;CHAR(10)&amp;"رابط التقرير: "&amp;J465,"")&amp;CHAR(10)&amp;CHAR(10)&amp;"إذا أحببت، يمكننا مساعدتك في فهم التقرير وتحديد أفضل خطوة تالية لعيادتكم.")</x:f>
      </x:c>
      <x:c r="L465" s="12" t="str">
        <x:f>IF(D465="","",HYPERLINK("https://wa.me/"&amp;REGEXREPLACE(D465,"[^\d]","")&amp;"?text="&amp;ENCODEURL(K465),"واتساب 1"))</x:f>
      </x:c>
      <x:c r="M465" s="12" t="str">
        <x:f>IF(A465="","","مرحبًا "&amp;C465&amp;CHAR(10)&amp;CHAR(10)&amp;"بناءً على نتيجة تقييم عيادة "&amp;B465&amp;"، فإن الترشيح الأقوى لكم الآن هو: "&amp;G465&amp;"."&amp;CHAR(10)&amp;"هذا الخيار يساعدكم في معالجة أكبر فجوة حالية بشكل عملي ومباشر."&amp;IF(J465&lt;&gt;"",CHAR(10)&amp;CHAR(10)&amp;"رابط التقرير: "&amp;J465,"")&amp;CHAR(10)&amp;CHAR(10)&amp;"إذا رغبت، يمكننا توضيح لماذا هذا الكورس هو الأنسب لكم الآن.")</x:f>
      </x:c>
      <x:c r="N465" s="12" t="str">
        <x:f>IF(D465="","",HYPERLINK("https://wa.me/"&amp;REGEXREPLACE(D465,"[^\d]","")&amp;"?text="&amp;ENCODEURL(M465),"واتساب 2"))</x:f>
      </x:c>
      <x:c r="O465" s="12" t="str">
        <x:f>IF(A465="","","مرحبًا "&amp;C465&amp;CHAR(10)&amp;CHAR(10)&amp;"إذا كانت التحديات لديكم تحتاج حلًا أشمل، فالبرنامج الكامل المناسب لكم هو: "&amp;H465&amp;"."&amp;IF(I465&lt;&gt;"",CHAR(10)&amp;"كما يمكنكم أيضًا حجز: "&amp;I465&amp;".","")&amp;IF(J465&lt;&gt;"",CHAR(10)&amp;CHAR(10)&amp;"رابط التقرير: "&amp;J465,"")&amp;CHAR(10)&amp;CHAR(10)&amp;"يسعدنا مساعدتكم في اختيار المسار الأنسب حسب وضع العيادة الحالي.")</x:f>
      </x:c>
      <x:c r="P465" s="12" t="str">
        <x:f>IF(D465="","",HYPERLINK("https://wa.me/"&amp;REGEXREPLACE(D465,"[^\d]","")&amp;"?text="&amp;ENCODEURL(O465),"واتساب 3"))</x:f>
      </x:c>
    </x:row>
    <x:row r="466" ht="15" hidden="0" customHeight="1">
      <x:c r="A466" s="12" t="str">
        <x:f>IF(Leads!A466="","",Leads!A466)</x:f>
      </x:c>
      <x:c r="B466" s="12" t="str">
        <x:f>IF(Leads!F466="","",Leads!F466)</x:f>
      </x:c>
      <x:c r="C466" s="12" t="str">
        <x:f>IF(Leads!G466="","",Leads!G466)</x:f>
      </x:c>
      <x:c r="D466" s="12" t="str">
        <x:f>IF(Leads!O466="","",Leads!O466)</x:f>
      </x:c>
      <x:c r="E466" s="12" t="str">
        <x:f>IF(Leads!AV466="","",Leads!AV466)</x:f>
      </x:c>
      <x:c r="F466" s="12" t="str">
        <x:f>IF(Leads!AX466="","",Leads!AX466)</x:f>
      </x:c>
      <x:c r="G466" s="12" t="str">
        <x:f>IF(Leads!BC466="","",Leads!BC466)</x:f>
      </x:c>
      <x:c r="H466" s="12" t="str">
        <x:f>IF(Leads!BE466="","",Leads!BE466)</x:f>
      </x:c>
      <x:c r="I466" s="12" t="str">
        <x:f>IF(Leads!BG466="","",Leads!BG466)</x:f>
      </x:c>
      <x:c r="J466" s="12" t="str">
        <x:f>IF(Leads!BH466="","",Leads!BH466)</x:f>
      </x:c>
      <x:c r="K466" s="12" t="str">
        <x:f>IF(A466="","","مرحبًا "&amp;C466&amp;CHAR(10)&amp;CHAR(10)&amp;"شكرًا لإتمام تقييم DBD الخاص بعيادة "&amp;B466&amp;"."&amp;CHAR(10)&amp;"نتيجتكم الحالية: "&amp;E466&amp;"%."&amp;CHAR(10)&amp;"أولوية التحسين الأولى: "&amp;F466&amp;"."&amp;IF(J466&lt;&gt;"",CHAR(10)&amp;CHAR(10)&amp;"رابط التقرير: "&amp;J466,"")&amp;CHAR(10)&amp;CHAR(10)&amp;"إذا أحببت، يمكننا مساعدتك في فهم التقرير وتحديد أفضل خطوة تالية لعيادتكم.")</x:f>
      </x:c>
      <x:c r="L466" s="12" t="str">
        <x:f>IF(D466="","",HYPERLINK("https://wa.me/"&amp;REGEXREPLACE(D466,"[^\d]","")&amp;"?text="&amp;ENCODEURL(K466),"واتساب 1"))</x:f>
      </x:c>
      <x:c r="M466" s="12" t="str">
        <x:f>IF(A466="","","مرحبًا "&amp;C466&amp;CHAR(10)&amp;CHAR(10)&amp;"بناءً على نتيجة تقييم عيادة "&amp;B466&amp;"، فإن الترشيح الأقوى لكم الآن هو: "&amp;G466&amp;"."&amp;CHAR(10)&amp;"هذا الخيار يساعدكم في معالجة أكبر فجوة حالية بشكل عملي ومباشر."&amp;IF(J466&lt;&gt;"",CHAR(10)&amp;CHAR(10)&amp;"رابط التقرير: "&amp;J466,"")&amp;CHAR(10)&amp;CHAR(10)&amp;"إذا رغبت، يمكننا توضيح لماذا هذا الكورس هو الأنسب لكم الآن.")</x:f>
      </x:c>
      <x:c r="N466" s="12" t="str">
        <x:f>IF(D466="","",HYPERLINK("https://wa.me/"&amp;REGEXREPLACE(D466,"[^\d]","")&amp;"?text="&amp;ENCODEURL(M466),"واتساب 2"))</x:f>
      </x:c>
      <x:c r="O466" s="12" t="str">
        <x:f>IF(A466="","","مرحبًا "&amp;C466&amp;CHAR(10)&amp;CHAR(10)&amp;"إذا كانت التحديات لديكم تحتاج حلًا أشمل، فالبرنامج الكامل المناسب لكم هو: "&amp;H466&amp;"."&amp;IF(I466&lt;&gt;"",CHAR(10)&amp;"كما يمكنكم أيضًا حجز: "&amp;I466&amp;".","")&amp;IF(J466&lt;&gt;"",CHAR(10)&amp;CHAR(10)&amp;"رابط التقرير: "&amp;J466,"")&amp;CHAR(10)&amp;CHAR(10)&amp;"يسعدنا مساعدتكم في اختيار المسار الأنسب حسب وضع العيادة الحالي.")</x:f>
      </x:c>
      <x:c r="P466" s="12" t="str">
        <x:f>IF(D466="","",HYPERLINK("https://wa.me/"&amp;REGEXREPLACE(D466,"[^\d]","")&amp;"?text="&amp;ENCODEURL(O466),"واتساب 3"))</x:f>
      </x:c>
    </x:row>
    <x:row r="467" ht="15" hidden="0" customHeight="1">
      <x:c r="A467" s="12" t="str">
        <x:f>IF(Leads!A467="","",Leads!A467)</x:f>
      </x:c>
      <x:c r="B467" s="12" t="str">
        <x:f>IF(Leads!F467="","",Leads!F467)</x:f>
      </x:c>
      <x:c r="C467" s="12" t="str">
        <x:f>IF(Leads!G467="","",Leads!G467)</x:f>
      </x:c>
      <x:c r="D467" s="12" t="str">
        <x:f>IF(Leads!O467="","",Leads!O467)</x:f>
      </x:c>
      <x:c r="E467" s="12" t="str">
        <x:f>IF(Leads!AV467="","",Leads!AV467)</x:f>
      </x:c>
      <x:c r="F467" s="12" t="str">
        <x:f>IF(Leads!AX467="","",Leads!AX467)</x:f>
      </x:c>
      <x:c r="G467" s="12" t="str">
        <x:f>IF(Leads!BC467="","",Leads!BC467)</x:f>
      </x:c>
      <x:c r="H467" s="12" t="str">
        <x:f>IF(Leads!BE467="","",Leads!BE467)</x:f>
      </x:c>
      <x:c r="I467" s="12" t="str">
        <x:f>IF(Leads!BG467="","",Leads!BG467)</x:f>
      </x:c>
      <x:c r="J467" s="12" t="str">
        <x:f>IF(Leads!BH467="","",Leads!BH467)</x:f>
      </x:c>
      <x:c r="K467" s="12" t="str">
        <x:f>IF(A467="","","مرحبًا "&amp;C467&amp;CHAR(10)&amp;CHAR(10)&amp;"شكرًا لإتمام تقييم DBD الخاص بعيادة "&amp;B467&amp;"."&amp;CHAR(10)&amp;"نتيجتكم الحالية: "&amp;E467&amp;"%."&amp;CHAR(10)&amp;"أولوية التحسين الأولى: "&amp;F467&amp;"."&amp;IF(J467&lt;&gt;"",CHAR(10)&amp;CHAR(10)&amp;"رابط التقرير: "&amp;J467,"")&amp;CHAR(10)&amp;CHAR(10)&amp;"إذا أحببت، يمكننا مساعدتك في فهم التقرير وتحديد أفضل خطوة تالية لعيادتكم.")</x:f>
      </x:c>
      <x:c r="L467" s="12" t="str">
        <x:f>IF(D467="","",HYPERLINK("https://wa.me/"&amp;REGEXREPLACE(D467,"[^\d]","")&amp;"?text="&amp;ENCODEURL(K467),"واتساب 1"))</x:f>
      </x:c>
      <x:c r="M467" s="12" t="str">
        <x:f>IF(A467="","","مرحبًا "&amp;C467&amp;CHAR(10)&amp;CHAR(10)&amp;"بناءً على نتيجة تقييم عيادة "&amp;B467&amp;"، فإن الترشيح الأقوى لكم الآن هو: "&amp;G467&amp;"."&amp;CHAR(10)&amp;"هذا الخيار يساعدكم في معالجة أكبر فجوة حالية بشكل عملي ومباشر."&amp;IF(J467&lt;&gt;"",CHAR(10)&amp;CHAR(10)&amp;"رابط التقرير: "&amp;J467,"")&amp;CHAR(10)&amp;CHAR(10)&amp;"إذا رغبت، يمكننا توضيح لماذا هذا الكورس هو الأنسب لكم الآن.")</x:f>
      </x:c>
      <x:c r="N467" s="12" t="str">
        <x:f>IF(D467="","",HYPERLINK("https://wa.me/"&amp;REGEXREPLACE(D467,"[^\d]","")&amp;"?text="&amp;ENCODEURL(M467),"واتساب 2"))</x:f>
      </x:c>
      <x:c r="O467" s="12" t="str">
        <x:f>IF(A467="","","مرحبًا "&amp;C467&amp;CHAR(10)&amp;CHAR(10)&amp;"إذا كانت التحديات لديكم تحتاج حلًا أشمل، فالبرنامج الكامل المناسب لكم هو: "&amp;H467&amp;"."&amp;IF(I467&lt;&gt;"",CHAR(10)&amp;"كما يمكنكم أيضًا حجز: "&amp;I467&amp;".","")&amp;IF(J467&lt;&gt;"",CHAR(10)&amp;CHAR(10)&amp;"رابط التقرير: "&amp;J467,"")&amp;CHAR(10)&amp;CHAR(10)&amp;"يسعدنا مساعدتكم في اختيار المسار الأنسب حسب وضع العيادة الحالي.")</x:f>
      </x:c>
      <x:c r="P467" s="12" t="str">
        <x:f>IF(D467="","",HYPERLINK("https://wa.me/"&amp;REGEXREPLACE(D467,"[^\d]","")&amp;"?text="&amp;ENCODEURL(O467),"واتساب 3"))</x:f>
      </x:c>
    </x:row>
    <x:row r="468" ht="15" hidden="0" customHeight="1">
      <x:c r="A468" s="12" t="str">
        <x:f>IF(Leads!A468="","",Leads!A468)</x:f>
      </x:c>
      <x:c r="B468" s="12" t="str">
        <x:f>IF(Leads!F468="","",Leads!F468)</x:f>
      </x:c>
      <x:c r="C468" s="12" t="str">
        <x:f>IF(Leads!G468="","",Leads!G468)</x:f>
      </x:c>
      <x:c r="D468" s="12" t="str">
        <x:f>IF(Leads!O468="","",Leads!O468)</x:f>
      </x:c>
      <x:c r="E468" s="12" t="str">
        <x:f>IF(Leads!AV468="","",Leads!AV468)</x:f>
      </x:c>
      <x:c r="F468" s="12" t="str">
        <x:f>IF(Leads!AX468="","",Leads!AX468)</x:f>
      </x:c>
      <x:c r="G468" s="12" t="str">
        <x:f>IF(Leads!BC468="","",Leads!BC468)</x:f>
      </x:c>
      <x:c r="H468" s="12" t="str">
        <x:f>IF(Leads!BE468="","",Leads!BE468)</x:f>
      </x:c>
      <x:c r="I468" s="12" t="str">
        <x:f>IF(Leads!BG468="","",Leads!BG468)</x:f>
      </x:c>
      <x:c r="J468" s="12" t="str">
        <x:f>IF(Leads!BH468="","",Leads!BH468)</x:f>
      </x:c>
      <x:c r="K468" s="12" t="str">
        <x:f>IF(A468="","","مرحبًا "&amp;C468&amp;CHAR(10)&amp;CHAR(10)&amp;"شكرًا لإتمام تقييم DBD الخاص بعيادة "&amp;B468&amp;"."&amp;CHAR(10)&amp;"نتيجتكم الحالية: "&amp;E468&amp;"%."&amp;CHAR(10)&amp;"أولوية التحسين الأولى: "&amp;F468&amp;"."&amp;IF(J468&lt;&gt;"",CHAR(10)&amp;CHAR(10)&amp;"رابط التقرير: "&amp;J468,"")&amp;CHAR(10)&amp;CHAR(10)&amp;"إذا أحببت، يمكننا مساعدتك في فهم التقرير وتحديد أفضل خطوة تالية لعيادتكم.")</x:f>
      </x:c>
      <x:c r="L468" s="12" t="str">
        <x:f>IF(D468="","",HYPERLINK("https://wa.me/"&amp;REGEXREPLACE(D468,"[^\d]","")&amp;"?text="&amp;ENCODEURL(K468),"واتساب 1"))</x:f>
      </x:c>
      <x:c r="M468" s="12" t="str">
        <x:f>IF(A468="","","مرحبًا "&amp;C468&amp;CHAR(10)&amp;CHAR(10)&amp;"بناءً على نتيجة تقييم عيادة "&amp;B468&amp;"، فإن الترشيح الأقوى لكم الآن هو: "&amp;G468&amp;"."&amp;CHAR(10)&amp;"هذا الخيار يساعدكم في معالجة أكبر فجوة حالية بشكل عملي ومباشر."&amp;IF(J468&lt;&gt;"",CHAR(10)&amp;CHAR(10)&amp;"رابط التقرير: "&amp;J468,"")&amp;CHAR(10)&amp;CHAR(10)&amp;"إذا رغبت، يمكننا توضيح لماذا هذا الكورس هو الأنسب لكم الآن.")</x:f>
      </x:c>
      <x:c r="N468" s="12" t="str">
        <x:f>IF(D468="","",HYPERLINK("https://wa.me/"&amp;REGEXREPLACE(D468,"[^\d]","")&amp;"?text="&amp;ENCODEURL(M468),"واتساب 2"))</x:f>
      </x:c>
      <x:c r="O468" s="12" t="str">
        <x:f>IF(A468="","","مرحبًا "&amp;C468&amp;CHAR(10)&amp;CHAR(10)&amp;"إذا كانت التحديات لديكم تحتاج حلًا أشمل، فالبرنامج الكامل المناسب لكم هو: "&amp;H468&amp;"."&amp;IF(I468&lt;&gt;"",CHAR(10)&amp;"كما يمكنكم أيضًا حجز: "&amp;I468&amp;".","")&amp;IF(J468&lt;&gt;"",CHAR(10)&amp;CHAR(10)&amp;"رابط التقرير: "&amp;J468,"")&amp;CHAR(10)&amp;CHAR(10)&amp;"يسعدنا مساعدتكم في اختيار المسار الأنسب حسب وضع العيادة الحالي.")</x:f>
      </x:c>
      <x:c r="P468" s="12" t="str">
        <x:f>IF(D468="","",HYPERLINK("https://wa.me/"&amp;REGEXREPLACE(D468,"[^\d]","")&amp;"?text="&amp;ENCODEURL(O468),"واتساب 3"))</x:f>
      </x:c>
    </x:row>
    <x:row r="469" ht="15" hidden="0" customHeight="1">
      <x:c r="A469" s="12" t="str">
        <x:f>IF(Leads!A469="","",Leads!A469)</x:f>
      </x:c>
      <x:c r="B469" s="12" t="str">
        <x:f>IF(Leads!F469="","",Leads!F469)</x:f>
      </x:c>
      <x:c r="C469" s="12" t="str">
        <x:f>IF(Leads!G469="","",Leads!G469)</x:f>
      </x:c>
      <x:c r="D469" s="12" t="str">
        <x:f>IF(Leads!O469="","",Leads!O469)</x:f>
      </x:c>
      <x:c r="E469" s="12" t="str">
        <x:f>IF(Leads!AV469="","",Leads!AV469)</x:f>
      </x:c>
      <x:c r="F469" s="12" t="str">
        <x:f>IF(Leads!AX469="","",Leads!AX469)</x:f>
      </x:c>
      <x:c r="G469" s="12" t="str">
        <x:f>IF(Leads!BC469="","",Leads!BC469)</x:f>
      </x:c>
      <x:c r="H469" s="12" t="str">
        <x:f>IF(Leads!BE469="","",Leads!BE469)</x:f>
      </x:c>
      <x:c r="I469" s="12" t="str">
        <x:f>IF(Leads!BG469="","",Leads!BG469)</x:f>
      </x:c>
      <x:c r="J469" s="12" t="str">
        <x:f>IF(Leads!BH469="","",Leads!BH469)</x:f>
      </x:c>
      <x:c r="K469" s="12" t="str">
        <x:f>IF(A469="","","مرحبًا "&amp;C469&amp;CHAR(10)&amp;CHAR(10)&amp;"شكرًا لإتمام تقييم DBD الخاص بعيادة "&amp;B469&amp;"."&amp;CHAR(10)&amp;"نتيجتكم الحالية: "&amp;E469&amp;"%."&amp;CHAR(10)&amp;"أولوية التحسين الأولى: "&amp;F469&amp;"."&amp;IF(J469&lt;&gt;"",CHAR(10)&amp;CHAR(10)&amp;"رابط التقرير: "&amp;J469,"")&amp;CHAR(10)&amp;CHAR(10)&amp;"إذا أحببت، يمكننا مساعدتك في فهم التقرير وتحديد أفضل خطوة تالية لعيادتكم.")</x:f>
      </x:c>
      <x:c r="L469" s="12" t="str">
        <x:f>IF(D469="","",HYPERLINK("https://wa.me/"&amp;REGEXREPLACE(D469,"[^\d]","")&amp;"?text="&amp;ENCODEURL(K469),"واتساب 1"))</x:f>
      </x:c>
      <x:c r="M469" s="12" t="str">
        <x:f>IF(A469="","","مرحبًا "&amp;C469&amp;CHAR(10)&amp;CHAR(10)&amp;"بناءً على نتيجة تقييم عيادة "&amp;B469&amp;"، فإن الترشيح الأقوى لكم الآن هو: "&amp;G469&amp;"."&amp;CHAR(10)&amp;"هذا الخيار يساعدكم في معالجة أكبر فجوة حالية بشكل عملي ومباشر."&amp;IF(J469&lt;&gt;"",CHAR(10)&amp;CHAR(10)&amp;"رابط التقرير: "&amp;J469,"")&amp;CHAR(10)&amp;CHAR(10)&amp;"إذا رغبت، يمكننا توضيح لماذا هذا الكورس هو الأنسب لكم الآن.")</x:f>
      </x:c>
      <x:c r="N469" s="12" t="str">
        <x:f>IF(D469="","",HYPERLINK("https://wa.me/"&amp;REGEXREPLACE(D469,"[^\d]","")&amp;"?text="&amp;ENCODEURL(M469),"واتساب 2"))</x:f>
      </x:c>
      <x:c r="O469" s="12" t="str">
        <x:f>IF(A469="","","مرحبًا "&amp;C469&amp;CHAR(10)&amp;CHAR(10)&amp;"إذا كانت التحديات لديكم تحتاج حلًا أشمل، فالبرنامج الكامل المناسب لكم هو: "&amp;H469&amp;"."&amp;IF(I469&lt;&gt;"",CHAR(10)&amp;"كما يمكنكم أيضًا حجز: "&amp;I469&amp;".","")&amp;IF(J469&lt;&gt;"",CHAR(10)&amp;CHAR(10)&amp;"رابط التقرير: "&amp;J469,"")&amp;CHAR(10)&amp;CHAR(10)&amp;"يسعدنا مساعدتكم في اختيار المسار الأنسب حسب وضع العيادة الحالي.")</x:f>
      </x:c>
      <x:c r="P469" s="12" t="str">
        <x:f>IF(D469="","",HYPERLINK("https://wa.me/"&amp;REGEXREPLACE(D469,"[^\d]","")&amp;"?text="&amp;ENCODEURL(O469),"واتساب 3"))</x:f>
      </x:c>
    </x:row>
    <x:row r="470" ht="15" hidden="0" customHeight="1">
      <x:c r="A470" s="12" t="str">
        <x:f>IF(Leads!A470="","",Leads!A470)</x:f>
      </x:c>
      <x:c r="B470" s="12" t="str">
        <x:f>IF(Leads!F470="","",Leads!F470)</x:f>
      </x:c>
      <x:c r="C470" s="12" t="str">
        <x:f>IF(Leads!G470="","",Leads!G470)</x:f>
      </x:c>
      <x:c r="D470" s="12" t="str">
        <x:f>IF(Leads!O470="","",Leads!O470)</x:f>
      </x:c>
      <x:c r="E470" s="12" t="str">
        <x:f>IF(Leads!AV470="","",Leads!AV470)</x:f>
      </x:c>
      <x:c r="F470" s="12" t="str">
        <x:f>IF(Leads!AX470="","",Leads!AX470)</x:f>
      </x:c>
      <x:c r="G470" s="12" t="str">
        <x:f>IF(Leads!BC470="","",Leads!BC470)</x:f>
      </x:c>
      <x:c r="H470" s="12" t="str">
        <x:f>IF(Leads!BE470="","",Leads!BE470)</x:f>
      </x:c>
      <x:c r="I470" s="12" t="str">
        <x:f>IF(Leads!BG470="","",Leads!BG470)</x:f>
      </x:c>
      <x:c r="J470" s="12" t="str">
        <x:f>IF(Leads!BH470="","",Leads!BH470)</x:f>
      </x:c>
      <x:c r="K470" s="12" t="str">
        <x:f>IF(A470="","","مرحبًا "&amp;C470&amp;CHAR(10)&amp;CHAR(10)&amp;"شكرًا لإتمام تقييم DBD الخاص بعيادة "&amp;B470&amp;"."&amp;CHAR(10)&amp;"نتيجتكم الحالية: "&amp;E470&amp;"%."&amp;CHAR(10)&amp;"أولوية التحسين الأولى: "&amp;F470&amp;"."&amp;IF(J470&lt;&gt;"",CHAR(10)&amp;CHAR(10)&amp;"رابط التقرير: "&amp;J470,"")&amp;CHAR(10)&amp;CHAR(10)&amp;"إذا أحببت، يمكننا مساعدتك في فهم التقرير وتحديد أفضل خطوة تالية لعيادتكم.")</x:f>
      </x:c>
      <x:c r="L470" s="12" t="str">
        <x:f>IF(D470="","",HYPERLINK("https://wa.me/"&amp;REGEXREPLACE(D470,"[^\d]","")&amp;"?text="&amp;ENCODEURL(K470),"واتساب 1"))</x:f>
      </x:c>
      <x:c r="M470" s="12" t="str">
        <x:f>IF(A470="","","مرحبًا "&amp;C470&amp;CHAR(10)&amp;CHAR(10)&amp;"بناءً على نتيجة تقييم عيادة "&amp;B470&amp;"، فإن الترشيح الأقوى لكم الآن هو: "&amp;G470&amp;"."&amp;CHAR(10)&amp;"هذا الخيار يساعدكم في معالجة أكبر فجوة حالية بشكل عملي ومباشر."&amp;IF(J470&lt;&gt;"",CHAR(10)&amp;CHAR(10)&amp;"رابط التقرير: "&amp;J470,"")&amp;CHAR(10)&amp;CHAR(10)&amp;"إذا رغبت، يمكننا توضيح لماذا هذا الكورس هو الأنسب لكم الآن.")</x:f>
      </x:c>
      <x:c r="N470" s="12" t="str">
        <x:f>IF(D470="","",HYPERLINK("https://wa.me/"&amp;REGEXREPLACE(D470,"[^\d]","")&amp;"?text="&amp;ENCODEURL(M470),"واتساب 2"))</x:f>
      </x:c>
      <x:c r="O470" s="12" t="str">
        <x:f>IF(A470="","","مرحبًا "&amp;C470&amp;CHAR(10)&amp;CHAR(10)&amp;"إذا كانت التحديات لديكم تحتاج حلًا أشمل، فالبرنامج الكامل المناسب لكم هو: "&amp;H470&amp;"."&amp;IF(I470&lt;&gt;"",CHAR(10)&amp;"كما يمكنكم أيضًا حجز: "&amp;I470&amp;".","")&amp;IF(J470&lt;&gt;"",CHAR(10)&amp;CHAR(10)&amp;"رابط التقرير: "&amp;J470,"")&amp;CHAR(10)&amp;CHAR(10)&amp;"يسعدنا مساعدتكم في اختيار المسار الأنسب حسب وضع العيادة الحالي.")</x:f>
      </x:c>
      <x:c r="P470" s="12" t="str">
        <x:f>IF(D470="","",HYPERLINK("https://wa.me/"&amp;REGEXREPLACE(D470,"[^\d]","")&amp;"?text="&amp;ENCODEURL(O470),"واتساب 3"))</x:f>
      </x:c>
    </x:row>
    <x:row r="471" ht="15" hidden="0" customHeight="1">
      <x:c r="A471" s="12" t="str">
        <x:f>IF(Leads!A471="","",Leads!A471)</x:f>
      </x:c>
      <x:c r="B471" s="12" t="str">
        <x:f>IF(Leads!F471="","",Leads!F471)</x:f>
      </x:c>
      <x:c r="C471" s="12" t="str">
        <x:f>IF(Leads!G471="","",Leads!G471)</x:f>
      </x:c>
      <x:c r="D471" s="12" t="str">
        <x:f>IF(Leads!O471="","",Leads!O471)</x:f>
      </x:c>
      <x:c r="E471" s="12" t="str">
        <x:f>IF(Leads!AV471="","",Leads!AV471)</x:f>
      </x:c>
      <x:c r="F471" s="12" t="str">
        <x:f>IF(Leads!AX471="","",Leads!AX471)</x:f>
      </x:c>
      <x:c r="G471" s="12" t="str">
        <x:f>IF(Leads!BC471="","",Leads!BC471)</x:f>
      </x:c>
      <x:c r="H471" s="12" t="str">
        <x:f>IF(Leads!BE471="","",Leads!BE471)</x:f>
      </x:c>
      <x:c r="I471" s="12" t="str">
        <x:f>IF(Leads!BG471="","",Leads!BG471)</x:f>
      </x:c>
      <x:c r="J471" s="12" t="str">
        <x:f>IF(Leads!BH471="","",Leads!BH471)</x:f>
      </x:c>
      <x:c r="K471" s="12" t="str">
        <x:f>IF(A471="","","مرحبًا "&amp;C471&amp;CHAR(10)&amp;CHAR(10)&amp;"شكرًا لإتمام تقييم DBD الخاص بعيادة "&amp;B471&amp;"."&amp;CHAR(10)&amp;"نتيجتكم الحالية: "&amp;E471&amp;"%."&amp;CHAR(10)&amp;"أولوية التحسين الأولى: "&amp;F471&amp;"."&amp;IF(J471&lt;&gt;"",CHAR(10)&amp;CHAR(10)&amp;"رابط التقرير: "&amp;J471,"")&amp;CHAR(10)&amp;CHAR(10)&amp;"إذا أحببت، يمكننا مساعدتك في فهم التقرير وتحديد أفضل خطوة تالية لعيادتكم.")</x:f>
      </x:c>
      <x:c r="L471" s="12" t="str">
        <x:f>IF(D471="","",HYPERLINK("https://wa.me/"&amp;REGEXREPLACE(D471,"[^\d]","")&amp;"?text="&amp;ENCODEURL(K471),"واتساب 1"))</x:f>
      </x:c>
      <x:c r="M471" s="12" t="str">
        <x:f>IF(A471="","","مرحبًا "&amp;C471&amp;CHAR(10)&amp;CHAR(10)&amp;"بناءً على نتيجة تقييم عيادة "&amp;B471&amp;"، فإن الترشيح الأقوى لكم الآن هو: "&amp;G471&amp;"."&amp;CHAR(10)&amp;"هذا الخيار يساعدكم في معالجة أكبر فجوة حالية بشكل عملي ومباشر."&amp;IF(J471&lt;&gt;"",CHAR(10)&amp;CHAR(10)&amp;"رابط التقرير: "&amp;J471,"")&amp;CHAR(10)&amp;CHAR(10)&amp;"إذا رغبت، يمكننا توضيح لماذا هذا الكورس هو الأنسب لكم الآن.")</x:f>
      </x:c>
      <x:c r="N471" s="12" t="str">
        <x:f>IF(D471="","",HYPERLINK("https://wa.me/"&amp;REGEXREPLACE(D471,"[^\d]","")&amp;"?text="&amp;ENCODEURL(M471),"واتساب 2"))</x:f>
      </x:c>
      <x:c r="O471" s="12" t="str">
        <x:f>IF(A471="","","مرحبًا "&amp;C471&amp;CHAR(10)&amp;CHAR(10)&amp;"إذا كانت التحديات لديكم تحتاج حلًا أشمل، فالبرنامج الكامل المناسب لكم هو: "&amp;H471&amp;"."&amp;IF(I471&lt;&gt;"",CHAR(10)&amp;"كما يمكنكم أيضًا حجز: "&amp;I471&amp;".","")&amp;IF(J471&lt;&gt;"",CHAR(10)&amp;CHAR(10)&amp;"رابط التقرير: "&amp;J471,"")&amp;CHAR(10)&amp;CHAR(10)&amp;"يسعدنا مساعدتكم في اختيار المسار الأنسب حسب وضع العيادة الحالي.")</x:f>
      </x:c>
      <x:c r="P471" s="12" t="str">
        <x:f>IF(D471="","",HYPERLINK("https://wa.me/"&amp;REGEXREPLACE(D471,"[^\d]","")&amp;"?text="&amp;ENCODEURL(O471),"واتساب 3"))</x:f>
      </x:c>
    </x:row>
    <x:row r="472" ht="15" hidden="0" customHeight="1">
      <x:c r="A472" s="12" t="str">
        <x:f>IF(Leads!A472="","",Leads!A472)</x:f>
      </x:c>
      <x:c r="B472" s="12" t="str">
        <x:f>IF(Leads!F472="","",Leads!F472)</x:f>
      </x:c>
      <x:c r="C472" s="12" t="str">
        <x:f>IF(Leads!G472="","",Leads!G472)</x:f>
      </x:c>
      <x:c r="D472" s="12" t="str">
        <x:f>IF(Leads!O472="","",Leads!O472)</x:f>
      </x:c>
      <x:c r="E472" s="12" t="str">
        <x:f>IF(Leads!AV472="","",Leads!AV472)</x:f>
      </x:c>
      <x:c r="F472" s="12" t="str">
        <x:f>IF(Leads!AX472="","",Leads!AX472)</x:f>
      </x:c>
      <x:c r="G472" s="12" t="str">
        <x:f>IF(Leads!BC472="","",Leads!BC472)</x:f>
      </x:c>
      <x:c r="H472" s="12" t="str">
        <x:f>IF(Leads!BE472="","",Leads!BE472)</x:f>
      </x:c>
      <x:c r="I472" s="12" t="str">
        <x:f>IF(Leads!BG472="","",Leads!BG472)</x:f>
      </x:c>
      <x:c r="J472" s="12" t="str">
        <x:f>IF(Leads!BH472="","",Leads!BH472)</x:f>
      </x:c>
      <x:c r="K472" s="12" t="str">
        <x:f>IF(A472="","","مرحبًا "&amp;C472&amp;CHAR(10)&amp;CHAR(10)&amp;"شكرًا لإتمام تقييم DBD الخاص بعيادة "&amp;B472&amp;"."&amp;CHAR(10)&amp;"نتيجتكم الحالية: "&amp;E472&amp;"%."&amp;CHAR(10)&amp;"أولوية التحسين الأولى: "&amp;F472&amp;"."&amp;IF(J472&lt;&gt;"",CHAR(10)&amp;CHAR(10)&amp;"رابط التقرير: "&amp;J472,"")&amp;CHAR(10)&amp;CHAR(10)&amp;"إذا أحببت، يمكننا مساعدتك في فهم التقرير وتحديد أفضل خطوة تالية لعيادتكم.")</x:f>
      </x:c>
      <x:c r="L472" s="12" t="str">
        <x:f>IF(D472="","",HYPERLINK("https://wa.me/"&amp;REGEXREPLACE(D472,"[^\d]","")&amp;"?text="&amp;ENCODEURL(K472),"واتساب 1"))</x:f>
      </x:c>
      <x:c r="M472" s="12" t="str">
        <x:f>IF(A472="","","مرحبًا "&amp;C472&amp;CHAR(10)&amp;CHAR(10)&amp;"بناءً على نتيجة تقييم عيادة "&amp;B472&amp;"، فإن الترشيح الأقوى لكم الآن هو: "&amp;G472&amp;"."&amp;CHAR(10)&amp;"هذا الخيار يساعدكم في معالجة أكبر فجوة حالية بشكل عملي ومباشر."&amp;IF(J472&lt;&gt;"",CHAR(10)&amp;CHAR(10)&amp;"رابط التقرير: "&amp;J472,"")&amp;CHAR(10)&amp;CHAR(10)&amp;"إذا رغبت، يمكننا توضيح لماذا هذا الكورس هو الأنسب لكم الآن.")</x:f>
      </x:c>
      <x:c r="N472" s="12" t="str">
        <x:f>IF(D472="","",HYPERLINK("https://wa.me/"&amp;REGEXREPLACE(D472,"[^\d]","")&amp;"?text="&amp;ENCODEURL(M472),"واتساب 2"))</x:f>
      </x:c>
      <x:c r="O472" s="12" t="str">
        <x:f>IF(A472="","","مرحبًا "&amp;C472&amp;CHAR(10)&amp;CHAR(10)&amp;"إذا كانت التحديات لديكم تحتاج حلًا أشمل، فالبرنامج الكامل المناسب لكم هو: "&amp;H472&amp;"."&amp;IF(I472&lt;&gt;"",CHAR(10)&amp;"كما يمكنكم أيضًا حجز: "&amp;I472&amp;".","")&amp;IF(J472&lt;&gt;"",CHAR(10)&amp;CHAR(10)&amp;"رابط التقرير: "&amp;J472,"")&amp;CHAR(10)&amp;CHAR(10)&amp;"يسعدنا مساعدتكم في اختيار المسار الأنسب حسب وضع العيادة الحالي.")</x:f>
      </x:c>
      <x:c r="P472" s="12" t="str">
        <x:f>IF(D472="","",HYPERLINK("https://wa.me/"&amp;REGEXREPLACE(D472,"[^\d]","")&amp;"?text="&amp;ENCODEURL(O472),"واتساب 3"))</x:f>
      </x:c>
    </x:row>
    <x:row r="473" ht="15" hidden="0" customHeight="1">
      <x:c r="A473" s="12" t="str">
        <x:f>IF(Leads!A473="","",Leads!A473)</x:f>
      </x:c>
      <x:c r="B473" s="12" t="str">
        <x:f>IF(Leads!F473="","",Leads!F473)</x:f>
      </x:c>
      <x:c r="C473" s="12" t="str">
        <x:f>IF(Leads!G473="","",Leads!G473)</x:f>
      </x:c>
      <x:c r="D473" s="12" t="str">
        <x:f>IF(Leads!O473="","",Leads!O473)</x:f>
      </x:c>
      <x:c r="E473" s="12" t="str">
        <x:f>IF(Leads!AV473="","",Leads!AV473)</x:f>
      </x:c>
      <x:c r="F473" s="12" t="str">
        <x:f>IF(Leads!AX473="","",Leads!AX473)</x:f>
      </x:c>
      <x:c r="G473" s="12" t="str">
        <x:f>IF(Leads!BC473="","",Leads!BC473)</x:f>
      </x:c>
      <x:c r="H473" s="12" t="str">
        <x:f>IF(Leads!BE473="","",Leads!BE473)</x:f>
      </x:c>
      <x:c r="I473" s="12" t="str">
        <x:f>IF(Leads!BG473="","",Leads!BG473)</x:f>
      </x:c>
      <x:c r="J473" s="12" t="str">
        <x:f>IF(Leads!BH473="","",Leads!BH473)</x:f>
      </x:c>
      <x:c r="K473" s="12" t="str">
        <x:f>IF(A473="","","مرحبًا "&amp;C473&amp;CHAR(10)&amp;CHAR(10)&amp;"شكرًا لإتمام تقييم DBD الخاص بعيادة "&amp;B473&amp;"."&amp;CHAR(10)&amp;"نتيجتكم الحالية: "&amp;E473&amp;"%."&amp;CHAR(10)&amp;"أولوية التحسين الأولى: "&amp;F473&amp;"."&amp;IF(J473&lt;&gt;"",CHAR(10)&amp;CHAR(10)&amp;"رابط التقرير: "&amp;J473,"")&amp;CHAR(10)&amp;CHAR(10)&amp;"إذا أحببت، يمكننا مساعدتك في فهم التقرير وتحديد أفضل خطوة تالية لعيادتكم.")</x:f>
      </x:c>
      <x:c r="L473" s="12" t="str">
        <x:f>IF(D473="","",HYPERLINK("https://wa.me/"&amp;REGEXREPLACE(D473,"[^\d]","")&amp;"?text="&amp;ENCODEURL(K473),"واتساب 1"))</x:f>
      </x:c>
      <x:c r="M473" s="12" t="str">
        <x:f>IF(A473="","","مرحبًا "&amp;C473&amp;CHAR(10)&amp;CHAR(10)&amp;"بناءً على نتيجة تقييم عيادة "&amp;B473&amp;"، فإن الترشيح الأقوى لكم الآن هو: "&amp;G473&amp;"."&amp;CHAR(10)&amp;"هذا الخيار يساعدكم في معالجة أكبر فجوة حالية بشكل عملي ومباشر."&amp;IF(J473&lt;&gt;"",CHAR(10)&amp;CHAR(10)&amp;"رابط التقرير: "&amp;J473,"")&amp;CHAR(10)&amp;CHAR(10)&amp;"إذا رغبت، يمكننا توضيح لماذا هذا الكورس هو الأنسب لكم الآن.")</x:f>
      </x:c>
      <x:c r="N473" s="12" t="str">
        <x:f>IF(D473="","",HYPERLINK("https://wa.me/"&amp;REGEXREPLACE(D473,"[^\d]","")&amp;"?text="&amp;ENCODEURL(M473),"واتساب 2"))</x:f>
      </x:c>
      <x:c r="O473" s="12" t="str">
        <x:f>IF(A473="","","مرحبًا "&amp;C473&amp;CHAR(10)&amp;CHAR(10)&amp;"إذا كانت التحديات لديكم تحتاج حلًا أشمل، فالبرنامج الكامل المناسب لكم هو: "&amp;H473&amp;"."&amp;IF(I473&lt;&gt;"",CHAR(10)&amp;"كما يمكنكم أيضًا حجز: "&amp;I473&amp;".","")&amp;IF(J473&lt;&gt;"",CHAR(10)&amp;CHAR(10)&amp;"رابط التقرير: "&amp;J473,"")&amp;CHAR(10)&amp;CHAR(10)&amp;"يسعدنا مساعدتكم في اختيار المسار الأنسب حسب وضع العيادة الحالي.")</x:f>
      </x:c>
      <x:c r="P473" s="12" t="str">
        <x:f>IF(D473="","",HYPERLINK("https://wa.me/"&amp;REGEXREPLACE(D473,"[^\d]","")&amp;"?text="&amp;ENCODEURL(O473),"واتساب 3"))</x:f>
      </x:c>
    </x:row>
    <x:row r="474" ht="15" hidden="0" customHeight="1">
      <x:c r="A474" s="12" t="str">
        <x:f>IF(Leads!A474="","",Leads!A474)</x:f>
      </x:c>
      <x:c r="B474" s="12" t="str">
        <x:f>IF(Leads!F474="","",Leads!F474)</x:f>
      </x:c>
      <x:c r="C474" s="12" t="str">
        <x:f>IF(Leads!G474="","",Leads!G474)</x:f>
      </x:c>
      <x:c r="D474" s="12" t="str">
        <x:f>IF(Leads!O474="","",Leads!O474)</x:f>
      </x:c>
      <x:c r="E474" s="12" t="str">
        <x:f>IF(Leads!AV474="","",Leads!AV474)</x:f>
      </x:c>
      <x:c r="F474" s="12" t="str">
        <x:f>IF(Leads!AX474="","",Leads!AX474)</x:f>
      </x:c>
      <x:c r="G474" s="12" t="str">
        <x:f>IF(Leads!BC474="","",Leads!BC474)</x:f>
      </x:c>
      <x:c r="H474" s="12" t="str">
        <x:f>IF(Leads!BE474="","",Leads!BE474)</x:f>
      </x:c>
      <x:c r="I474" s="12" t="str">
        <x:f>IF(Leads!BG474="","",Leads!BG474)</x:f>
      </x:c>
      <x:c r="J474" s="12" t="str">
        <x:f>IF(Leads!BH474="","",Leads!BH474)</x:f>
      </x:c>
      <x:c r="K474" s="12" t="str">
        <x:f>IF(A474="","","مرحبًا "&amp;C474&amp;CHAR(10)&amp;CHAR(10)&amp;"شكرًا لإتمام تقييم DBD الخاص بعيادة "&amp;B474&amp;"."&amp;CHAR(10)&amp;"نتيجتكم الحالية: "&amp;E474&amp;"%."&amp;CHAR(10)&amp;"أولوية التحسين الأولى: "&amp;F474&amp;"."&amp;IF(J474&lt;&gt;"",CHAR(10)&amp;CHAR(10)&amp;"رابط التقرير: "&amp;J474,"")&amp;CHAR(10)&amp;CHAR(10)&amp;"إذا أحببت، يمكننا مساعدتك في فهم التقرير وتحديد أفضل خطوة تالية لعيادتكم.")</x:f>
      </x:c>
      <x:c r="L474" s="12" t="str">
        <x:f>IF(D474="","",HYPERLINK("https://wa.me/"&amp;REGEXREPLACE(D474,"[^\d]","")&amp;"?text="&amp;ENCODEURL(K474),"واتساب 1"))</x:f>
      </x:c>
      <x:c r="M474" s="12" t="str">
        <x:f>IF(A474="","","مرحبًا "&amp;C474&amp;CHAR(10)&amp;CHAR(10)&amp;"بناءً على نتيجة تقييم عيادة "&amp;B474&amp;"، فإن الترشيح الأقوى لكم الآن هو: "&amp;G474&amp;"."&amp;CHAR(10)&amp;"هذا الخيار يساعدكم في معالجة أكبر فجوة حالية بشكل عملي ومباشر."&amp;IF(J474&lt;&gt;"",CHAR(10)&amp;CHAR(10)&amp;"رابط التقرير: "&amp;J474,"")&amp;CHAR(10)&amp;CHAR(10)&amp;"إذا رغبت، يمكننا توضيح لماذا هذا الكورس هو الأنسب لكم الآن.")</x:f>
      </x:c>
      <x:c r="N474" s="12" t="str">
        <x:f>IF(D474="","",HYPERLINK("https://wa.me/"&amp;REGEXREPLACE(D474,"[^\d]","")&amp;"?text="&amp;ENCODEURL(M474),"واتساب 2"))</x:f>
      </x:c>
      <x:c r="O474" s="12" t="str">
        <x:f>IF(A474="","","مرحبًا "&amp;C474&amp;CHAR(10)&amp;CHAR(10)&amp;"إذا كانت التحديات لديكم تحتاج حلًا أشمل، فالبرنامج الكامل المناسب لكم هو: "&amp;H474&amp;"."&amp;IF(I474&lt;&gt;"",CHAR(10)&amp;"كما يمكنكم أيضًا حجز: "&amp;I474&amp;".","")&amp;IF(J474&lt;&gt;"",CHAR(10)&amp;CHAR(10)&amp;"رابط التقرير: "&amp;J474,"")&amp;CHAR(10)&amp;CHAR(10)&amp;"يسعدنا مساعدتكم في اختيار المسار الأنسب حسب وضع العيادة الحالي.")</x:f>
      </x:c>
      <x:c r="P474" s="12" t="str">
        <x:f>IF(D474="","",HYPERLINK("https://wa.me/"&amp;REGEXREPLACE(D474,"[^\d]","")&amp;"?text="&amp;ENCODEURL(O474),"واتساب 3"))</x:f>
      </x:c>
    </x:row>
    <x:row r="475" ht="15" hidden="0" customHeight="1">
      <x:c r="A475" s="12" t="str">
        <x:f>IF(Leads!A475="","",Leads!A475)</x:f>
      </x:c>
      <x:c r="B475" s="12" t="str">
        <x:f>IF(Leads!F475="","",Leads!F475)</x:f>
      </x:c>
      <x:c r="C475" s="12" t="str">
        <x:f>IF(Leads!G475="","",Leads!G475)</x:f>
      </x:c>
      <x:c r="D475" s="12" t="str">
        <x:f>IF(Leads!O475="","",Leads!O475)</x:f>
      </x:c>
      <x:c r="E475" s="12" t="str">
        <x:f>IF(Leads!AV475="","",Leads!AV475)</x:f>
      </x:c>
      <x:c r="F475" s="12" t="str">
        <x:f>IF(Leads!AX475="","",Leads!AX475)</x:f>
      </x:c>
      <x:c r="G475" s="12" t="str">
        <x:f>IF(Leads!BC475="","",Leads!BC475)</x:f>
      </x:c>
      <x:c r="H475" s="12" t="str">
        <x:f>IF(Leads!BE475="","",Leads!BE475)</x:f>
      </x:c>
      <x:c r="I475" s="12" t="str">
        <x:f>IF(Leads!BG475="","",Leads!BG475)</x:f>
      </x:c>
      <x:c r="J475" s="12" t="str">
        <x:f>IF(Leads!BH475="","",Leads!BH475)</x:f>
      </x:c>
      <x:c r="K475" s="12" t="str">
        <x:f>IF(A475="","","مرحبًا "&amp;C475&amp;CHAR(10)&amp;CHAR(10)&amp;"شكرًا لإتمام تقييم DBD الخاص بعيادة "&amp;B475&amp;"."&amp;CHAR(10)&amp;"نتيجتكم الحالية: "&amp;E475&amp;"%."&amp;CHAR(10)&amp;"أولوية التحسين الأولى: "&amp;F475&amp;"."&amp;IF(J475&lt;&gt;"",CHAR(10)&amp;CHAR(10)&amp;"رابط التقرير: "&amp;J475,"")&amp;CHAR(10)&amp;CHAR(10)&amp;"إذا أحببت، يمكننا مساعدتك في فهم التقرير وتحديد أفضل خطوة تالية لعيادتكم.")</x:f>
      </x:c>
      <x:c r="L475" s="12" t="str">
        <x:f>IF(D475="","",HYPERLINK("https://wa.me/"&amp;REGEXREPLACE(D475,"[^\d]","")&amp;"?text="&amp;ENCODEURL(K475),"واتساب 1"))</x:f>
      </x:c>
      <x:c r="M475" s="12" t="str">
        <x:f>IF(A475="","","مرحبًا "&amp;C475&amp;CHAR(10)&amp;CHAR(10)&amp;"بناءً على نتيجة تقييم عيادة "&amp;B475&amp;"، فإن الترشيح الأقوى لكم الآن هو: "&amp;G475&amp;"."&amp;CHAR(10)&amp;"هذا الخيار يساعدكم في معالجة أكبر فجوة حالية بشكل عملي ومباشر."&amp;IF(J475&lt;&gt;"",CHAR(10)&amp;CHAR(10)&amp;"رابط التقرير: "&amp;J475,"")&amp;CHAR(10)&amp;CHAR(10)&amp;"إذا رغبت، يمكننا توضيح لماذا هذا الكورس هو الأنسب لكم الآن.")</x:f>
      </x:c>
      <x:c r="N475" s="12" t="str">
        <x:f>IF(D475="","",HYPERLINK("https://wa.me/"&amp;REGEXREPLACE(D475,"[^\d]","")&amp;"?text="&amp;ENCODEURL(M475),"واتساب 2"))</x:f>
      </x:c>
      <x:c r="O475" s="12" t="str">
        <x:f>IF(A475="","","مرحبًا "&amp;C475&amp;CHAR(10)&amp;CHAR(10)&amp;"إذا كانت التحديات لديكم تحتاج حلًا أشمل، فالبرنامج الكامل المناسب لكم هو: "&amp;H475&amp;"."&amp;IF(I475&lt;&gt;"",CHAR(10)&amp;"كما يمكنكم أيضًا حجز: "&amp;I475&amp;".","")&amp;IF(J475&lt;&gt;"",CHAR(10)&amp;CHAR(10)&amp;"رابط التقرير: "&amp;J475,"")&amp;CHAR(10)&amp;CHAR(10)&amp;"يسعدنا مساعدتكم في اختيار المسار الأنسب حسب وضع العيادة الحالي.")</x:f>
      </x:c>
      <x:c r="P475" s="12" t="str">
        <x:f>IF(D475="","",HYPERLINK("https://wa.me/"&amp;REGEXREPLACE(D475,"[^\d]","")&amp;"?text="&amp;ENCODEURL(O475),"واتساب 3"))</x:f>
      </x:c>
    </x:row>
    <x:row r="476" ht="15" hidden="0" customHeight="1">
      <x:c r="A476" s="12" t="str">
        <x:f>IF(Leads!A476="","",Leads!A476)</x:f>
      </x:c>
      <x:c r="B476" s="12" t="str">
        <x:f>IF(Leads!F476="","",Leads!F476)</x:f>
      </x:c>
      <x:c r="C476" s="12" t="str">
        <x:f>IF(Leads!G476="","",Leads!G476)</x:f>
      </x:c>
      <x:c r="D476" s="12" t="str">
        <x:f>IF(Leads!O476="","",Leads!O476)</x:f>
      </x:c>
      <x:c r="E476" s="12" t="str">
        <x:f>IF(Leads!AV476="","",Leads!AV476)</x:f>
      </x:c>
      <x:c r="F476" s="12" t="str">
        <x:f>IF(Leads!AX476="","",Leads!AX476)</x:f>
      </x:c>
      <x:c r="G476" s="12" t="str">
        <x:f>IF(Leads!BC476="","",Leads!BC476)</x:f>
      </x:c>
      <x:c r="H476" s="12" t="str">
        <x:f>IF(Leads!BE476="","",Leads!BE476)</x:f>
      </x:c>
      <x:c r="I476" s="12" t="str">
        <x:f>IF(Leads!BG476="","",Leads!BG476)</x:f>
      </x:c>
      <x:c r="J476" s="12" t="str">
        <x:f>IF(Leads!BH476="","",Leads!BH476)</x:f>
      </x:c>
      <x:c r="K476" s="12" t="str">
        <x:f>IF(A476="","","مرحبًا "&amp;C476&amp;CHAR(10)&amp;CHAR(10)&amp;"شكرًا لإتمام تقييم DBD الخاص بعيادة "&amp;B476&amp;"."&amp;CHAR(10)&amp;"نتيجتكم الحالية: "&amp;E476&amp;"%."&amp;CHAR(10)&amp;"أولوية التحسين الأولى: "&amp;F476&amp;"."&amp;IF(J476&lt;&gt;"",CHAR(10)&amp;CHAR(10)&amp;"رابط التقرير: "&amp;J476,"")&amp;CHAR(10)&amp;CHAR(10)&amp;"إذا أحببت، يمكننا مساعدتك في فهم التقرير وتحديد أفضل خطوة تالية لعيادتكم.")</x:f>
      </x:c>
      <x:c r="L476" s="12" t="str">
        <x:f>IF(D476="","",HYPERLINK("https://wa.me/"&amp;REGEXREPLACE(D476,"[^\d]","")&amp;"?text="&amp;ENCODEURL(K476),"واتساب 1"))</x:f>
      </x:c>
      <x:c r="M476" s="12" t="str">
        <x:f>IF(A476="","","مرحبًا "&amp;C476&amp;CHAR(10)&amp;CHAR(10)&amp;"بناءً على نتيجة تقييم عيادة "&amp;B476&amp;"، فإن الترشيح الأقوى لكم الآن هو: "&amp;G476&amp;"."&amp;CHAR(10)&amp;"هذا الخيار يساعدكم في معالجة أكبر فجوة حالية بشكل عملي ومباشر."&amp;IF(J476&lt;&gt;"",CHAR(10)&amp;CHAR(10)&amp;"رابط التقرير: "&amp;J476,"")&amp;CHAR(10)&amp;CHAR(10)&amp;"إذا رغبت، يمكننا توضيح لماذا هذا الكورس هو الأنسب لكم الآن.")</x:f>
      </x:c>
      <x:c r="N476" s="12" t="str">
        <x:f>IF(D476="","",HYPERLINK("https://wa.me/"&amp;REGEXREPLACE(D476,"[^\d]","")&amp;"?text="&amp;ENCODEURL(M476),"واتساب 2"))</x:f>
      </x:c>
      <x:c r="O476" s="12" t="str">
        <x:f>IF(A476="","","مرحبًا "&amp;C476&amp;CHAR(10)&amp;CHAR(10)&amp;"إذا كانت التحديات لديكم تحتاج حلًا أشمل، فالبرنامج الكامل المناسب لكم هو: "&amp;H476&amp;"."&amp;IF(I476&lt;&gt;"",CHAR(10)&amp;"كما يمكنكم أيضًا حجز: "&amp;I476&amp;".","")&amp;IF(J476&lt;&gt;"",CHAR(10)&amp;CHAR(10)&amp;"رابط التقرير: "&amp;J476,"")&amp;CHAR(10)&amp;CHAR(10)&amp;"يسعدنا مساعدتكم في اختيار المسار الأنسب حسب وضع العيادة الحالي.")</x:f>
      </x:c>
      <x:c r="P476" s="12" t="str">
        <x:f>IF(D476="","",HYPERLINK("https://wa.me/"&amp;REGEXREPLACE(D476,"[^\d]","")&amp;"?text="&amp;ENCODEURL(O476),"واتساب 3"))</x:f>
      </x:c>
    </x:row>
    <x:row r="477" ht="15" hidden="0" customHeight="1">
      <x:c r="A477" s="12" t="str">
        <x:f>IF(Leads!A477="","",Leads!A477)</x:f>
      </x:c>
      <x:c r="B477" s="12" t="str">
        <x:f>IF(Leads!F477="","",Leads!F477)</x:f>
      </x:c>
      <x:c r="C477" s="12" t="str">
        <x:f>IF(Leads!G477="","",Leads!G477)</x:f>
      </x:c>
      <x:c r="D477" s="12" t="str">
        <x:f>IF(Leads!O477="","",Leads!O477)</x:f>
      </x:c>
      <x:c r="E477" s="12" t="str">
        <x:f>IF(Leads!AV477="","",Leads!AV477)</x:f>
      </x:c>
      <x:c r="F477" s="12" t="str">
        <x:f>IF(Leads!AX477="","",Leads!AX477)</x:f>
      </x:c>
      <x:c r="G477" s="12" t="str">
        <x:f>IF(Leads!BC477="","",Leads!BC477)</x:f>
      </x:c>
      <x:c r="H477" s="12" t="str">
        <x:f>IF(Leads!BE477="","",Leads!BE477)</x:f>
      </x:c>
      <x:c r="I477" s="12" t="str">
        <x:f>IF(Leads!BG477="","",Leads!BG477)</x:f>
      </x:c>
      <x:c r="J477" s="12" t="str">
        <x:f>IF(Leads!BH477="","",Leads!BH477)</x:f>
      </x:c>
      <x:c r="K477" s="12" t="str">
        <x:f>IF(A477="","","مرحبًا "&amp;C477&amp;CHAR(10)&amp;CHAR(10)&amp;"شكرًا لإتمام تقييم DBD الخاص بعيادة "&amp;B477&amp;"."&amp;CHAR(10)&amp;"نتيجتكم الحالية: "&amp;E477&amp;"%."&amp;CHAR(10)&amp;"أولوية التحسين الأولى: "&amp;F477&amp;"."&amp;IF(J477&lt;&gt;"",CHAR(10)&amp;CHAR(10)&amp;"رابط التقرير: "&amp;J477,"")&amp;CHAR(10)&amp;CHAR(10)&amp;"إذا أحببت، يمكننا مساعدتك في فهم التقرير وتحديد أفضل خطوة تالية لعيادتكم.")</x:f>
      </x:c>
      <x:c r="L477" s="12" t="str">
        <x:f>IF(D477="","",HYPERLINK("https://wa.me/"&amp;REGEXREPLACE(D477,"[^\d]","")&amp;"?text="&amp;ENCODEURL(K477),"واتساب 1"))</x:f>
      </x:c>
      <x:c r="M477" s="12" t="str">
        <x:f>IF(A477="","","مرحبًا "&amp;C477&amp;CHAR(10)&amp;CHAR(10)&amp;"بناءً على نتيجة تقييم عيادة "&amp;B477&amp;"، فإن الترشيح الأقوى لكم الآن هو: "&amp;G477&amp;"."&amp;CHAR(10)&amp;"هذا الخيار يساعدكم في معالجة أكبر فجوة حالية بشكل عملي ومباشر."&amp;IF(J477&lt;&gt;"",CHAR(10)&amp;CHAR(10)&amp;"رابط التقرير: "&amp;J477,"")&amp;CHAR(10)&amp;CHAR(10)&amp;"إذا رغبت، يمكننا توضيح لماذا هذا الكورس هو الأنسب لكم الآن.")</x:f>
      </x:c>
      <x:c r="N477" s="12" t="str">
        <x:f>IF(D477="","",HYPERLINK("https://wa.me/"&amp;REGEXREPLACE(D477,"[^\d]","")&amp;"?text="&amp;ENCODEURL(M477),"واتساب 2"))</x:f>
      </x:c>
      <x:c r="O477" s="12" t="str">
        <x:f>IF(A477="","","مرحبًا "&amp;C477&amp;CHAR(10)&amp;CHAR(10)&amp;"إذا كانت التحديات لديكم تحتاج حلًا أشمل، فالبرنامج الكامل المناسب لكم هو: "&amp;H477&amp;"."&amp;IF(I477&lt;&gt;"",CHAR(10)&amp;"كما يمكنكم أيضًا حجز: "&amp;I477&amp;".","")&amp;IF(J477&lt;&gt;"",CHAR(10)&amp;CHAR(10)&amp;"رابط التقرير: "&amp;J477,"")&amp;CHAR(10)&amp;CHAR(10)&amp;"يسعدنا مساعدتكم في اختيار المسار الأنسب حسب وضع العيادة الحالي.")</x:f>
      </x:c>
      <x:c r="P477" s="12" t="str">
        <x:f>IF(D477="","",HYPERLINK("https://wa.me/"&amp;REGEXREPLACE(D477,"[^\d]","")&amp;"?text="&amp;ENCODEURL(O477),"واتساب 3"))</x:f>
      </x:c>
    </x:row>
    <x:row r="478" ht="15" hidden="0" customHeight="1">
      <x:c r="A478" s="12" t="str">
        <x:f>IF(Leads!A478="","",Leads!A478)</x:f>
      </x:c>
      <x:c r="B478" s="12" t="str">
        <x:f>IF(Leads!F478="","",Leads!F478)</x:f>
      </x:c>
      <x:c r="C478" s="12" t="str">
        <x:f>IF(Leads!G478="","",Leads!G478)</x:f>
      </x:c>
      <x:c r="D478" s="12" t="str">
        <x:f>IF(Leads!O478="","",Leads!O478)</x:f>
      </x:c>
      <x:c r="E478" s="12" t="str">
        <x:f>IF(Leads!AV478="","",Leads!AV478)</x:f>
      </x:c>
      <x:c r="F478" s="12" t="str">
        <x:f>IF(Leads!AX478="","",Leads!AX478)</x:f>
      </x:c>
      <x:c r="G478" s="12" t="str">
        <x:f>IF(Leads!BC478="","",Leads!BC478)</x:f>
      </x:c>
      <x:c r="H478" s="12" t="str">
        <x:f>IF(Leads!BE478="","",Leads!BE478)</x:f>
      </x:c>
      <x:c r="I478" s="12" t="str">
        <x:f>IF(Leads!BG478="","",Leads!BG478)</x:f>
      </x:c>
      <x:c r="J478" s="12" t="str">
        <x:f>IF(Leads!BH478="","",Leads!BH478)</x:f>
      </x:c>
      <x:c r="K478" s="12" t="str">
        <x:f>IF(A478="","","مرحبًا "&amp;C478&amp;CHAR(10)&amp;CHAR(10)&amp;"شكرًا لإتمام تقييم DBD الخاص بعيادة "&amp;B478&amp;"."&amp;CHAR(10)&amp;"نتيجتكم الحالية: "&amp;E478&amp;"%."&amp;CHAR(10)&amp;"أولوية التحسين الأولى: "&amp;F478&amp;"."&amp;IF(J478&lt;&gt;"",CHAR(10)&amp;CHAR(10)&amp;"رابط التقرير: "&amp;J478,"")&amp;CHAR(10)&amp;CHAR(10)&amp;"إذا أحببت، يمكننا مساعدتك في فهم التقرير وتحديد أفضل خطوة تالية لعيادتكم.")</x:f>
      </x:c>
      <x:c r="L478" s="12" t="str">
        <x:f>IF(D478="","",HYPERLINK("https://wa.me/"&amp;REGEXREPLACE(D478,"[^\d]","")&amp;"?text="&amp;ENCODEURL(K478),"واتساب 1"))</x:f>
      </x:c>
      <x:c r="M478" s="12" t="str">
        <x:f>IF(A478="","","مرحبًا "&amp;C478&amp;CHAR(10)&amp;CHAR(10)&amp;"بناءً على نتيجة تقييم عيادة "&amp;B478&amp;"، فإن الترشيح الأقوى لكم الآن هو: "&amp;G478&amp;"."&amp;CHAR(10)&amp;"هذا الخيار يساعدكم في معالجة أكبر فجوة حالية بشكل عملي ومباشر."&amp;IF(J478&lt;&gt;"",CHAR(10)&amp;CHAR(10)&amp;"رابط التقرير: "&amp;J478,"")&amp;CHAR(10)&amp;CHAR(10)&amp;"إذا رغبت، يمكننا توضيح لماذا هذا الكورس هو الأنسب لكم الآن.")</x:f>
      </x:c>
      <x:c r="N478" s="12" t="str">
        <x:f>IF(D478="","",HYPERLINK("https://wa.me/"&amp;REGEXREPLACE(D478,"[^\d]","")&amp;"?text="&amp;ENCODEURL(M478),"واتساب 2"))</x:f>
      </x:c>
      <x:c r="O478" s="12" t="str">
        <x:f>IF(A478="","","مرحبًا "&amp;C478&amp;CHAR(10)&amp;CHAR(10)&amp;"إذا كانت التحديات لديكم تحتاج حلًا أشمل، فالبرنامج الكامل المناسب لكم هو: "&amp;H478&amp;"."&amp;IF(I478&lt;&gt;"",CHAR(10)&amp;"كما يمكنكم أيضًا حجز: "&amp;I478&amp;".","")&amp;IF(J478&lt;&gt;"",CHAR(10)&amp;CHAR(10)&amp;"رابط التقرير: "&amp;J478,"")&amp;CHAR(10)&amp;CHAR(10)&amp;"يسعدنا مساعدتكم في اختيار المسار الأنسب حسب وضع العيادة الحالي.")</x:f>
      </x:c>
      <x:c r="P478" s="12" t="str">
        <x:f>IF(D478="","",HYPERLINK("https://wa.me/"&amp;REGEXREPLACE(D478,"[^\d]","")&amp;"?text="&amp;ENCODEURL(O478),"واتساب 3"))</x:f>
      </x:c>
    </x:row>
    <x:row r="479" ht="15" hidden="0" customHeight="1">
      <x:c r="A479" s="12" t="str">
        <x:f>IF(Leads!A479="","",Leads!A479)</x:f>
      </x:c>
      <x:c r="B479" s="12" t="str">
        <x:f>IF(Leads!F479="","",Leads!F479)</x:f>
      </x:c>
      <x:c r="C479" s="12" t="str">
        <x:f>IF(Leads!G479="","",Leads!G479)</x:f>
      </x:c>
      <x:c r="D479" s="12" t="str">
        <x:f>IF(Leads!O479="","",Leads!O479)</x:f>
      </x:c>
      <x:c r="E479" s="12" t="str">
        <x:f>IF(Leads!AV479="","",Leads!AV479)</x:f>
      </x:c>
      <x:c r="F479" s="12" t="str">
        <x:f>IF(Leads!AX479="","",Leads!AX479)</x:f>
      </x:c>
      <x:c r="G479" s="12" t="str">
        <x:f>IF(Leads!BC479="","",Leads!BC479)</x:f>
      </x:c>
      <x:c r="H479" s="12" t="str">
        <x:f>IF(Leads!BE479="","",Leads!BE479)</x:f>
      </x:c>
      <x:c r="I479" s="12" t="str">
        <x:f>IF(Leads!BG479="","",Leads!BG479)</x:f>
      </x:c>
      <x:c r="J479" s="12" t="str">
        <x:f>IF(Leads!BH479="","",Leads!BH479)</x:f>
      </x:c>
      <x:c r="K479" s="12" t="str">
        <x:f>IF(A479="","","مرحبًا "&amp;C479&amp;CHAR(10)&amp;CHAR(10)&amp;"شكرًا لإتمام تقييم DBD الخاص بعيادة "&amp;B479&amp;"."&amp;CHAR(10)&amp;"نتيجتكم الحالية: "&amp;E479&amp;"%."&amp;CHAR(10)&amp;"أولوية التحسين الأولى: "&amp;F479&amp;"."&amp;IF(J479&lt;&gt;"",CHAR(10)&amp;CHAR(10)&amp;"رابط التقرير: "&amp;J479,"")&amp;CHAR(10)&amp;CHAR(10)&amp;"إذا أحببت، يمكننا مساعدتك في فهم التقرير وتحديد أفضل خطوة تالية لعيادتكم.")</x:f>
      </x:c>
      <x:c r="L479" s="12" t="str">
        <x:f>IF(D479="","",HYPERLINK("https://wa.me/"&amp;REGEXREPLACE(D479,"[^\d]","")&amp;"?text="&amp;ENCODEURL(K479),"واتساب 1"))</x:f>
      </x:c>
      <x:c r="M479" s="12" t="str">
        <x:f>IF(A479="","","مرحبًا "&amp;C479&amp;CHAR(10)&amp;CHAR(10)&amp;"بناءً على نتيجة تقييم عيادة "&amp;B479&amp;"، فإن الترشيح الأقوى لكم الآن هو: "&amp;G479&amp;"."&amp;CHAR(10)&amp;"هذا الخيار يساعدكم في معالجة أكبر فجوة حالية بشكل عملي ومباشر."&amp;IF(J479&lt;&gt;"",CHAR(10)&amp;CHAR(10)&amp;"رابط التقرير: "&amp;J479,"")&amp;CHAR(10)&amp;CHAR(10)&amp;"إذا رغبت، يمكننا توضيح لماذا هذا الكورس هو الأنسب لكم الآن.")</x:f>
      </x:c>
      <x:c r="N479" s="12" t="str">
        <x:f>IF(D479="","",HYPERLINK("https://wa.me/"&amp;REGEXREPLACE(D479,"[^\d]","")&amp;"?text="&amp;ENCODEURL(M479),"واتساب 2"))</x:f>
      </x:c>
      <x:c r="O479" s="12" t="str">
        <x:f>IF(A479="","","مرحبًا "&amp;C479&amp;CHAR(10)&amp;CHAR(10)&amp;"إذا كانت التحديات لديكم تحتاج حلًا أشمل، فالبرنامج الكامل المناسب لكم هو: "&amp;H479&amp;"."&amp;IF(I479&lt;&gt;"",CHAR(10)&amp;"كما يمكنكم أيضًا حجز: "&amp;I479&amp;".","")&amp;IF(J479&lt;&gt;"",CHAR(10)&amp;CHAR(10)&amp;"رابط التقرير: "&amp;J479,"")&amp;CHAR(10)&amp;CHAR(10)&amp;"يسعدنا مساعدتكم في اختيار المسار الأنسب حسب وضع العيادة الحالي.")</x:f>
      </x:c>
      <x:c r="P479" s="12" t="str">
        <x:f>IF(D479="","",HYPERLINK("https://wa.me/"&amp;REGEXREPLACE(D479,"[^\d]","")&amp;"?text="&amp;ENCODEURL(O479),"واتساب 3"))</x:f>
      </x:c>
    </x:row>
    <x:row r="480" ht="15" hidden="0" customHeight="1">
      <x:c r="A480" s="12" t="str">
        <x:f>IF(Leads!A480="","",Leads!A480)</x:f>
      </x:c>
      <x:c r="B480" s="12" t="str">
        <x:f>IF(Leads!F480="","",Leads!F480)</x:f>
      </x:c>
      <x:c r="C480" s="12" t="str">
        <x:f>IF(Leads!G480="","",Leads!G480)</x:f>
      </x:c>
      <x:c r="D480" s="12" t="str">
        <x:f>IF(Leads!O480="","",Leads!O480)</x:f>
      </x:c>
      <x:c r="E480" s="12" t="str">
        <x:f>IF(Leads!AV480="","",Leads!AV480)</x:f>
      </x:c>
      <x:c r="F480" s="12" t="str">
        <x:f>IF(Leads!AX480="","",Leads!AX480)</x:f>
      </x:c>
      <x:c r="G480" s="12" t="str">
        <x:f>IF(Leads!BC480="","",Leads!BC480)</x:f>
      </x:c>
      <x:c r="H480" s="12" t="str">
        <x:f>IF(Leads!BE480="","",Leads!BE480)</x:f>
      </x:c>
      <x:c r="I480" s="12" t="str">
        <x:f>IF(Leads!BG480="","",Leads!BG480)</x:f>
      </x:c>
      <x:c r="J480" s="12" t="str">
        <x:f>IF(Leads!BH480="","",Leads!BH480)</x:f>
      </x:c>
      <x:c r="K480" s="12" t="str">
        <x:f>IF(A480="","","مرحبًا "&amp;C480&amp;CHAR(10)&amp;CHAR(10)&amp;"شكرًا لإتمام تقييم DBD الخاص بعيادة "&amp;B480&amp;"."&amp;CHAR(10)&amp;"نتيجتكم الحالية: "&amp;E480&amp;"%."&amp;CHAR(10)&amp;"أولوية التحسين الأولى: "&amp;F480&amp;"."&amp;IF(J480&lt;&gt;"",CHAR(10)&amp;CHAR(10)&amp;"رابط التقرير: "&amp;J480,"")&amp;CHAR(10)&amp;CHAR(10)&amp;"إذا أحببت، يمكننا مساعدتك في فهم التقرير وتحديد أفضل خطوة تالية لعيادتكم.")</x:f>
      </x:c>
      <x:c r="L480" s="12" t="str">
        <x:f>IF(D480="","",HYPERLINK("https://wa.me/"&amp;REGEXREPLACE(D480,"[^\d]","")&amp;"?text="&amp;ENCODEURL(K480),"واتساب 1"))</x:f>
      </x:c>
      <x:c r="M480" s="12" t="str">
        <x:f>IF(A480="","","مرحبًا "&amp;C480&amp;CHAR(10)&amp;CHAR(10)&amp;"بناءً على نتيجة تقييم عيادة "&amp;B480&amp;"، فإن الترشيح الأقوى لكم الآن هو: "&amp;G480&amp;"."&amp;CHAR(10)&amp;"هذا الخيار يساعدكم في معالجة أكبر فجوة حالية بشكل عملي ومباشر."&amp;IF(J480&lt;&gt;"",CHAR(10)&amp;CHAR(10)&amp;"رابط التقرير: "&amp;J480,"")&amp;CHAR(10)&amp;CHAR(10)&amp;"إذا رغبت، يمكننا توضيح لماذا هذا الكورس هو الأنسب لكم الآن.")</x:f>
      </x:c>
      <x:c r="N480" s="12" t="str">
        <x:f>IF(D480="","",HYPERLINK("https://wa.me/"&amp;REGEXREPLACE(D480,"[^\d]","")&amp;"?text="&amp;ENCODEURL(M480),"واتساب 2"))</x:f>
      </x:c>
      <x:c r="O480" s="12" t="str">
        <x:f>IF(A480="","","مرحبًا "&amp;C480&amp;CHAR(10)&amp;CHAR(10)&amp;"إذا كانت التحديات لديكم تحتاج حلًا أشمل، فالبرنامج الكامل المناسب لكم هو: "&amp;H480&amp;"."&amp;IF(I480&lt;&gt;"",CHAR(10)&amp;"كما يمكنكم أيضًا حجز: "&amp;I480&amp;".","")&amp;IF(J480&lt;&gt;"",CHAR(10)&amp;CHAR(10)&amp;"رابط التقرير: "&amp;J480,"")&amp;CHAR(10)&amp;CHAR(10)&amp;"يسعدنا مساعدتكم في اختيار المسار الأنسب حسب وضع العيادة الحالي.")</x:f>
      </x:c>
      <x:c r="P480" s="12" t="str">
        <x:f>IF(D480="","",HYPERLINK("https://wa.me/"&amp;REGEXREPLACE(D480,"[^\d]","")&amp;"?text="&amp;ENCODEURL(O480),"واتساب 3"))</x:f>
      </x:c>
    </x:row>
    <x:row r="481" ht="15" hidden="0" customHeight="1">
      <x:c r="A481" s="12" t="str">
        <x:f>IF(Leads!A481="","",Leads!A481)</x:f>
      </x:c>
      <x:c r="B481" s="12" t="str">
        <x:f>IF(Leads!F481="","",Leads!F481)</x:f>
      </x:c>
      <x:c r="C481" s="12" t="str">
        <x:f>IF(Leads!G481="","",Leads!G481)</x:f>
      </x:c>
      <x:c r="D481" s="12" t="str">
        <x:f>IF(Leads!O481="","",Leads!O481)</x:f>
      </x:c>
      <x:c r="E481" s="12" t="str">
        <x:f>IF(Leads!AV481="","",Leads!AV481)</x:f>
      </x:c>
      <x:c r="F481" s="12" t="str">
        <x:f>IF(Leads!AX481="","",Leads!AX481)</x:f>
      </x:c>
      <x:c r="G481" s="12" t="str">
        <x:f>IF(Leads!BC481="","",Leads!BC481)</x:f>
      </x:c>
      <x:c r="H481" s="12" t="str">
        <x:f>IF(Leads!BE481="","",Leads!BE481)</x:f>
      </x:c>
      <x:c r="I481" s="12" t="str">
        <x:f>IF(Leads!BG481="","",Leads!BG481)</x:f>
      </x:c>
      <x:c r="J481" s="12" t="str">
        <x:f>IF(Leads!BH481="","",Leads!BH481)</x:f>
      </x:c>
      <x:c r="K481" s="12" t="str">
        <x:f>IF(A481="","","مرحبًا "&amp;C481&amp;CHAR(10)&amp;CHAR(10)&amp;"شكرًا لإتمام تقييم DBD الخاص بعيادة "&amp;B481&amp;"."&amp;CHAR(10)&amp;"نتيجتكم الحالية: "&amp;E481&amp;"%."&amp;CHAR(10)&amp;"أولوية التحسين الأولى: "&amp;F481&amp;"."&amp;IF(J481&lt;&gt;"",CHAR(10)&amp;CHAR(10)&amp;"رابط التقرير: "&amp;J481,"")&amp;CHAR(10)&amp;CHAR(10)&amp;"إذا أحببت، يمكننا مساعدتك في فهم التقرير وتحديد أفضل خطوة تالية لعيادتكم.")</x:f>
      </x:c>
      <x:c r="L481" s="12" t="str">
        <x:f>IF(D481="","",HYPERLINK("https://wa.me/"&amp;REGEXREPLACE(D481,"[^\d]","")&amp;"?text="&amp;ENCODEURL(K481),"واتساب 1"))</x:f>
      </x:c>
      <x:c r="M481" s="12" t="str">
        <x:f>IF(A481="","","مرحبًا "&amp;C481&amp;CHAR(10)&amp;CHAR(10)&amp;"بناءً على نتيجة تقييم عيادة "&amp;B481&amp;"، فإن الترشيح الأقوى لكم الآن هو: "&amp;G481&amp;"."&amp;CHAR(10)&amp;"هذا الخيار يساعدكم في معالجة أكبر فجوة حالية بشكل عملي ومباشر."&amp;IF(J481&lt;&gt;"",CHAR(10)&amp;CHAR(10)&amp;"رابط التقرير: "&amp;J481,"")&amp;CHAR(10)&amp;CHAR(10)&amp;"إذا رغبت، يمكننا توضيح لماذا هذا الكورس هو الأنسب لكم الآن.")</x:f>
      </x:c>
      <x:c r="N481" s="12" t="str">
        <x:f>IF(D481="","",HYPERLINK("https://wa.me/"&amp;REGEXREPLACE(D481,"[^\d]","")&amp;"?text="&amp;ENCODEURL(M481),"واتساب 2"))</x:f>
      </x:c>
      <x:c r="O481" s="12" t="str">
        <x:f>IF(A481="","","مرحبًا "&amp;C481&amp;CHAR(10)&amp;CHAR(10)&amp;"إذا كانت التحديات لديكم تحتاج حلًا أشمل، فالبرنامج الكامل المناسب لكم هو: "&amp;H481&amp;"."&amp;IF(I481&lt;&gt;"",CHAR(10)&amp;"كما يمكنكم أيضًا حجز: "&amp;I481&amp;".","")&amp;IF(J481&lt;&gt;"",CHAR(10)&amp;CHAR(10)&amp;"رابط التقرير: "&amp;J481,"")&amp;CHAR(10)&amp;CHAR(10)&amp;"يسعدنا مساعدتكم في اختيار المسار الأنسب حسب وضع العيادة الحالي.")</x:f>
      </x:c>
      <x:c r="P481" s="12" t="str">
        <x:f>IF(D481="","",HYPERLINK("https://wa.me/"&amp;REGEXREPLACE(D481,"[^\d]","")&amp;"?text="&amp;ENCODEURL(O481),"واتساب 3"))</x:f>
      </x:c>
    </x:row>
    <x:row r="482" ht="15" hidden="0" customHeight="1">
      <x:c r="A482" s="12" t="str">
        <x:f>IF(Leads!A482="","",Leads!A482)</x:f>
      </x:c>
      <x:c r="B482" s="12" t="str">
        <x:f>IF(Leads!F482="","",Leads!F482)</x:f>
      </x:c>
      <x:c r="C482" s="12" t="str">
        <x:f>IF(Leads!G482="","",Leads!G482)</x:f>
      </x:c>
      <x:c r="D482" s="12" t="str">
        <x:f>IF(Leads!O482="","",Leads!O482)</x:f>
      </x:c>
      <x:c r="E482" s="12" t="str">
        <x:f>IF(Leads!AV482="","",Leads!AV482)</x:f>
      </x:c>
      <x:c r="F482" s="12" t="str">
        <x:f>IF(Leads!AX482="","",Leads!AX482)</x:f>
      </x:c>
      <x:c r="G482" s="12" t="str">
        <x:f>IF(Leads!BC482="","",Leads!BC482)</x:f>
      </x:c>
      <x:c r="H482" s="12" t="str">
        <x:f>IF(Leads!BE482="","",Leads!BE482)</x:f>
      </x:c>
      <x:c r="I482" s="12" t="str">
        <x:f>IF(Leads!BG482="","",Leads!BG482)</x:f>
      </x:c>
      <x:c r="J482" s="12" t="str">
        <x:f>IF(Leads!BH482="","",Leads!BH482)</x:f>
      </x:c>
      <x:c r="K482" s="12" t="str">
        <x:f>IF(A482="","","مرحبًا "&amp;C482&amp;CHAR(10)&amp;CHAR(10)&amp;"شكرًا لإتمام تقييم DBD الخاص بعيادة "&amp;B482&amp;"."&amp;CHAR(10)&amp;"نتيجتكم الحالية: "&amp;E482&amp;"%."&amp;CHAR(10)&amp;"أولوية التحسين الأولى: "&amp;F482&amp;"."&amp;IF(J482&lt;&gt;"",CHAR(10)&amp;CHAR(10)&amp;"رابط التقرير: "&amp;J482,"")&amp;CHAR(10)&amp;CHAR(10)&amp;"إذا أحببت، يمكننا مساعدتك في فهم التقرير وتحديد أفضل خطوة تالية لعيادتكم.")</x:f>
      </x:c>
      <x:c r="L482" s="12" t="str">
        <x:f>IF(D482="","",HYPERLINK("https://wa.me/"&amp;REGEXREPLACE(D482,"[^\d]","")&amp;"?text="&amp;ENCODEURL(K482),"واتساب 1"))</x:f>
      </x:c>
      <x:c r="M482" s="12" t="str">
        <x:f>IF(A482="","","مرحبًا "&amp;C482&amp;CHAR(10)&amp;CHAR(10)&amp;"بناءً على نتيجة تقييم عيادة "&amp;B482&amp;"، فإن الترشيح الأقوى لكم الآن هو: "&amp;G482&amp;"."&amp;CHAR(10)&amp;"هذا الخيار يساعدكم في معالجة أكبر فجوة حالية بشكل عملي ومباشر."&amp;IF(J482&lt;&gt;"",CHAR(10)&amp;CHAR(10)&amp;"رابط التقرير: "&amp;J482,"")&amp;CHAR(10)&amp;CHAR(10)&amp;"إذا رغبت، يمكننا توضيح لماذا هذا الكورس هو الأنسب لكم الآن.")</x:f>
      </x:c>
      <x:c r="N482" s="12" t="str">
        <x:f>IF(D482="","",HYPERLINK("https://wa.me/"&amp;REGEXREPLACE(D482,"[^\d]","")&amp;"?text="&amp;ENCODEURL(M482),"واتساب 2"))</x:f>
      </x:c>
      <x:c r="O482" s="12" t="str">
        <x:f>IF(A482="","","مرحبًا "&amp;C482&amp;CHAR(10)&amp;CHAR(10)&amp;"إذا كانت التحديات لديكم تحتاج حلًا أشمل، فالبرنامج الكامل المناسب لكم هو: "&amp;H482&amp;"."&amp;IF(I482&lt;&gt;"",CHAR(10)&amp;"كما يمكنكم أيضًا حجز: "&amp;I482&amp;".","")&amp;IF(J482&lt;&gt;"",CHAR(10)&amp;CHAR(10)&amp;"رابط التقرير: "&amp;J482,"")&amp;CHAR(10)&amp;CHAR(10)&amp;"يسعدنا مساعدتكم في اختيار المسار الأنسب حسب وضع العيادة الحالي.")</x:f>
      </x:c>
      <x:c r="P482" s="12" t="str">
        <x:f>IF(D482="","",HYPERLINK("https://wa.me/"&amp;REGEXREPLACE(D482,"[^\d]","")&amp;"?text="&amp;ENCODEURL(O482),"واتساب 3"))</x:f>
      </x:c>
    </x:row>
    <x:row r="483" ht="15" hidden="0" customHeight="1">
      <x:c r="A483" s="12" t="str">
        <x:f>IF(Leads!A483="","",Leads!A483)</x:f>
      </x:c>
      <x:c r="B483" s="12" t="str">
        <x:f>IF(Leads!F483="","",Leads!F483)</x:f>
      </x:c>
      <x:c r="C483" s="12" t="str">
        <x:f>IF(Leads!G483="","",Leads!G483)</x:f>
      </x:c>
      <x:c r="D483" s="12" t="str">
        <x:f>IF(Leads!O483="","",Leads!O483)</x:f>
      </x:c>
      <x:c r="E483" s="12" t="str">
        <x:f>IF(Leads!AV483="","",Leads!AV483)</x:f>
      </x:c>
      <x:c r="F483" s="12" t="str">
        <x:f>IF(Leads!AX483="","",Leads!AX483)</x:f>
      </x:c>
      <x:c r="G483" s="12" t="str">
        <x:f>IF(Leads!BC483="","",Leads!BC483)</x:f>
      </x:c>
      <x:c r="H483" s="12" t="str">
        <x:f>IF(Leads!BE483="","",Leads!BE483)</x:f>
      </x:c>
      <x:c r="I483" s="12" t="str">
        <x:f>IF(Leads!BG483="","",Leads!BG483)</x:f>
      </x:c>
      <x:c r="J483" s="12" t="str">
        <x:f>IF(Leads!BH483="","",Leads!BH483)</x:f>
      </x:c>
      <x:c r="K483" s="12" t="str">
        <x:f>IF(A483="","","مرحبًا "&amp;C483&amp;CHAR(10)&amp;CHAR(10)&amp;"شكرًا لإتمام تقييم DBD الخاص بعيادة "&amp;B483&amp;"."&amp;CHAR(10)&amp;"نتيجتكم الحالية: "&amp;E483&amp;"%."&amp;CHAR(10)&amp;"أولوية التحسين الأولى: "&amp;F483&amp;"."&amp;IF(J483&lt;&gt;"",CHAR(10)&amp;CHAR(10)&amp;"رابط التقرير: "&amp;J483,"")&amp;CHAR(10)&amp;CHAR(10)&amp;"إذا أحببت، يمكننا مساعدتك في فهم التقرير وتحديد أفضل خطوة تالية لعيادتكم.")</x:f>
      </x:c>
      <x:c r="L483" s="12" t="str">
        <x:f>IF(D483="","",HYPERLINK("https://wa.me/"&amp;REGEXREPLACE(D483,"[^\d]","")&amp;"?text="&amp;ENCODEURL(K483),"واتساب 1"))</x:f>
      </x:c>
      <x:c r="M483" s="12" t="str">
        <x:f>IF(A483="","","مرحبًا "&amp;C483&amp;CHAR(10)&amp;CHAR(10)&amp;"بناءً على نتيجة تقييم عيادة "&amp;B483&amp;"، فإن الترشيح الأقوى لكم الآن هو: "&amp;G483&amp;"."&amp;CHAR(10)&amp;"هذا الخيار يساعدكم في معالجة أكبر فجوة حالية بشكل عملي ومباشر."&amp;IF(J483&lt;&gt;"",CHAR(10)&amp;CHAR(10)&amp;"رابط التقرير: "&amp;J483,"")&amp;CHAR(10)&amp;CHAR(10)&amp;"إذا رغبت، يمكننا توضيح لماذا هذا الكورس هو الأنسب لكم الآن.")</x:f>
      </x:c>
      <x:c r="N483" s="12" t="str">
        <x:f>IF(D483="","",HYPERLINK("https://wa.me/"&amp;REGEXREPLACE(D483,"[^\d]","")&amp;"?text="&amp;ENCODEURL(M483),"واتساب 2"))</x:f>
      </x:c>
      <x:c r="O483" s="12" t="str">
        <x:f>IF(A483="","","مرحبًا "&amp;C483&amp;CHAR(10)&amp;CHAR(10)&amp;"إذا كانت التحديات لديكم تحتاج حلًا أشمل، فالبرنامج الكامل المناسب لكم هو: "&amp;H483&amp;"."&amp;IF(I483&lt;&gt;"",CHAR(10)&amp;"كما يمكنكم أيضًا حجز: "&amp;I483&amp;".","")&amp;IF(J483&lt;&gt;"",CHAR(10)&amp;CHAR(10)&amp;"رابط التقرير: "&amp;J483,"")&amp;CHAR(10)&amp;CHAR(10)&amp;"يسعدنا مساعدتكم في اختيار المسار الأنسب حسب وضع العيادة الحالي.")</x:f>
      </x:c>
      <x:c r="P483" s="12" t="str">
        <x:f>IF(D483="","",HYPERLINK("https://wa.me/"&amp;REGEXREPLACE(D483,"[^\d]","")&amp;"?text="&amp;ENCODEURL(O483),"واتساب 3"))</x:f>
      </x:c>
    </x:row>
    <x:row r="484" ht="15" hidden="0" customHeight="1">
      <x:c r="A484" s="12" t="str">
        <x:f>IF(Leads!A484="","",Leads!A484)</x:f>
      </x:c>
      <x:c r="B484" s="12" t="str">
        <x:f>IF(Leads!F484="","",Leads!F484)</x:f>
      </x:c>
      <x:c r="C484" s="12" t="str">
        <x:f>IF(Leads!G484="","",Leads!G484)</x:f>
      </x:c>
      <x:c r="D484" s="12" t="str">
        <x:f>IF(Leads!O484="","",Leads!O484)</x:f>
      </x:c>
      <x:c r="E484" s="12" t="str">
        <x:f>IF(Leads!AV484="","",Leads!AV484)</x:f>
      </x:c>
      <x:c r="F484" s="12" t="str">
        <x:f>IF(Leads!AX484="","",Leads!AX484)</x:f>
      </x:c>
      <x:c r="G484" s="12" t="str">
        <x:f>IF(Leads!BC484="","",Leads!BC484)</x:f>
      </x:c>
      <x:c r="H484" s="12" t="str">
        <x:f>IF(Leads!BE484="","",Leads!BE484)</x:f>
      </x:c>
      <x:c r="I484" s="12" t="str">
        <x:f>IF(Leads!BG484="","",Leads!BG484)</x:f>
      </x:c>
      <x:c r="J484" s="12" t="str">
        <x:f>IF(Leads!BH484="","",Leads!BH484)</x:f>
      </x:c>
      <x:c r="K484" s="12" t="str">
        <x:f>IF(A484="","","مرحبًا "&amp;C484&amp;CHAR(10)&amp;CHAR(10)&amp;"شكرًا لإتمام تقييم DBD الخاص بعيادة "&amp;B484&amp;"."&amp;CHAR(10)&amp;"نتيجتكم الحالية: "&amp;E484&amp;"%."&amp;CHAR(10)&amp;"أولوية التحسين الأولى: "&amp;F484&amp;"."&amp;IF(J484&lt;&gt;"",CHAR(10)&amp;CHAR(10)&amp;"رابط التقرير: "&amp;J484,"")&amp;CHAR(10)&amp;CHAR(10)&amp;"إذا أحببت، يمكننا مساعدتك في فهم التقرير وتحديد أفضل خطوة تالية لعيادتكم.")</x:f>
      </x:c>
      <x:c r="L484" s="12" t="str">
        <x:f>IF(D484="","",HYPERLINK("https://wa.me/"&amp;REGEXREPLACE(D484,"[^\d]","")&amp;"?text="&amp;ENCODEURL(K484),"واتساب 1"))</x:f>
      </x:c>
      <x:c r="M484" s="12" t="str">
        <x:f>IF(A484="","","مرحبًا "&amp;C484&amp;CHAR(10)&amp;CHAR(10)&amp;"بناءً على نتيجة تقييم عيادة "&amp;B484&amp;"، فإن الترشيح الأقوى لكم الآن هو: "&amp;G484&amp;"."&amp;CHAR(10)&amp;"هذا الخيار يساعدكم في معالجة أكبر فجوة حالية بشكل عملي ومباشر."&amp;IF(J484&lt;&gt;"",CHAR(10)&amp;CHAR(10)&amp;"رابط التقرير: "&amp;J484,"")&amp;CHAR(10)&amp;CHAR(10)&amp;"إذا رغبت، يمكننا توضيح لماذا هذا الكورس هو الأنسب لكم الآن.")</x:f>
      </x:c>
      <x:c r="N484" s="12" t="str">
        <x:f>IF(D484="","",HYPERLINK("https://wa.me/"&amp;REGEXREPLACE(D484,"[^\d]","")&amp;"?text="&amp;ENCODEURL(M484),"واتساب 2"))</x:f>
      </x:c>
      <x:c r="O484" s="12" t="str">
        <x:f>IF(A484="","","مرحبًا "&amp;C484&amp;CHAR(10)&amp;CHAR(10)&amp;"إذا كانت التحديات لديكم تحتاج حلًا أشمل، فالبرنامج الكامل المناسب لكم هو: "&amp;H484&amp;"."&amp;IF(I484&lt;&gt;"",CHAR(10)&amp;"كما يمكنكم أيضًا حجز: "&amp;I484&amp;".","")&amp;IF(J484&lt;&gt;"",CHAR(10)&amp;CHAR(10)&amp;"رابط التقرير: "&amp;J484,"")&amp;CHAR(10)&amp;CHAR(10)&amp;"يسعدنا مساعدتكم في اختيار المسار الأنسب حسب وضع العيادة الحالي.")</x:f>
      </x:c>
      <x:c r="P484" s="12" t="str">
        <x:f>IF(D484="","",HYPERLINK("https://wa.me/"&amp;REGEXREPLACE(D484,"[^\d]","")&amp;"?text="&amp;ENCODEURL(O484),"واتساب 3"))</x:f>
      </x:c>
    </x:row>
    <x:row r="485" ht="15" hidden="0" customHeight="1">
      <x:c r="A485" s="12" t="str">
        <x:f>IF(Leads!A485="","",Leads!A485)</x:f>
      </x:c>
      <x:c r="B485" s="12" t="str">
        <x:f>IF(Leads!F485="","",Leads!F485)</x:f>
      </x:c>
      <x:c r="C485" s="12" t="str">
        <x:f>IF(Leads!G485="","",Leads!G485)</x:f>
      </x:c>
      <x:c r="D485" s="12" t="str">
        <x:f>IF(Leads!O485="","",Leads!O485)</x:f>
      </x:c>
      <x:c r="E485" s="12" t="str">
        <x:f>IF(Leads!AV485="","",Leads!AV485)</x:f>
      </x:c>
      <x:c r="F485" s="12" t="str">
        <x:f>IF(Leads!AX485="","",Leads!AX485)</x:f>
      </x:c>
      <x:c r="G485" s="12" t="str">
        <x:f>IF(Leads!BC485="","",Leads!BC485)</x:f>
      </x:c>
      <x:c r="H485" s="12" t="str">
        <x:f>IF(Leads!BE485="","",Leads!BE485)</x:f>
      </x:c>
      <x:c r="I485" s="12" t="str">
        <x:f>IF(Leads!BG485="","",Leads!BG485)</x:f>
      </x:c>
      <x:c r="J485" s="12" t="str">
        <x:f>IF(Leads!BH485="","",Leads!BH485)</x:f>
      </x:c>
      <x:c r="K485" s="12" t="str">
        <x:f>IF(A485="","","مرحبًا "&amp;C485&amp;CHAR(10)&amp;CHAR(10)&amp;"شكرًا لإتمام تقييم DBD الخاص بعيادة "&amp;B485&amp;"."&amp;CHAR(10)&amp;"نتيجتكم الحالية: "&amp;E485&amp;"%."&amp;CHAR(10)&amp;"أولوية التحسين الأولى: "&amp;F485&amp;"."&amp;IF(J485&lt;&gt;"",CHAR(10)&amp;CHAR(10)&amp;"رابط التقرير: "&amp;J485,"")&amp;CHAR(10)&amp;CHAR(10)&amp;"إذا أحببت، يمكننا مساعدتك في فهم التقرير وتحديد أفضل خطوة تالية لعيادتكم.")</x:f>
      </x:c>
      <x:c r="L485" s="12" t="str">
        <x:f>IF(D485="","",HYPERLINK("https://wa.me/"&amp;REGEXREPLACE(D485,"[^\d]","")&amp;"?text="&amp;ENCODEURL(K485),"واتساب 1"))</x:f>
      </x:c>
      <x:c r="M485" s="12" t="str">
        <x:f>IF(A485="","","مرحبًا "&amp;C485&amp;CHAR(10)&amp;CHAR(10)&amp;"بناءً على نتيجة تقييم عيادة "&amp;B485&amp;"، فإن الترشيح الأقوى لكم الآن هو: "&amp;G485&amp;"."&amp;CHAR(10)&amp;"هذا الخيار يساعدكم في معالجة أكبر فجوة حالية بشكل عملي ومباشر."&amp;IF(J485&lt;&gt;"",CHAR(10)&amp;CHAR(10)&amp;"رابط التقرير: "&amp;J485,"")&amp;CHAR(10)&amp;CHAR(10)&amp;"إذا رغبت، يمكننا توضيح لماذا هذا الكورس هو الأنسب لكم الآن.")</x:f>
      </x:c>
      <x:c r="N485" s="12" t="str">
        <x:f>IF(D485="","",HYPERLINK("https://wa.me/"&amp;REGEXREPLACE(D485,"[^\d]","")&amp;"?text="&amp;ENCODEURL(M485),"واتساب 2"))</x:f>
      </x:c>
      <x:c r="O485" s="12" t="str">
        <x:f>IF(A485="","","مرحبًا "&amp;C485&amp;CHAR(10)&amp;CHAR(10)&amp;"إذا كانت التحديات لديكم تحتاج حلًا أشمل، فالبرنامج الكامل المناسب لكم هو: "&amp;H485&amp;"."&amp;IF(I485&lt;&gt;"",CHAR(10)&amp;"كما يمكنكم أيضًا حجز: "&amp;I485&amp;".","")&amp;IF(J485&lt;&gt;"",CHAR(10)&amp;CHAR(10)&amp;"رابط التقرير: "&amp;J485,"")&amp;CHAR(10)&amp;CHAR(10)&amp;"يسعدنا مساعدتكم في اختيار المسار الأنسب حسب وضع العيادة الحالي.")</x:f>
      </x:c>
      <x:c r="P485" s="12" t="str">
        <x:f>IF(D485="","",HYPERLINK("https://wa.me/"&amp;REGEXREPLACE(D485,"[^\d]","")&amp;"?text="&amp;ENCODEURL(O485),"واتساب 3"))</x:f>
      </x:c>
    </x:row>
    <x:row r="486" ht="15" hidden="0" customHeight="1">
      <x:c r="A486" s="12" t="str">
        <x:f>IF(Leads!A486="","",Leads!A486)</x:f>
      </x:c>
      <x:c r="B486" s="12" t="str">
        <x:f>IF(Leads!F486="","",Leads!F486)</x:f>
      </x:c>
      <x:c r="C486" s="12" t="str">
        <x:f>IF(Leads!G486="","",Leads!G486)</x:f>
      </x:c>
      <x:c r="D486" s="12" t="str">
        <x:f>IF(Leads!O486="","",Leads!O486)</x:f>
      </x:c>
      <x:c r="E486" s="12" t="str">
        <x:f>IF(Leads!AV486="","",Leads!AV486)</x:f>
      </x:c>
      <x:c r="F486" s="12" t="str">
        <x:f>IF(Leads!AX486="","",Leads!AX486)</x:f>
      </x:c>
      <x:c r="G486" s="12" t="str">
        <x:f>IF(Leads!BC486="","",Leads!BC486)</x:f>
      </x:c>
      <x:c r="H486" s="12" t="str">
        <x:f>IF(Leads!BE486="","",Leads!BE486)</x:f>
      </x:c>
      <x:c r="I486" s="12" t="str">
        <x:f>IF(Leads!BG486="","",Leads!BG486)</x:f>
      </x:c>
      <x:c r="J486" s="12" t="str">
        <x:f>IF(Leads!BH486="","",Leads!BH486)</x:f>
      </x:c>
      <x:c r="K486" s="12" t="str">
        <x:f>IF(A486="","","مرحبًا "&amp;C486&amp;CHAR(10)&amp;CHAR(10)&amp;"شكرًا لإتمام تقييم DBD الخاص بعيادة "&amp;B486&amp;"."&amp;CHAR(10)&amp;"نتيجتكم الحالية: "&amp;E486&amp;"%."&amp;CHAR(10)&amp;"أولوية التحسين الأولى: "&amp;F486&amp;"."&amp;IF(J486&lt;&gt;"",CHAR(10)&amp;CHAR(10)&amp;"رابط التقرير: "&amp;J486,"")&amp;CHAR(10)&amp;CHAR(10)&amp;"إذا أحببت، يمكننا مساعدتك في فهم التقرير وتحديد أفضل خطوة تالية لعيادتكم.")</x:f>
      </x:c>
      <x:c r="L486" s="12" t="str">
        <x:f>IF(D486="","",HYPERLINK("https://wa.me/"&amp;REGEXREPLACE(D486,"[^\d]","")&amp;"?text="&amp;ENCODEURL(K486),"واتساب 1"))</x:f>
      </x:c>
      <x:c r="M486" s="12" t="str">
        <x:f>IF(A486="","","مرحبًا "&amp;C486&amp;CHAR(10)&amp;CHAR(10)&amp;"بناءً على نتيجة تقييم عيادة "&amp;B486&amp;"، فإن الترشيح الأقوى لكم الآن هو: "&amp;G486&amp;"."&amp;CHAR(10)&amp;"هذا الخيار يساعدكم في معالجة أكبر فجوة حالية بشكل عملي ومباشر."&amp;IF(J486&lt;&gt;"",CHAR(10)&amp;CHAR(10)&amp;"رابط التقرير: "&amp;J486,"")&amp;CHAR(10)&amp;CHAR(10)&amp;"إذا رغبت، يمكننا توضيح لماذا هذا الكورس هو الأنسب لكم الآن.")</x:f>
      </x:c>
      <x:c r="N486" s="12" t="str">
        <x:f>IF(D486="","",HYPERLINK("https://wa.me/"&amp;REGEXREPLACE(D486,"[^\d]","")&amp;"?text="&amp;ENCODEURL(M486),"واتساب 2"))</x:f>
      </x:c>
      <x:c r="O486" s="12" t="str">
        <x:f>IF(A486="","","مرحبًا "&amp;C486&amp;CHAR(10)&amp;CHAR(10)&amp;"إذا كانت التحديات لديكم تحتاج حلًا أشمل، فالبرنامج الكامل المناسب لكم هو: "&amp;H486&amp;"."&amp;IF(I486&lt;&gt;"",CHAR(10)&amp;"كما يمكنكم أيضًا حجز: "&amp;I486&amp;".","")&amp;IF(J486&lt;&gt;"",CHAR(10)&amp;CHAR(10)&amp;"رابط التقرير: "&amp;J486,"")&amp;CHAR(10)&amp;CHAR(10)&amp;"يسعدنا مساعدتكم في اختيار المسار الأنسب حسب وضع العيادة الحالي.")</x:f>
      </x:c>
      <x:c r="P486" s="12" t="str">
        <x:f>IF(D486="","",HYPERLINK("https://wa.me/"&amp;REGEXREPLACE(D486,"[^\d]","")&amp;"?text="&amp;ENCODEURL(O486),"واتساب 3"))</x:f>
      </x:c>
    </x:row>
    <x:row r="487" ht="15" hidden="0" customHeight="1">
      <x:c r="A487" s="12" t="str">
        <x:f>IF(Leads!A487="","",Leads!A487)</x:f>
      </x:c>
      <x:c r="B487" s="12" t="str">
        <x:f>IF(Leads!F487="","",Leads!F487)</x:f>
      </x:c>
      <x:c r="C487" s="12" t="str">
        <x:f>IF(Leads!G487="","",Leads!G487)</x:f>
      </x:c>
      <x:c r="D487" s="12" t="str">
        <x:f>IF(Leads!O487="","",Leads!O487)</x:f>
      </x:c>
      <x:c r="E487" s="12" t="str">
        <x:f>IF(Leads!AV487="","",Leads!AV487)</x:f>
      </x:c>
      <x:c r="F487" s="12" t="str">
        <x:f>IF(Leads!AX487="","",Leads!AX487)</x:f>
      </x:c>
      <x:c r="G487" s="12" t="str">
        <x:f>IF(Leads!BC487="","",Leads!BC487)</x:f>
      </x:c>
      <x:c r="H487" s="12" t="str">
        <x:f>IF(Leads!BE487="","",Leads!BE487)</x:f>
      </x:c>
      <x:c r="I487" s="12" t="str">
        <x:f>IF(Leads!BG487="","",Leads!BG487)</x:f>
      </x:c>
      <x:c r="J487" s="12" t="str">
        <x:f>IF(Leads!BH487="","",Leads!BH487)</x:f>
      </x:c>
      <x:c r="K487" s="12" t="str">
        <x:f>IF(A487="","","مرحبًا "&amp;C487&amp;CHAR(10)&amp;CHAR(10)&amp;"شكرًا لإتمام تقييم DBD الخاص بعيادة "&amp;B487&amp;"."&amp;CHAR(10)&amp;"نتيجتكم الحالية: "&amp;E487&amp;"%."&amp;CHAR(10)&amp;"أولوية التحسين الأولى: "&amp;F487&amp;"."&amp;IF(J487&lt;&gt;"",CHAR(10)&amp;CHAR(10)&amp;"رابط التقرير: "&amp;J487,"")&amp;CHAR(10)&amp;CHAR(10)&amp;"إذا أحببت، يمكننا مساعدتك في فهم التقرير وتحديد أفضل خطوة تالية لعيادتكم.")</x:f>
      </x:c>
      <x:c r="L487" s="12" t="str">
        <x:f>IF(D487="","",HYPERLINK("https://wa.me/"&amp;REGEXREPLACE(D487,"[^\d]","")&amp;"?text="&amp;ENCODEURL(K487),"واتساب 1"))</x:f>
      </x:c>
      <x:c r="M487" s="12" t="str">
        <x:f>IF(A487="","","مرحبًا "&amp;C487&amp;CHAR(10)&amp;CHAR(10)&amp;"بناءً على نتيجة تقييم عيادة "&amp;B487&amp;"، فإن الترشيح الأقوى لكم الآن هو: "&amp;G487&amp;"."&amp;CHAR(10)&amp;"هذا الخيار يساعدكم في معالجة أكبر فجوة حالية بشكل عملي ومباشر."&amp;IF(J487&lt;&gt;"",CHAR(10)&amp;CHAR(10)&amp;"رابط التقرير: "&amp;J487,"")&amp;CHAR(10)&amp;CHAR(10)&amp;"إذا رغبت، يمكننا توضيح لماذا هذا الكورس هو الأنسب لكم الآن.")</x:f>
      </x:c>
      <x:c r="N487" s="12" t="str">
        <x:f>IF(D487="","",HYPERLINK("https://wa.me/"&amp;REGEXREPLACE(D487,"[^\d]","")&amp;"?text="&amp;ENCODEURL(M487),"واتساب 2"))</x:f>
      </x:c>
      <x:c r="O487" s="12" t="str">
        <x:f>IF(A487="","","مرحبًا "&amp;C487&amp;CHAR(10)&amp;CHAR(10)&amp;"إذا كانت التحديات لديكم تحتاج حلًا أشمل، فالبرنامج الكامل المناسب لكم هو: "&amp;H487&amp;"."&amp;IF(I487&lt;&gt;"",CHAR(10)&amp;"كما يمكنكم أيضًا حجز: "&amp;I487&amp;".","")&amp;IF(J487&lt;&gt;"",CHAR(10)&amp;CHAR(10)&amp;"رابط التقرير: "&amp;J487,"")&amp;CHAR(10)&amp;CHAR(10)&amp;"يسعدنا مساعدتكم في اختيار المسار الأنسب حسب وضع العيادة الحالي.")</x:f>
      </x:c>
      <x:c r="P487" s="12" t="str">
        <x:f>IF(D487="","",HYPERLINK("https://wa.me/"&amp;REGEXREPLACE(D487,"[^\d]","")&amp;"?text="&amp;ENCODEURL(O487),"واتساب 3"))</x:f>
      </x:c>
    </x:row>
    <x:row r="488" ht="15" hidden="0" customHeight="1">
      <x:c r="A488" s="12" t="str">
        <x:f>IF(Leads!A488="","",Leads!A488)</x:f>
      </x:c>
      <x:c r="B488" s="12" t="str">
        <x:f>IF(Leads!F488="","",Leads!F488)</x:f>
      </x:c>
      <x:c r="C488" s="12" t="str">
        <x:f>IF(Leads!G488="","",Leads!G488)</x:f>
      </x:c>
      <x:c r="D488" s="12" t="str">
        <x:f>IF(Leads!O488="","",Leads!O488)</x:f>
      </x:c>
      <x:c r="E488" s="12" t="str">
        <x:f>IF(Leads!AV488="","",Leads!AV488)</x:f>
      </x:c>
      <x:c r="F488" s="12" t="str">
        <x:f>IF(Leads!AX488="","",Leads!AX488)</x:f>
      </x:c>
      <x:c r="G488" s="12" t="str">
        <x:f>IF(Leads!BC488="","",Leads!BC488)</x:f>
      </x:c>
      <x:c r="H488" s="12" t="str">
        <x:f>IF(Leads!BE488="","",Leads!BE488)</x:f>
      </x:c>
      <x:c r="I488" s="12" t="str">
        <x:f>IF(Leads!BG488="","",Leads!BG488)</x:f>
      </x:c>
      <x:c r="J488" s="12" t="str">
        <x:f>IF(Leads!BH488="","",Leads!BH488)</x:f>
      </x:c>
      <x:c r="K488" s="12" t="str">
        <x:f>IF(A488="","","مرحبًا "&amp;C488&amp;CHAR(10)&amp;CHAR(10)&amp;"شكرًا لإتمام تقييم DBD الخاص بعيادة "&amp;B488&amp;"."&amp;CHAR(10)&amp;"نتيجتكم الحالية: "&amp;E488&amp;"%."&amp;CHAR(10)&amp;"أولوية التحسين الأولى: "&amp;F488&amp;"."&amp;IF(J488&lt;&gt;"",CHAR(10)&amp;CHAR(10)&amp;"رابط التقرير: "&amp;J488,"")&amp;CHAR(10)&amp;CHAR(10)&amp;"إذا أحببت، يمكننا مساعدتك في فهم التقرير وتحديد أفضل خطوة تالية لعيادتكم.")</x:f>
      </x:c>
      <x:c r="L488" s="12" t="str">
        <x:f>IF(D488="","",HYPERLINK("https://wa.me/"&amp;REGEXREPLACE(D488,"[^\d]","")&amp;"?text="&amp;ENCODEURL(K488),"واتساب 1"))</x:f>
      </x:c>
      <x:c r="M488" s="12" t="str">
        <x:f>IF(A488="","","مرحبًا "&amp;C488&amp;CHAR(10)&amp;CHAR(10)&amp;"بناءً على نتيجة تقييم عيادة "&amp;B488&amp;"، فإن الترشيح الأقوى لكم الآن هو: "&amp;G488&amp;"."&amp;CHAR(10)&amp;"هذا الخيار يساعدكم في معالجة أكبر فجوة حالية بشكل عملي ومباشر."&amp;IF(J488&lt;&gt;"",CHAR(10)&amp;CHAR(10)&amp;"رابط التقرير: "&amp;J488,"")&amp;CHAR(10)&amp;CHAR(10)&amp;"إذا رغبت، يمكننا توضيح لماذا هذا الكورس هو الأنسب لكم الآن.")</x:f>
      </x:c>
      <x:c r="N488" s="12" t="str">
        <x:f>IF(D488="","",HYPERLINK("https://wa.me/"&amp;REGEXREPLACE(D488,"[^\d]","")&amp;"?text="&amp;ENCODEURL(M488),"واتساب 2"))</x:f>
      </x:c>
      <x:c r="O488" s="12" t="str">
        <x:f>IF(A488="","","مرحبًا "&amp;C488&amp;CHAR(10)&amp;CHAR(10)&amp;"إذا كانت التحديات لديكم تحتاج حلًا أشمل، فالبرنامج الكامل المناسب لكم هو: "&amp;H488&amp;"."&amp;IF(I488&lt;&gt;"",CHAR(10)&amp;"كما يمكنكم أيضًا حجز: "&amp;I488&amp;".","")&amp;IF(J488&lt;&gt;"",CHAR(10)&amp;CHAR(10)&amp;"رابط التقرير: "&amp;J488,"")&amp;CHAR(10)&amp;CHAR(10)&amp;"يسعدنا مساعدتكم في اختيار المسار الأنسب حسب وضع العيادة الحالي.")</x:f>
      </x:c>
      <x:c r="P488" s="12" t="str">
        <x:f>IF(D488="","",HYPERLINK("https://wa.me/"&amp;REGEXREPLACE(D488,"[^\d]","")&amp;"?text="&amp;ENCODEURL(O488),"واتساب 3"))</x:f>
      </x:c>
    </x:row>
    <x:row r="489" ht="15" hidden="0" customHeight="1">
      <x:c r="A489" s="12" t="str">
        <x:f>IF(Leads!A489="","",Leads!A489)</x:f>
      </x:c>
      <x:c r="B489" s="12" t="str">
        <x:f>IF(Leads!F489="","",Leads!F489)</x:f>
      </x:c>
      <x:c r="C489" s="12" t="str">
        <x:f>IF(Leads!G489="","",Leads!G489)</x:f>
      </x:c>
      <x:c r="D489" s="12" t="str">
        <x:f>IF(Leads!O489="","",Leads!O489)</x:f>
      </x:c>
      <x:c r="E489" s="12" t="str">
        <x:f>IF(Leads!AV489="","",Leads!AV489)</x:f>
      </x:c>
      <x:c r="F489" s="12" t="str">
        <x:f>IF(Leads!AX489="","",Leads!AX489)</x:f>
      </x:c>
      <x:c r="G489" s="12" t="str">
        <x:f>IF(Leads!BC489="","",Leads!BC489)</x:f>
      </x:c>
      <x:c r="H489" s="12" t="str">
        <x:f>IF(Leads!BE489="","",Leads!BE489)</x:f>
      </x:c>
      <x:c r="I489" s="12" t="str">
        <x:f>IF(Leads!BG489="","",Leads!BG489)</x:f>
      </x:c>
      <x:c r="J489" s="12" t="str">
        <x:f>IF(Leads!BH489="","",Leads!BH489)</x:f>
      </x:c>
      <x:c r="K489" s="12" t="str">
        <x:f>IF(A489="","","مرحبًا "&amp;C489&amp;CHAR(10)&amp;CHAR(10)&amp;"شكرًا لإتمام تقييم DBD الخاص بعيادة "&amp;B489&amp;"."&amp;CHAR(10)&amp;"نتيجتكم الحالية: "&amp;E489&amp;"%."&amp;CHAR(10)&amp;"أولوية التحسين الأولى: "&amp;F489&amp;"."&amp;IF(J489&lt;&gt;"",CHAR(10)&amp;CHAR(10)&amp;"رابط التقرير: "&amp;J489,"")&amp;CHAR(10)&amp;CHAR(10)&amp;"إذا أحببت، يمكننا مساعدتك في فهم التقرير وتحديد أفضل خطوة تالية لعيادتكم.")</x:f>
      </x:c>
      <x:c r="L489" s="12" t="str">
        <x:f>IF(D489="","",HYPERLINK("https://wa.me/"&amp;REGEXREPLACE(D489,"[^\d]","")&amp;"?text="&amp;ENCODEURL(K489),"واتساب 1"))</x:f>
      </x:c>
      <x:c r="M489" s="12" t="str">
        <x:f>IF(A489="","","مرحبًا "&amp;C489&amp;CHAR(10)&amp;CHAR(10)&amp;"بناءً على نتيجة تقييم عيادة "&amp;B489&amp;"، فإن الترشيح الأقوى لكم الآن هو: "&amp;G489&amp;"."&amp;CHAR(10)&amp;"هذا الخيار يساعدكم في معالجة أكبر فجوة حالية بشكل عملي ومباشر."&amp;IF(J489&lt;&gt;"",CHAR(10)&amp;CHAR(10)&amp;"رابط التقرير: "&amp;J489,"")&amp;CHAR(10)&amp;CHAR(10)&amp;"إذا رغبت، يمكننا توضيح لماذا هذا الكورس هو الأنسب لكم الآن.")</x:f>
      </x:c>
      <x:c r="N489" s="12" t="str">
        <x:f>IF(D489="","",HYPERLINK("https://wa.me/"&amp;REGEXREPLACE(D489,"[^\d]","")&amp;"?text="&amp;ENCODEURL(M489),"واتساب 2"))</x:f>
      </x:c>
      <x:c r="O489" s="12" t="str">
        <x:f>IF(A489="","","مرحبًا "&amp;C489&amp;CHAR(10)&amp;CHAR(10)&amp;"إذا كانت التحديات لديكم تحتاج حلًا أشمل، فالبرنامج الكامل المناسب لكم هو: "&amp;H489&amp;"."&amp;IF(I489&lt;&gt;"",CHAR(10)&amp;"كما يمكنكم أيضًا حجز: "&amp;I489&amp;".","")&amp;IF(J489&lt;&gt;"",CHAR(10)&amp;CHAR(10)&amp;"رابط التقرير: "&amp;J489,"")&amp;CHAR(10)&amp;CHAR(10)&amp;"يسعدنا مساعدتكم في اختيار المسار الأنسب حسب وضع العيادة الحالي.")</x:f>
      </x:c>
      <x:c r="P489" s="12" t="str">
        <x:f>IF(D489="","",HYPERLINK("https://wa.me/"&amp;REGEXREPLACE(D489,"[^\d]","")&amp;"?text="&amp;ENCODEURL(O489),"واتساب 3"))</x:f>
      </x:c>
    </x:row>
    <x:row r="490" ht="15" hidden="0" customHeight="1">
      <x:c r="A490" s="12" t="str">
        <x:f>IF(Leads!A490="","",Leads!A490)</x:f>
      </x:c>
      <x:c r="B490" s="12" t="str">
        <x:f>IF(Leads!F490="","",Leads!F490)</x:f>
      </x:c>
      <x:c r="C490" s="12" t="str">
        <x:f>IF(Leads!G490="","",Leads!G490)</x:f>
      </x:c>
      <x:c r="D490" s="12" t="str">
        <x:f>IF(Leads!O490="","",Leads!O490)</x:f>
      </x:c>
      <x:c r="E490" s="12" t="str">
        <x:f>IF(Leads!AV490="","",Leads!AV490)</x:f>
      </x:c>
      <x:c r="F490" s="12" t="str">
        <x:f>IF(Leads!AX490="","",Leads!AX490)</x:f>
      </x:c>
      <x:c r="G490" s="12" t="str">
        <x:f>IF(Leads!BC490="","",Leads!BC490)</x:f>
      </x:c>
      <x:c r="H490" s="12" t="str">
        <x:f>IF(Leads!BE490="","",Leads!BE490)</x:f>
      </x:c>
      <x:c r="I490" s="12" t="str">
        <x:f>IF(Leads!BG490="","",Leads!BG490)</x:f>
      </x:c>
      <x:c r="J490" s="12" t="str">
        <x:f>IF(Leads!BH490="","",Leads!BH490)</x:f>
      </x:c>
      <x:c r="K490" s="12" t="str">
        <x:f>IF(A490="","","مرحبًا "&amp;C490&amp;CHAR(10)&amp;CHAR(10)&amp;"شكرًا لإتمام تقييم DBD الخاص بعيادة "&amp;B490&amp;"."&amp;CHAR(10)&amp;"نتيجتكم الحالية: "&amp;E490&amp;"%."&amp;CHAR(10)&amp;"أولوية التحسين الأولى: "&amp;F490&amp;"."&amp;IF(J490&lt;&gt;"",CHAR(10)&amp;CHAR(10)&amp;"رابط التقرير: "&amp;J490,"")&amp;CHAR(10)&amp;CHAR(10)&amp;"إذا أحببت، يمكننا مساعدتك في فهم التقرير وتحديد أفضل خطوة تالية لعيادتكم.")</x:f>
      </x:c>
      <x:c r="L490" s="12" t="str">
        <x:f>IF(D490="","",HYPERLINK("https://wa.me/"&amp;REGEXREPLACE(D490,"[^\d]","")&amp;"?text="&amp;ENCODEURL(K490),"واتساب 1"))</x:f>
      </x:c>
      <x:c r="M490" s="12" t="str">
        <x:f>IF(A490="","","مرحبًا "&amp;C490&amp;CHAR(10)&amp;CHAR(10)&amp;"بناءً على نتيجة تقييم عيادة "&amp;B490&amp;"، فإن الترشيح الأقوى لكم الآن هو: "&amp;G490&amp;"."&amp;CHAR(10)&amp;"هذا الخيار يساعدكم في معالجة أكبر فجوة حالية بشكل عملي ومباشر."&amp;IF(J490&lt;&gt;"",CHAR(10)&amp;CHAR(10)&amp;"رابط التقرير: "&amp;J490,"")&amp;CHAR(10)&amp;CHAR(10)&amp;"إذا رغبت، يمكننا توضيح لماذا هذا الكورس هو الأنسب لكم الآن.")</x:f>
      </x:c>
      <x:c r="N490" s="12" t="str">
        <x:f>IF(D490="","",HYPERLINK("https://wa.me/"&amp;REGEXREPLACE(D490,"[^\d]","")&amp;"?text="&amp;ENCODEURL(M490),"واتساب 2"))</x:f>
      </x:c>
      <x:c r="O490" s="12" t="str">
        <x:f>IF(A490="","","مرحبًا "&amp;C490&amp;CHAR(10)&amp;CHAR(10)&amp;"إذا كانت التحديات لديكم تحتاج حلًا أشمل، فالبرنامج الكامل المناسب لكم هو: "&amp;H490&amp;"."&amp;IF(I490&lt;&gt;"",CHAR(10)&amp;"كما يمكنكم أيضًا حجز: "&amp;I490&amp;".","")&amp;IF(J490&lt;&gt;"",CHAR(10)&amp;CHAR(10)&amp;"رابط التقرير: "&amp;J490,"")&amp;CHAR(10)&amp;CHAR(10)&amp;"يسعدنا مساعدتكم في اختيار المسار الأنسب حسب وضع العيادة الحالي.")</x:f>
      </x:c>
      <x:c r="P490" s="12" t="str">
        <x:f>IF(D490="","",HYPERLINK("https://wa.me/"&amp;REGEXREPLACE(D490,"[^\d]","")&amp;"?text="&amp;ENCODEURL(O490),"واتساب 3"))</x:f>
      </x:c>
    </x:row>
    <x:row r="491" ht="15" hidden="0" customHeight="1">
      <x:c r="A491" s="12" t="str">
        <x:f>IF(Leads!A491="","",Leads!A491)</x:f>
      </x:c>
      <x:c r="B491" s="12" t="str">
        <x:f>IF(Leads!F491="","",Leads!F491)</x:f>
      </x:c>
      <x:c r="C491" s="12" t="str">
        <x:f>IF(Leads!G491="","",Leads!G491)</x:f>
      </x:c>
      <x:c r="D491" s="12" t="str">
        <x:f>IF(Leads!O491="","",Leads!O491)</x:f>
      </x:c>
      <x:c r="E491" s="12" t="str">
        <x:f>IF(Leads!AV491="","",Leads!AV491)</x:f>
      </x:c>
      <x:c r="F491" s="12" t="str">
        <x:f>IF(Leads!AX491="","",Leads!AX491)</x:f>
      </x:c>
      <x:c r="G491" s="12" t="str">
        <x:f>IF(Leads!BC491="","",Leads!BC491)</x:f>
      </x:c>
      <x:c r="H491" s="12" t="str">
        <x:f>IF(Leads!BE491="","",Leads!BE491)</x:f>
      </x:c>
      <x:c r="I491" s="12" t="str">
        <x:f>IF(Leads!BG491="","",Leads!BG491)</x:f>
      </x:c>
      <x:c r="J491" s="12" t="str">
        <x:f>IF(Leads!BH491="","",Leads!BH491)</x:f>
      </x:c>
      <x:c r="K491" s="12" t="str">
        <x:f>IF(A491="","","مرحبًا "&amp;C491&amp;CHAR(10)&amp;CHAR(10)&amp;"شكرًا لإتمام تقييم DBD الخاص بعيادة "&amp;B491&amp;"."&amp;CHAR(10)&amp;"نتيجتكم الحالية: "&amp;E491&amp;"%."&amp;CHAR(10)&amp;"أولوية التحسين الأولى: "&amp;F491&amp;"."&amp;IF(J491&lt;&gt;"",CHAR(10)&amp;CHAR(10)&amp;"رابط التقرير: "&amp;J491,"")&amp;CHAR(10)&amp;CHAR(10)&amp;"إذا أحببت، يمكننا مساعدتك في فهم التقرير وتحديد أفضل خطوة تالية لعيادتكم.")</x:f>
      </x:c>
      <x:c r="L491" s="12" t="str">
        <x:f>IF(D491="","",HYPERLINK("https://wa.me/"&amp;REGEXREPLACE(D491,"[^\d]","")&amp;"?text="&amp;ENCODEURL(K491),"واتساب 1"))</x:f>
      </x:c>
      <x:c r="M491" s="12" t="str">
        <x:f>IF(A491="","","مرحبًا "&amp;C491&amp;CHAR(10)&amp;CHAR(10)&amp;"بناءً على نتيجة تقييم عيادة "&amp;B491&amp;"، فإن الترشيح الأقوى لكم الآن هو: "&amp;G491&amp;"."&amp;CHAR(10)&amp;"هذا الخيار يساعدكم في معالجة أكبر فجوة حالية بشكل عملي ومباشر."&amp;IF(J491&lt;&gt;"",CHAR(10)&amp;CHAR(10)&amp;"رابط التقرير: "&amp;J491,"")&amp;CHAR(10)&amp;CHAR(10)&amp;"إذا رغبت، يمكننا توضيح لماذا هذا الكورس هو الأنسب لكم الآن.")</x:f>
      </x:c>
      <x:c r="N491" s="12" t="str">
        <x:f>IF(D491="","",HYPERLINK("https://wa.me/"&amp;REGEXREPLACE(D491,"[^\d]","")&amp;"?text="&amp;ENCODEURL(M491),"واتساب 2"))</x:f>
      </x:c>
      <x:c r="O491" s="12" t="str">
        <x:f>IF(A491="","","مرحبًا "&amp;C491&amp;CHAR(10)&amp;CHAR(10)&amp;"إذا كانت التحديات لديكم تحتاج حلًا أشمل، فالبرنامج الكامل المناسب لكم هو: "&amp;H491&amp;"."&amp;IF(I491&lt;&gt;"",CHAR(10)&amp;"كما يمكنكم أيضًا حجز: "&amp;I491&amp;".","")&amp;IF(J491&lt;&gt;"",CHAR(10)&amp;CHAR(10)&amp;"رابط التقرير: "&amp;J491,"")&amp;CHAR(10)&amp;CHAR(10)&amp;"يسعدنا مساعدتكم في اختيار المسار الأنسب حسب وضع العيادة الحالي.")</x:f>
      </x:c>
      <x:c r="P491" s="12" t="str">
        <x:f>IF(D491="","",HYPERLINK("https://wa.me/"&amp;REGEXREPLACE(D491,"[^\d]","")&amp;"?text="&amp;ENCODEURL(O491),"واتساب 3"))</x:f>
      </x:c>
    </x:row>
    <x:row r="492" ht="15" hidden="0" customHeight="1">
      <x:c r="A492" s="12" t="str">
        <x:f>IF(Leads!A492="","",Leads!A492)</x:f>
      </x:c>
      <x:c r="B492" s="12" t="str">
        <x:f>IF(Leads!F492="","",Leads!F492)</x:f>
      </x:c>
      <x:c r="C492" s="12" t="str">
        <x:f>IF(Leads!G492="","",Leads!G492)</x:f>
      </x:c>
      <x:c r="D492" s="12" t="str">
        <x:f>IF(Leads!O492="","",Leads!O492)</x:f>
      </x:c>
      <x:c r="E492" s="12" t="str">
        <x:f>IF(Leads!AV492="","",Leads!AV492)</x:f>
      </x:c>
      <x:c r="F492" s="12" t="str">
        <x:f>IF(Leads!AX492="","",Leads!AX492)</x:f>
      </x:c>
      <x:c r="G492" s="12" t="str">
        <x:f>IF(Leads!BC492="","",Leads!BC492)</x:f>
      </x:c>
      <x:c r="H492" s="12" t="str">
        <x:f>IF(Leads!BE492="","",Leads!BE492)</x:f>
      </x:c>
      <x:c r="I492" s="12" t="str">
        <x:f>IF(Leads!BG492="","",Leads!BG492)</x:f>
      </x:c>
      <x:c r="J492" s="12" t="str">
        <x:f>IF(Leads!BH492="","",Leads!BH492)</x:f>
      </x:c>
      <x:c r="K492" s="12" t="str">
        <x:f>IF(A492="","","مرحبًا "&amp;C492&amp;CHAR(10)&amp;CHAR(10)&amp;"شكرًا لإتمام تقييم DBD الخاص بعيادة "&amp;B492&amp;"."&amp;CHAR(10)&amp;"نتيجتكم الحالية: "&amp;E492&amp;"%."&amp;CHAR(10)&amp;"أولوية التحسين الأولى: "&amp;F492&amp;"."&amp;IF(J492&lt;&gt;"",CHAR(10)&amp;CHAR(10)&amp;"رابط التقرير: "&amp;J492,"")&amp;CHAR(10)&amp;CHAR(10)&amp;"إذا أحببت، يمكننا مساعدتك في فهم التقرير وتحديد أفضل خطوة تالية لعيادتكم.")</x:f>
      </x:c>
      <x:c r="L492" s="12" t="str">
        <x:f>IF(D492="","",HYPERLINK("https://wa.me/"&amp;REGEXREPLACE(D492,"[^\d]","")&amp;"?text="&amp;ENCODEURL(K492),"واتساب 1"))</x:f>
      </x:c>
      <x:c r="M492" s="12" t="str">
        <x:f>IF(A492="","","مرحبًا "&amp;C492&amp;CHAR(10)&amp;CHAR(10)&amp;"بناءً على نتيجة تقييم عيادة "&amp;B492&amp;"، فإن الترشيح الأقوى لكم الآن هو: "&amp;G492&amp;"."&amp;CHAR(10)&amp;"هذا الخيار يساعدكم في معالجة أكبر فجوة حالية بشكل عملي ومباشر."&amp;IF(J492&lt;&gt;"",CHAR(10)&amp;CHAR(10)&amp;"رابط التقرير: "&amp;J492,"")&amp;CHAR(10)&amp;CHAR(10)&amp;"إذا رغبت، يمكننا توضيح لماذا هذا الكورس هو الأنسب لكم الآن.")</x:f>
      </x:c>
      <x:c r="N492" s="12" t="str">
        <x:f>IF(D492="","",HYPERLINK("https://wa.me/"&amp;REGEXREPLACE(D492,"[^\d]","")&amp;"?text="&amp;ENCODEURL(M492),"واتساب 2"))</x:f>
      </x:c>
      <x:c r="O492" s="12" t="str">
        <x:f>IF(A492="","","مرحبًا "&amp;C492&amp;CHAR(10)&amp;CHAR(10)&amp;"إذا كانت التحديات لديكم تحتاج حلًا أشمل، فالبرنامج الكامل المناسب لكم هو: "&amp;H492&amp;"."&amp;IF(I492&lt;&gt;"",CHAR(10)&amp;"كما يمكنكم أيضًا حجز: "&amp;I492&amp;".","")&amp;IF(J492&lt;&gt;"",CHAR(10)&amp;CHAR(10)&amp;"رابط التقرير: "&amp;J492,"")&amp;CHAR(10)&amp;CHAR(10)&amp;"يسعدنا مساعدتكم في اختيار المسار الأنسب حسب وضع العيادة الحالي.")</x:f>
      </x:c>
      <x:c r="P492" s="12" t="str">
        <x:f>IF(D492="","",HYPERLINK("https://wa.me/"&amp;REGEXREPLACE(D492,"[^\d]","")&amp;"?text="&amp;ENCODEURL(O492),"واتساب 3"))</x:f>
      </x:c>
    </x:row>
    <x:row r="493" ht="15" hidden="0" customHeight="1">
      <x:c r="A493" s="12" t="str">
        <x:f>IF(Leads!A493="","",Leads!A493)</x:f>
      </x:c>
      <x:c r="B493" s="12" t="str">
        <x:f>IF(Leads!F493="","",Leads!F493)</x:f>
      </x:c>
      <x:c r="C493" s="12" t="str">
        <x:f>IF(Leads!G493="","",Leads!G493)</x:f>
      </x:c>
      <x:c r="D493" s="12" t="str">
        <x:f>IF(Leads!O493="","",Leads!O493)</x:f>
      </x:c>
      <x:c r="E493" s="12" t="str">
        <x:f>IF(Leads!AV493="","",Leads!AV493)</x:f>
      </x:c>
      <x:c r="F493" s="12" t="str">
        <x:f>IF(Leads!AX493="","",Leads!AX493)</x:f>
      </x:c>
      <x:c r="G493" s="12" t="str">
        <x:f>IF(Leads!BC493="","",Leads!BC493)</x:f>
      </x:c>
      <x:c r="H493" s="12" t="str">
        <x:f>IF(Leads!BE493="","",Leads!BE493)</x:f>
      </x:c>
      <x:c r="I493" s="12" t="str">
        <x:f>IF(Leads!BG493="","",Leads!BG493)</x:f>
      </x:c>
      <x:c r="J493" s="12" t="str">
        <x:f>IF(Leads!BH493="","",Leads!BH493)</x:f>
      </x:c>
      <x:c r="K493" s="12" t="str">
        <x:f>IF(A493="","","مرحبًا "&amp;C493&amp;CHAR(10)&amp;CHAR(10)&amp;"شكرًا لإتمام تقييم DBD الخاص بعيادة "&amp;B493&amp;"."&amp;CHAR(10)&amp;"نتيجتكم الحالية: "&amp;E493&amp;"%."&amp;CHAR(10)&amp;"أولوية التحسين الأولى: "&amp;F493&amp;"."&amp;IF(J493&lt;&gt;"",CHAR(10)&amp;CHAR(10)&amp;"رابط التقرير: "&amp;J493,"")&amp;CHAR(10)&amp;CHAR(10)&amp;"إذا أحببت، يمكننا مساعدتك في فهم التقرير وتحديد أفضل خطوة تالية لعيادتكم.")</x:f>
      </x:c>
      <x:c r="L493" s="12" t="str">
        <x:f>IF(D493="","",HYPERLINK("https://wa.me/"&amp;REGEXREPLACE(D493,"[^\d]","")&amp;"?text="&amp;ENCODEURL(K493),"واتساب 1"))</x:f>
      </x:c>
      <x:c r="M493" s="12" t="str">
        <x:f>IF(A493="","","مرحبًا "&amp;C493&amp;CHAR(10)&amp;CHAR(10)&amp;"بناءً على نتيجة تقييم عيادة "&amp;B493&amp;"، فإن الترشيح الأقوى لكم الآن هو: "&amp;G493&amp;"."&amp;CHAR(10)&amp;"هذا الخيار يساعدكم في معالجة أكبر فجوة حالية بشكل عملي ومباشر."&amp;IF(J493&lt;&gt;"",CHAR(10)&amp;CHAR(10)&amp;"رابط التقرير: "&amp;J493,"")&amp;CHAR(10)&amp;CHAR(10)&amp;"إذا رغبت، يمكننا توضيح لماذا هذا الكورس هو الأنسب لكم الآن.")</x:f>
      </x:c>
      <x:c r="N493" s="12" t="str">
        <x:f>IF(D493="","",HYPERLINK("https://wa.me/"&amp;REGEXREPLACE(D493,"[^\d]","")&amp;"?text="&amp;ENCODEURL(M493),"واتساب 2"))</x:f>
      </x:c>
      <x:c r="O493" s="12" t="str">
        <x:f>IF(A493="","","مرحبًا "&amp;C493&amp;CHAR(10)&amp;CHAR(10)&amp;"إذا كانت التحديات لديكم تحتاج حلًا أشمل، فالبرنامج الكامل المناسب لكم هو: "&amp;H493&amp;"."&amp;IF(I493&lt;&gt;"",CHAR(10)&amp;"كما يمكنكم أيضًا حجز: "&amp;I493&amp;".","")&amp;IF(J493&lt;&gt;"",CHAR(10)&amp;CHAR(10)&amp;"رابط التقرير: "&amp;J493,"")&amp;CHAR(10)&amp;CHAR(10)&amp;"يسعدنا مساعدتكم في اختيار المسار الأنسب حسب وضع العيادة الحالي.")</x:f>
      </x:c>
      <x:c r="P493" s="12" t="str">
        <x:f>IF(D493="","",HYPERLINK("https://wa.me/"&amp;REGEXREPLACE(D493,"[^\d]","")&amp;"?text="&amp;ENCODEURL(O493),"واتساب 3"))</x:f>
      </x:c>
    </x:row>
    <x:row r="494" ht="15" hidden="0" customHeight="1">
      <x:c r="A494" s="12" t="str">
        <x:f>IF(Leads!A494="","",Leads!A494)</x:f>
      </x:c>
      <x:c r="B494" s="12" t="str">
        <x:f>IF(Leads!F494="","",Leads!F494)</x:f>
      </x:c>
      <x:c r="C494" s="12" t="str">
        <x:f>IF(Leads!G494="","",Leads!G494)</x:f>
      </x:c>
      <x:c r="D494" s="12" t="str">
        <x:f>IF(Leads!O494="","",Leads!O494)</x:f>
      </x:c>
      <x:c r="E494" s="12" t="str">
        <x:f>IF(Leads!AV494="","",Leads!AV494)</x:f>
      </x:c>
      <x:c r="F494" s="12" t="str">
        <x:f>IF(Leads!AX494="","",Leads!AX494)</x:f>
      </x:c>
      <x:c r="G494" s="12" t="str">
        <x:f>IF(Leads!BC494="","",Leads!BC494)</x:f>
      </x:c>
      <x:c r="H494" s="12" t="str">
        <x:f>IF(Leads!BE494="","",Leads!BE494)</x:f>
      </x:c>
      <x:c r="I494" s="12" t="str">
        <x:f>IF(Leads!BG494="","",Leads!BG494)</x:f>
      </x:c>
      <x:c r="J494" s="12" t="str">
        <x:f>IF(Leads!BH494="","",Leads!BH494)</x:f>
      </x:c>
      <x:c r="K494" s="12" t="str">
        <x:f>IF(A494="","","مرحبًا "&amp;C494&amp;CHAR(10)&amp;CHAR(10)&amp;"شكرًا لإتمام تقييم DBD الخاص بعيادة "&amp;B494&amp;"."&amp;CHAR(10)&amp;"نتيجتكم الحالية: "&amp;E494&amp;"%."&amp;CHAR(10)&amp;"أولوية التحسين الأولى: "&amp;F494&amp;"."&amp;IF(J494&lt;&gt;"",CHAR(10)&amp;CHAR(10)&amp;"رابط التقرير: "&amp;J494,"")&amp;CHAR(10)&amp;CHAR(10)&amp;"إذا أحببت، يمكننا مساعدتك في فهم التقرير وتحديد أفضل خطوة تالية لعيادتكم.")</x:f>
      </x:c>
      <x:c r="L494" s="12" t="str">
        <x:f>IF(D494="","",HYPERLINK("https://wa.me/"&amp;REGEXREPLACE(D494,"[^\d]","")&amp;"?text="&amp;ENCODEURL(K494),"واتساب 1"))</x:f>
      </x:c>
      <x:c r="M494" s="12" t="str">
        <x:f>IF(A494="","","مرحبًا "&amp;C494&amp;CHAR(10)&amp;CHAR(10)&amp;"بناءً على نتيجة تقييم عيادة "&amp;B494&amp;"، فإن الترشيح الأقوى لكم الآن هو: "&amp;G494&amp;"."&amp;CHAR(10)&amp;"هذا الخيار يساعدكم في معالجة أكبر فجوة حالية بشكل عملي ومباشر."&amp;IF(J494&lt;&gt;"",CHAR(10)&amp;CHAR(10)&amp;"رابط التقرير: "&amp;J494,"")&amp;CHAR(10)&amp;CHAR(10)&amp;"إذا رغبت، يمكننا توضيح لماذا هذا الكورس هو الأنسب لكم الآن.")</x:f>
      </x:c>
      <x:c r="N494" s="12" t="str">
        <x:f>IF(D494="","",HYPERLINK("https://wa.me/"&amp;REGEXREPLACE(D494,"[^\d]","")&amp;"?text="&amp;ENCODEURL(M494),"واتساب 2"))</x:f>
      </x:c>
      <x:c r="O494" s="12" t="str">
        <x:f>IF(A494="","","مرحبًا "&amp;C494&amp;CHAR(10)&amp;CHAR(10)&amp;"إذا كانت التحديات لديكم تحتاج حلًا أشمل، فالبرنامج الكامل المناسب لكم هو: "&amp;H494&amp;"."&amp;IF(I494&lt;&gt;"",CHAR(10)&amp;"كما يمكنكم أيضًا حجز: "&amp;I494&amp;".","")&amp;IF(J494&lt;&gt;"",CHAR(10)&amp;CHAR(10)&amp;"رابط التقرير: "&amp;J494,"")&amp;CHAR(10)&amp;CHAR(10)&amp;"يسعدنا مساعدتكم في اختيار المسار الأنسب حسب وضع العيادة الحالي.")</x:f>
      </x:c>
      <x:c r="P494" s="12" t="str">
        <x:f>IF(D494="","",HYPERLINK("https://wa.me/"&amp;REGEXREPLACE(D494,"[^\d]","")&amp;"?text="&amp;ENCODEURL(O494),"واتساب 3"))</x:f>
      </x:c>
    </x:row>
    <x:row r="495" ht="15" hidden="0" customHeight="1">
      <x:c r="A495" s="12" t="str">
        <x:f>IF(Leads!A495="","",Leads!A495)</x:f>
      </x:c>
      <x:c r="B495" s="12" t="str">
        <x:f>IF(Leads!F495="","",Leads!F495)</x:f>
      </x:c>
      <x:c r="C495" s="12" t="str">
        <x:f>IF(Leads!G495="","",Leads!G495)</x:f>
      </x:c>
      <x:c r="D495" s="12" t="str">
        <x:f>IF(Leads!O495="","",Leads!O495)</x:f>
      </x:c>
      <x:c r="E495" s="12" t="str">
        <x:f>IF(Leads!AV495="","",Leads!AV495)</x:f>
      </x:c>
      <x:c r="F495" s="12" t="str">
        <x:f>IF(Leads!AX495="","",Leads!AX495)</x:f>
      </x:c>
      <x:c r="G495" s="12" t="str">
        <x:f>IF(Leads!BC495="","",Leads!BC495)</x:f>
      </x:c>
      <x:c r="H495" s="12" t="str">
        <x:f>IF(Leads!BE495="","",Leads!BE495)</x:f>
      </x:c>
      <x:c r="I495" s="12" t="str">
        <x:f>IF(Leads!BG495="","",Leads!BG495)</x:f>
      </x:c>
      <x:c r="J495" s="12" t="str">
        <x:f>IF(Leads!BH495="","",Leads!BH495)</x:f>
      </x:c>
      <x:c r="K495" s="12" t="str">
        <x:f>IF(A495="","","مرحبًا "&amp;C495&amp;CHAR(10)&amp;CHAR(10)&amp;"شكرًا لإتمام تقييم DBD الخاص بعيادة "&amp;B495&amp;"."&amp;CHAR(10)&amp;"نتيجتكم الحالية: "&amp;E495&amp;"%."&amp;CHAR(10)&amp;"أولوية التحسين الأولى: "&amp;F495&amp;"."&amp;IF(J495&lt;&gt;"",CHAR(10)&amp;CHAR(10)&amp;"رابط التقرير: "&amp;J495,"")&amp;CHAR(10)&amp;CHAR(10)&amp;"إذا أحببت، يمكننا مساعدتك في فهم التقرير وتحديد أفضل خطوة تالية لعيادتكم.")</x:f>
      </x:c>
      <x:c r="L495" s="12" t="str">
        <x:f>IF(D495="","",HYPERLINK("https://wa.me/"&amp;REGEXREPLACE(D495,"[^\d]","")&amp;"?text="&amp;ENCODEURL(K495),"واتساب 1"))</x:f>
      </x:c>
      <x:c r="M495" s="12" t="str">
        <x:f>IF(A495="","","مرحبًا "&amp;C495&amp;CHAR(10)&amp;CHAR(10)&amp;"بناءً على نتيجة تقييم عيادة "&amp;B495&amp;"، فإن الترشيح الأقوى لكم الآن هو: "&amp;G495&amp;"."&amp;CHAR(10)&amp;"هذا الخيار يساعدكم في معالجة أكبر فجوة حالية بشكل عملي ومباشر."&amp;IF(J495&lt;&gt;"",CHAR(10)&amp;CHAR(10)&amp;"رابط التقرير: "&amp;J495,"")&amp;CHAR(10)&amp;CHAR(10)&amp;"إذا رغبت، يمكننا توضيح لماذا هذا الكورس هو الأنسب لكم الآن.")</x:f>
      </x:c>
      <x:c r="N495" s="12" t="str">
        <x:f>IF(D495="","",HYPERLINK("https://wa.me/"&amp;REGEXREPLACE(D495,"[^\d]","")&amp;"?text="&amp;ENCODEURL(M495),"واتساب 2"))</x:f>
      </x:c>
      <x:c r="O495" s="12" t="str">
        <x:f>IF(A495="","","مرحبًا "&amp;C495&amp;CHAR(10)&amp;CHAR(10)&amp;"إذا كانت التحديات لديكم تحتاج حلًا أشمل، فالبرنامج الكامل المناسب لكم هو: "&amp;H495&amp;"."&amp;IF(I495&lt;&gt;"",CHAR(10)&amp;"كما يمكنكم أيضًا حجز: "&amp;I495&amp;".","")&amp;IF(J495&lt;&gt;"",CHAR(10)&amp;CHAR(10)&amp;"رابط التقرير: "&amp;J495,"")&amp;CHAR(10)&amp;CHAR(10)&amp;"يسعدنا مساعدتكم في اختيار المسار الأنسب حسب وضع العيادة الحالي.")</x:f>
      </x:c>
      <x:c r="P495" s="12" t="str">
        <x:f>IF(D495="","",HYPERLINK("https://wa.me/"&amp;REGEXREPLACE(D495,"[^\d]","")&amp;"?text="&amp;ENCODEURL(O495),"واتساب 3"))</x:f>
      </x:c>
    </x:row>
    <x:row r="496" ht="15" hidden="0" customHeight="1">
      <x:c r="A496" s="12" t="str">
        <x:f>IF(Leads!A496="","",Leads!A496)</x:f>
      </x:c>
      <x:c r="B496" s="12" t="str">
        <x:f>IF(Leads!F496="","",Leads!F496)</x:f>
      </x:c>
      <x:c r="C496" s="12" t="str">
        <x:f>IF(Leads!G496="","",Leads!G496)</x:f>
      </x:c>
      <x:c r="D496" s="12" t="str">
        <x:f>IF(Leads!O496="","",Leads!O496)</x:f>
      </x:c>
      <x:c r="E496" s="12" t="str">
        <x:f>IF(Leads!AV496="","",Leads!AV496)</x:f>
      </x:c>
      <x:c r="F496" s="12" t="str">
        <x:f>IF(Leads!AX496="","",Leads!AX496)</x:f>
      </x:c>
      <x:c r="G496" s="12" t="str">
        <x:f>IF(Leads!BC496="","",Leads!BC496)</x:f>
      </x:c>
      <x:c r="H496" s="12" t="str">
        <x:f>IF(Leads!BE496="","",Leads!BE496)</x:f>
      </x:c>
      <x:c r="I496" s="12" t="str">
        <x:f>IF(Leads!BG496="","",Leads!BG496)</x:f>
      </x:c>
      <x:c r="J496" s="12" t="str">
        <x:f>IF(Leads!BH496="","",Leads!BH496)</x:f>
      </x:c>
      <x:c r="K496" s="12" t="str">
        <x:f>IF(A496="","","مرحبًا "&amp;C496&amp;CHAR(10)&amp;CHAR(10)&amp;"شكرًا لإتمام تقييم DBD الخاص بعيادة "&amp;B496&amp;"."&amp;CHAR(10)&amp;"نتيجتكم الحالية: "&amp;E496&amp;"%."&amp;CHAR(10)&amp;"أولوية التحسين الأولى: "&amp;F496&amp;"."&amp;IF(J496&lt;&gt;"",CHAR(10)&amp;CHAR(10)&amp;"رابط التقرير: "&amp;J496,"")&amp;CHAR(10)&amp;CHAR(10)&amp;"إذا أحببت، يمكننا مساعدتك في فهم التقرير وتحديد أفضل خطوة تالية لعيادتكم.")</x:f>
      </x:c>
      <x:c r="L496" s="12" t="str">
        <x:f>IF(D496="","",HYPERLINK("https://wa.me/"&amp;REGEXREPLACE(D496,"[^\d]","")&amp;"?text="&amp;ENCODEURL(K496),"واتساب 1"))</x:f>
      </x:c>
      <x:c r="M496" s="12" t="str">
        <x:f>IF(A496="","","مرحبًا "&amp;C496&amp;CHAR(10)&amp;CHAR(10)&amp;"بناءً على نتيجة تقييم عيادة "&amp;B496&amp;"، فإن الترشيح الأقوى لكم الآن هو: "&amp;G496&amp;"."&amp;CHAR(10)&amp;"هذا الخيار يساعدكم في معالجة أكبر فجوة حالية بشكل عملي ومباشر."&amp;IF(J496&lt;&gt;"",CHAR(10)&amp;CHAR(10)&amp;"رابط التقرير: "&amp;J496,"")&amp;CHAR(10)&amp;CHAR(10)&amp;"إذا رغبت، يمكننا توضيح لماذا هذا الكورس هو الأنسب لكم الآن.")</x:f>
      </x:c>
      <x:c r="N496" s="12" t="str">
        <x:f>IF(D496="","",HYPERLINK("https://wa.me/"&amp;REGEXREPLACE(D496,"[^\d]","")&amp;"?text="&amp;ENCODEURL(M496),"واتساب 2"))</x:f>
      </x:c>
      <x:c r="O496" s="12" t="str">
        <x:f>IF(A496="","","مرحبًا "&amp;C496&amp;CHAR(10)&amp;CHAR(10)&amp;"إذا كانت التحديات لديكم تحتاج حلًا أشمل، فالبرنامج الكامل المناسب لكم هو: "&amp;H496&amp;"."&amp;IF(I496&lt;&gt;"",CHAR(10)&amp;"كما يمكنكم أيضًا حجز: "&amp;I496&amp;".","")&amp;IF(J496&lt;&gt;"",CHAR(10)&amp;CHAR(10)&amp;"رابط التقرير: "&amp;J496,"")&amp;CHAR(10)&amp;CHAR(10)&amp;"يسعدنا مساعدتكم في اختيار المسار الأنسب حسب وضع العيادة الحالي.")</x:f>
      </x:c>
      <x:c r="P496" s="12" t="str">
        <x:f>IF(D496="","",HYPERLINK("https://wa.me/"&amp;REGEXREPLACE(D496,"[^\d]","")&amp;"?text="&amp;ENCODEURL(O496),"واتساب 3"))</x:f>
      </x:c>
    </x:row>
    <x:row r="497" ht="15" hidden="0" customHeight="1">
      <x:c r="A497" s="12" t="str">
        <x:f>IF(Leads!A497="","",Leads!A497)</x:f>
      </x:c>
      <x:c r="B497" s="12" t="str">
        <x:f>IF(Leads!F497="","",Leads!F497)</x:f>
      </x:c>
      <x:c r="C497" s="12" t="str">
        <x:f>IF(Leads!G497="","",Leads!G497)</x:f>
      </x:c>
      <x:c r="D497" s="12" t="str">
        <x:f>IF(Leads!O497="","",Leads!O497)</x:f>
      </x:c>
      <x:c r="E497" s="12" t="str">
        <x:f>IF(Leads!AV497="","",Leads!AV497)</x:f>
      </x:c>
      <x:c r="F497" s="12" t="str">
        <x:f>IF(Leads!AX497="","",Leads!AX497)</x:f>
      </x:c>
      <x:c r="G497" s="12" t="str">
        <x:f>IF(Leads!BC497="","",Leads!BC497)</x:f>
      </x:c>
      <x:c r="H497" s="12" t="str">
        <x:f>IF(Leads!BE497="","",Leads!BE497)</x:f>
      </x:c>
      <x:c r="I497" s="12" t="str">
        <x:f>IF(Leads!BG497="","",Leads!BG497)</x:f>
      </x:c>
      <x:c r="J497" s="12" t="str">
        <x:f>IF(Leads!BH497="","",Leads!BH497)</x:f>
      </x:c>
      <x:c r="K497" s="12" t="str">
        <x:f>IF(A497="","","مرحبًا "&amp;C497&amp;CHAR(10)&amp;CHAR(10)&amp;"شكرًا لإتمام تقييم DBD الخاص بعيادة "&amp;B497&amp;"."&amp;CHAR(10)&amp;"نتيجتكم الحالية: "&amp;E497&amp;"%."&amp;CHAR(10)&amp;"أولوية التحسين الأولى: "&amp;F497&amp;"."&amp;IF(J497&lt;&gt;"",CHAR(10)&amp;CHAR(10)&amp;"رابط التقرير: "&amp;J497,"")&amp;CHAR(10)&amp;CHAR(10)&amp;"إذا أحببت، يمكننا مساعدتك في فهم التقرير وتحديد أفضل خطوة تالية لعيادتكم.")</x:f>
      </x:c>
      <x:c r="L497" s="12" t="str">
        <x:f>IF(D497="","",HYPERLINK("https://wa.me/"&amp;REGEXREPLACE(D497,"[^\d]","")&amp;"?text="&amp;ENCODEURL(K497),"واتساب 1"))</x:f>
      </x:c>
      <x:c r="M497" s="12" t="str">
        <x:f>IF(A497="","","مرحبًا "&amp;C497&amp;CHAR(10)&amp;CHAR(10)&amp;"بناءً على نتيجة تقييم عيادة "&amp;B497&amp;"، فإن الترشيح الأقوى لكم الآن هو: "&amp;G497&amp;"."&amp;CHAR(10)&amp;"هذا الخيار يساعدكم في معالجة أكبر فجوة حالية بشكل عملي ومباشر."&amp;IF(J497&lt;&gt;"",CHAR(10)&amp;CHAR(10)&amp;"رابط التقرير: "&amp;J497,"")&amp;CHAR(10)&amp;CHAR(10)&amp;"إذا رغبت، يمكننا توضيح لماذا هذا الكورس هو الأنسب لكم الآن.")</x:f>
      </x:c>
      <x:c r="N497" s="12" t="str">
        <x:f>IF(D497="","",HYPERLINK("https://wa.me/"&amp;REGEXREPLACE(D497,"[^\d]","")&amp;"?text="&amp;ENCODEURL(M497),"واتساب 2"))</x:f>
      </x:c>
      <x:c r="O497" s="12" t="str">
        <x:f>IF(A497="","","مرحبًا "&amp;C497&amp;CHAR(10)&amp;CHAR(10)&amp;"إذا كانت التحديات لديكم تحتاج حلًا أشمل، فالبرنامج الكامل المناسب لكم هو: "&amp;H497&amp;"."&amp;IF(I497&lt;&gt;"",CHAR(10)&amp;"كما يمكنكم أيضًا حجز: "&amp;I497&amp;".","")&amp;IF(J497&lt;&gt;"",CHAR(10)&amp;CHAR(10)&amp;"رابط التقرير: "&amp;J497,"")&amp;CHAR(10)&amp;CHAR(10)&amp;"يسعدنا مساعدتكم في اختيار المسار الأنسب حسب وضع العيادة الحالي.")</x:f>
      </x:c>
      <x:c r="P497" s="12" t="str">
        <x:f>IF(D497="","",HYPERLINK("https://wa.me/"&amp;REGEXREPLACE(D497,"[^\d]","")&amp;"?text="&amp;ENCODEURL(O497),"واتساب 3"))</x:f>
      </x:c>
    </x:row>
    <x:row r="498" ht="15" hidden="0" customHeight="1">
      <x:c r="A498" s="12" t="str">
        <x:f>IF(Leads!A498="","",Leads!A498)</x:f>
      </x:c>
      <x:c r="B498" s="12" t="str">
        <x:f>IF(Leads!F498="","",Leads!F498)</x:f>
      </x:c>
      <x:c r="C498" s="12" t="str">
        <x:f>IF(Leads!G498="","",Leads!G498)</x:f>
      </x:c>
      <x:c r="D498" s="12" t="str">
        <x:f>IF(Leads!O498="","",Leads!O498)</x:f>
      </x:c>
      <x:c r="E498" s="12" t="str">
        <x:f>IF(Leads!AV498="","",Leads!AV498)</x:f>
      </x:c>
      <x:c r="F498" s="12" t="str">
        <x:f>IF(Leads!AX498="","",Leads!AX498)</x:f>
      </x:c>
      <x:c r="G498" s="12" t="str">
        <x:f>IF(Leads!BC498="","",Leads!BC498)</x:f>
      </x:c>
      <x:c r="H498" s="12" t="str">
        <x:f>IF(Leads!BE498="","",Leads!BE498)</x:f>
      </x:c>
      <x:c r="I498" s="12" t="str">
        <x:f>IF(Leads!BG498="","",Leads!BG498)</x:f>
      </x:c>
      <x:c r="J498" s="12" t="str">
        <x:f>IF(Leads!BH498="","",Leads!BH498)</x:f>
      </x:c>
      <x:c r="K498" s="12" t="str">
        <x:f>IF(A498="","","مرحبًا "&amp;C498&amp;CHAR(10)&amp;CHAR(10)&amp;"شكرًا لإتمام تقييم DBD الخاص بعيادة "&amp;B498&amp;"."&amp;CHAR(10)&amp;"نتيجتكم الحالية: "&amp;E498&amp;"%."&amp;CHAR(10)&amp;"أولوية التحسين الأولى: "&amp;F498&amp;"."&amp;IF(J498&lt;&gt;"",CHAR(10)&amp;CHAR(10)&amp;"رابط التقرير: "&amp;J498,"")&amp;CHAR(10)&amp;CHAR(10)&amp;"إذا أحببت، يمكننا مساعدتك في فهم التقرير وتحديد أفضل خطوة تالية لعيادتكم.")</x:f>
      </x:c>
      <x:c r="L498" s="12" t="str">
        <x:f>IF(D498="","",HYPERLINK("https://wa.me/"&amp;REGEXREPLACE(D498,"[^\d]","")&amp;"?text="&amp;ENCODEURL(K498),"واتساب 1"))</x:f>
      </x:c>
      <x:c r="M498" s="12" t="str">
        <x:f>IF(A498="","","مرحبًا "&amp;C498&amp;CHAR(10)&amp;CHAR(10)&amp;"بناءً على نتيجة تقييم عيادة "&amp;B498&amp;"، فإن الترشيح الأقوى لكم الآن هو: "&amp;G498&amp;"."&amp;CHAR(10)&amp;"هذا الخيار يساعدكم في معالجة أكبر فجوة حالية بشكل عملي ومباشر."&amp;IF(J498&lt;&gt;"",CHAR(10)&amp;CHAR(10)&amp;"رابط التقرير: "&amp;J498,"")&amp;CHAR(10)&amp;CHAR(10)&amp;"إذا رغبت، يمكننا توضيح لماذا هذا الكورس هو الأنسب لكم الآن.")</x:f>
      </x:c>
      <x:c r="N498" s="12" t="str">
        <x:f>IF(D498="","",HYPERLINK("https://wa.me/"&amp;REGEXREPLACE(D498,"[^\d]","")&amp;"?text="&amp;ENCODEURL(M498),"واتساب 2"))</x:f>
      </x:c>
      <x:c r="O498" s="12" t="str">
        <x:f>IF(A498="","","مرحبًا "&amp;C498&amp;CHAR(10)&amp;CHAR(10)&amp;"إذا كانت التحديات لديكم تحتاج حلًا أشمل، فالبرنامج الكامل المناسب لكم هو: "&amp;H498&amp;"."&amp;IF(I498&lt;&gt;"",CHAR(10)&amp;"كما يمكنكم أيضًا حجز: "&amp;I498&amp;".","")&amp;IF(J498&lt;&gt;"",CHAR(10)&amp;CHAR(10)&amp;"رابط التقرير: "&amp;J498,"")&amp;CHAR(10)&amp;CHAR(10)&amp;"يسعدنا مساعدتكم في اختيار المسار الأنسب حسب وضع العيادة الحالي.")</x:f>
      </x:c>
      <x:c r="P498" s="12" t="str">
        <x:f>IF(D498="","",HYPERLINK("https://wa.me/"&amp;REGEXREPLACE(D498,"[^\d]","")&amp;"?text="&amp;ENCODEURL(O498),"واتساب 3"))</x:f>
      </x:c>
    </x:row>
    <x:row r="499" ht="15" hidden="0" customHeight="1">
      <x:c r="A499" s="12" t="str">
        <x:f>IF(Leads!A499="","",Leads!A499)</x:f>
      </x:c>
      <x:c r="B499" s="12" t="str">
        <x:f>IF(Leads!F499="","",Leads!F499)</x:f>
      </x:c>
      <x:c r="C499" s="12" t="str">
        <x:f>IF(Leads!G499="","",Leads!G499)</x:f>
      </x:c>
      <x:c r="D499" s="12" t="str">
        <x:f>IF(Leads!O499="","",Leads!O499)</x:f>
      </x:c>
      <x:c r="E499" s="12" t="str">
        <x:f>IF(Leads!AV499="","",Leads!AV499)</x:f>
      </x:c>
      <x:c r="F499" s="12" t="str">
        <x:f>IF(Leads!AX499="","",Leads!AX499)</x:f>
      </x:c>
      <x:c r="G499" s="12" t="str">
        <x:f>IF(Leads!BC499="","",Leads!BC499)</x:f>
      </x:c>
      <x:c r="H499" s="12" t="str">
        <x:f>IF(Leads!BE499="","",Leads!BE499)</x:f>
      </x:c>
      <x:c r="I499" s="12" t="str">
        <x:f>IF(Leads!BG499="","",Leads!BG499)</x:f>
      </x:c>
      <x:c r="J499" s="12" t="str">
        <x:f>IF(Leads!BH499="","",Leads!BH499)</x:f>
      </x:c>
      <x:c r="K499" s="12" t="str">
        <x:f>IF(A499="","","مرحبًا "&amp;C499&amp;CHAR(10)&amp;CHAR(10)&amp;"شكرًا لإتمام تقييم DBD الخاص بعيادة "&amp;B499&amp;"."&amp;CHAR(10)&amp;"نتيجتكم الحالية: "&amp;E499&amp;"%."&amp;CHAR(10)&amp;"أولوية التحسين الأولى: "&amp;F499&amp;"."&amp;IF(J499&lt;&gt;"",CHAR(10)&amp;CHAR(10)&amp;"رابط التقرير: "&amp;J499,"")&amp;CHAR(10)&amp;CHAR(10)&amp;"إذا أحببت، يمكننا مساعدتك في فهم التقرير وتحديد أفضل خطوة تالية لعيادتكم.")</x:f>
      </x:c>
      <x:c r="L499" s="12" t="str">
        <x:f>IF(D499="","",HYPERLINK("https://wa.me/"&amp;REGEXREPLACE(D499,"[^\d]","")&amp;"?text="&amp;ENCODEURL(K499),"واتساب 1"))</x:f>
      </x:c>
      <x:c r="M499" s="12" t="str">
        <x:f>IF(A499="","","مرحبًا "&amp;C499&amp;CHAR(10)&amp;CHAR(10)&amp;"بناءً على نتيجة تقييم عيادة "&amp;B499&amp;"، فإن الترشيح الأقوى لكم الآن هو: "&amp;G499&amp;"."&amp;CHAR(10)&amp;"هذا الخيار يساعدكم في معالجة أكبر فجوة حالية بشكل عملي ومباشر."&amp;IF(J499&lt;&gt;"",CHAR(10)&amp;CHAR(10)&amp;"رابط التقرير: "&amp;J499,"")&amp;CHAR(10)&amp;CHAR(10)&amp;"إذا رغبت، يمكننا توضيح لماذا هذا الكورس هو الأنسب لكم الآن.")</x:f>
      </x:c>
      <x:c r="N499" s="12" t="str">
        <x:f>IF(D499="","",HYPERLINK("https://wa.me/"&amp;REGEXREPLACE(D499,"[^\d]","")&amp;"?text="&amp;ENCODEURL(M499),"واتساب 2"))</x:f>
      </x:c>
      <x:c r="O499" s="12" t="str">
        <x:f>IF(A499="","","مرحبًا "&amp;C499&amp;CHAR(10)&amp;CHAR(10)&amp;"إذا كانت التحديات لديكم تحتاج حلًا أشمل، فالبرنامج الكامل المناسب لكم هو: "&amp;H499&amp;"."&amp;IF(I499&lt;&gt;"",CHAR(10)&amp;"كما يمكنكم أيضًا حجز: "&amp;I499&amp;".","")&amp;IF(J499&lt;&gt;"",CHAR(10)&amp;CHAR(10)&amp;"رابط التقرير: "&amp;J499,"")&amp;CHAR(10)&amp;CHAR(10)&amp;"يسعدنا مساعدتكم في اختيار المسار الأنسب حسب وضع العيادة الحالي.")</x:f>
      </x:c>
      <x:c r="P499" s="12" t="str">
        <x:f>IF(D499="","",HYPERLINK("https://wa.me/"&amp;REGEXREPLACE(D499,"[^\d]","")&amp;"?text="&amp;ENCODEURL(O499),"واتساب 3"))</x:f>
      </x:c>
    </x:row>
    <x:row r="500" ht="15" hidden="0" customHeight="1">
      <x:c r="A500" s="12" t="str">
        <x:f>IF(Leads!A500="","",Leads!A500)</x:f>
      </x:c>
      <x:c r="B500" s="12" t="str">
        <x:f>IF(Leads!F500="","",Leads!F500)</x:f>
      </x:c>
      <x:c r="C500" s="12" t="str">
        <x:f>IF(Leads!G500="","",Leads!G500)</x:f>
      </x:c>
      <x:c r="D500" s="12" t="str">
        <x:f>IF(Leads!O500="","",Leads!O500)</x:f>
      </x:c>
      <x:c r="E500" s="12" t="str">
        <x:f>IF(Leads!AV500="","",Leads!AV500)</x:f>
      </x:c>
      <x:c r="F500" s="12" t="str">
        <x:f>IF(Leads!AX500="","",Leads!AX500)</x:f>
      </x:c>
      <x:c r="G500" s="12" t="str">
        <x:f>IF(Leads!BC500="","",Leads!BC500)</x:f>
      </x:c>
      <x:c r="H500" s="12" t="str">
        <x:f>IF(Leads!BE500="","",Leads!BE500)</x:f>
      </x:c>
      <x:c r="I500" s="12" t="str">
        <x:f>IF(Leads!BG500="","",Leads!BG500)</x:f>
      </x:c>
      <x:c r="J500" s="12" t="str">
        <x:f>IF(Leads!BH500="","",Leads!BH500)</x:f>
      </x:c>
      <x:c r="K500" s="12" t="str">
        <x:f>IF(A500="","","مرحبًا "&amp;C500&amp;CHAR(10)&amp;CHAR(10)&amp;"شكرًا لإتمام تقييم DBD الخاص بعيادة "&amp;B500&amp;"."&amp;CHAR(10)&amp;"نتيجتكم الحالية: "&amp;E500&amp;"%."&amp;CHAR(10)&amp;"أولوية التحسين الأولى: "&amp;F500&amp;"."&amp;IF(J500&lt;&gt;"",CHAR(10)&amp;CHAR(10)&amp;"رابط التقرير: "&amp;J500,"")&amp;CHAR(10)&amp;CHAR(10)&amp;"إذا أحببت، يمكننا مساعدتك في فهم التقرير وتحديد أفضل خطوة تالية لعيادتكم.")</x:f>
      </x:c>
      <x:c r="L500" s="12" t="str">
        <x:f>IF(D500="","",HYPERLINK("https://wa.me/"&amp;REGEXREPLACE(D500,"[^\d]","")&amp;"?text="&amp;ENCODEURL(K500),"واتساب 1"))</x:f>
      </x:c>
      <x:c r="M500" s="12" t="str">
        <x:f>IF(A500="","","مرحبًا "&amp;C500&amp;CHAR(10)&amp;CHAR(10)&amp;"بناءً على نتيجة تقييم عيادة "&amp;B500&amp;"، فإن الترشيح الأقوى لكم الآن هو: "&amp;G500&amp;"."&amp;CHAR(10)&amp;"هذا الخيار يساعدكم في معالجة أكبر فجوة حالية بشكل عملي ومباشر."&amp;IF(J500&lt;&gt;"",CHAR(10)&amp;CHAR(10)&amp;"رابط التقرير: "&amp;J500,"")&amp;CHAR(10)&amp;CHAR(10)&amp;"إذا رغبت، يمكننا توضيح لماذا هذا الكورس هو الأنسب لكم الآن.")</x:f>
      </x:c>
      <x:c r="N500" s="12" t="str">
        <x:f>IF(D500="","",HYPERLINK("https://wa.me/"&amp;REGEXREPLACE(D500,"[^\d]","")&amp;"?text="&amp;ENCODEURL(M500),"واتساب 2"))</x:f>
      </x:c>
      <x:c r="O500" s="12" t="str">
        <x:f>IF(A500="","","مرحبًا "&amp;C500&amp;CHAR(10)&amp;CHAR(10)&amp;"إذا كانت التحديات لديكم تحتاج حلًا أشمل، فالبرنامج الكامل المناسب لكم هو: "&amp;H500&amp;"."&amp;IF(I500&lt;&gt;"",CHAR(10)&amp;"كما يمكنكم أيضًا حجز: "&amp;I500&amp;".","")&amp;IF(J500&lt;&gt;"",CHAR(10)&amp;CHAR(10)&amp;"رابط التقرير: "&amp;J500,"")&amp;CHAR(10)&amp;CHAR(10)&amp;"يسعدنا مساعدتكم في اختيار المسار الأنسب حسب وضع العيادة الحالي.")</x:f>
      </x:c>
      <x:c r="P500" s="12" t="str">
        <x:f>IF(D500="","",HYPERLINK("https://wa.me/"&amp;REGEXREPLACE(D500,"[^\d]","")&amp;"?text="&amp;ENCODEURL(O500),"واتساب 3"))</x:f>
      </x:c>
    </x:row>
    <x:row r="501" ht="15" hidden="0" customHeight="1">
      <x:c r="A501" s="12" t="str">
        <x:f>IF(Leads!A501="","",Leads!A501)</x:f>
      </x:c>
      <x:c r="B501" s="12" t="str">
        <x:f>IF(Leads!F501="","",Leads!F501)</x:f>
      </x:c>
      <x:c r="C501" s="12" t="str">
        <x:f>IF(Leads!G501="","",Leads!G501)</x:f>
      </x:c>
      <x:c r="D501" s="12" t="str">
        <x:f>IF(Leads!O501="","",Leads!O501)</x:f>
      </x:c>
      <x:c r="E501" s="12" t="str">
        <x:f>IF(Leads!AV501="","",Leads!AV501)</x:f>
      </x:c>
      <x:c r="F501" s="12" t="str">
        <x:f>IF(Leads!AX501="","",Leads!AX501)</x:f>
      </x:c>
      <x:c r="G501" s="12" t="str">
        <x:f>IF(Leads!BC501="","",Leads!BC501)</x:f>
      </x:c>
      <x:c r="H501" s="12" t="str">
        <x:f>IF(Leads!BE501="","",Leads!BE501)</x:f>
      </x:c>
      <x:c r="I501" s="12" t="str">
        <x:f>IF(Leads!BG501="","",Leads!BG501)</x:f>
      </x:c>
      <x:c r="J501" s="12" t="str">
        <x:f>IF(Leads!BH501="","",Leads!BH501)</x:f>
      </x:c>
      <x:c r="K501" s="12" t="str">
        <x:f>IF(A501="","","مرحبًا "&amp;C501&amp;CHAR(10)&amp;CHAR(10)&amp;"شكرًا لإتمام تقييم DBD الخاص بعيادة "&amp;B501&amp;"."&amp;CHAR(10)&amp;"نتيجتكم الحالية: "&amp;E501&amp;"%."&amp;CHAR(10)&amp;"أولوية التحسين الأولى: "&amp;F501&amp;"."&amp;IF(J501&lt;&gt;"",CHAR(10)&amp;CHAR(10)&amp;"رابط التقرير: "&amp;J501,"")&amp;CHAR(10)&amp;CHAR(10)&amp;"إذا أحببت، يمكننا مساعدتك في فهم التقرير وتحديد أفضل خطوة تالية لعيادتكم.")</x:f>
      </x:c>
      <x:c r="L501" s="12" t="str">
        <x:f>IF(D501="","",HYPERLINK("https://wa.me/"&amp;REGEXREPLACE(D501,"[^\d]","")&amp;"?text="&amp;ENCODEURL(K501),"واتساب 1"))</x:f>
      </x:c>
      <x:c r="M501" s="12" t="str">
        <x:f>IF(A501="","","مرحبًا "&amp;C501&amp;CHAR(10)&amp;CHAR(10)&amp;"بناءً على نتيجة تقييم عيادة "&amp;B501&amp;"، فإن الترشيح الأقوى لكم الآن هو: "&amp;G501&amp;"."&amp;CHAR(10)&amp;"هذا الخيار يساعدكم في معالجة أكبر فجوة حالية بشكل عملي ومباشر."&amp;IF(J501&lt;&gt;"",CHAR(10)&amp;CHAR(10)&amp;"رابط التقرير: "&amp;J501,"")&amp;CHAR(10)&amp;CHAR(10)&amp;"إذا رغبت، يمكننا توضيح لماذا هذا الكورس هو الأنسب لكم الآن.")</x:f>
      </x:c>
      <x:c r="N501" s="12" t="str">
        <x:f>IF(D501="","",HYPERLINK("https://wa.me/"&amp;REGEXREPLACE(D501,"[^\d]","")&amp;"?text="&amp;ENCODEURL(M501),"واتساب 2"))</x:f>
      </x:c>
      <x:c r="O501" s="12" t="str">
        <x:f>IF(A501="","","مرحبًا "&amp;C501&amp;CHAR(10)&amp;CHAR(10)&amp;"إذا كانت التحديات لديكم تحتاج حلًا أشمل، فالبرنامج الكامل المناسب لكم هو: "&amp;H501&amp;"."&amp;IF(I501&lt;&gt;"",CHAR(10)&amp;"كما يمكنكم أيضًا حجز: "&amp;I501&amp;".","")&amp;IF(J501&lt;&gt;"",CHAR(10)&amp;CHAR(10)&amp;"رابط التقرير: "&amp;J501,"")&amp;CHAR(10)&amp;CHAR(10)&amp;"يسعدنا مساعدتكم في اختيار المسار الأنسب حسب وضع العيادة الحالي.")</x:f>
      </x:c>
      <x:c r="P501" s="12" t="str">
        <x:f>IF(D501="","",HYPERLINK("https://wa.me/"&amp;REGEXREPLACE(D501,"[^\d]","")&amp;"?text="&amp;ENCODEURL(O501),"واتساب 3"))</x:f>
      </x:c>
    </x:row>
    <x:row r="502" ht="15" hidden="0" customHeight="1">
      <x:c r="A502" s="12" t="str">
        <x:f>IF(Leads!A502="","",Leads!A502)</x:f>
      </x:c>
      <x:c r="B502" s="12" t="str">
        <x:f>IF(Leads!F502="","",Leads!F502)</x:f>
      </x:c>
      <x:c r="C502" s="12" t="str">
        <x:f>IF(Leads!G502="","",Leads!G502)</x:f>
      </x:c>
      <x:c r="D502" s="12" t="str">
        <x:f>IF(Leads!O502="","",Leads!O502)</x:f>
      </x:c>
      <x:c r="E502" s="12" t="str">
        <x:f>IF(Leads!AV502="","",Leads!AV502)</x:f>
      </x:c>
      <x:c r="F502" s="12" t="str">
        <x:f>IF(Leads!AX502="","",Leads!AX502)</x:f>
      </x:c>
      <x:c r="G502" s="12" t="str">
        <x:f>IF(Leads!BC502="","",Leads!BC502)</x:f>
      </x:c>
      <x:c r="H502" s="12" t="str">
        <x:f>IF(Leads!BE502="","",Leads!BE502)</x:f>
      </x:c>
      <x:c r="I502" s="12" t="str">
        <x:f>IF(Leads!BG502="","",Leads!BG502)</x:f>
      </x:c>
      <x:c r="J502" s="12" t="str">
        <x:f>IF(Leads!BH502="","",Leads!BH502)</x:f>
      </x:c>
      <x:c r="K502" s="12" t="str">
        <x:f>IF(A502="","","مرحبًا "&amp;C502&amp;CHAR(10)&amp;CHAR(10)&amp;"شكرًا لإتمام تقييم DBD الخاص بعيادة "&amp;B502&amp;"."&amp;CHAR(10)&amp;"نتيجتكم الحالية: "&amp;E502&amp;"%."&amp;CHAR(10)&amp;"أولوية التحسين الأولى: "&amp;F502&amp;"."&amp;IF(J502&lt;&gt;"",CHAR(10)&amp;CHAR(10)&amp;"رابط التقرير: "&amp;J502,"")&amp;CHAR(10)&amp;CHAR(10)&amp;"إذا أحببت، يمكننا مساعدتك في فهم التقرير وتحديد أفضل خطوة تالية لعيادتكم.")</x:f>
      </x:c>
      <x:c r="L502" s="12" t="str">
        <x:f>IF(D502="","",HYPERLINK("https://wa.me/"&amp;REGEXREPLACE(D502,"[^\d]","")&amp;"?text="&amp;ENCODEURL(K502),"واتساب 1"))</x:f>
      </x:c>
      <x:c r="M502" s="12" t="str">
        <x:f>IF(A502="","","مرحبًا "&amp;C502&amp;CHAR(10)&amp;CHAR(10)&amp;"بناءً على نتيجة تقييم عيادة "&amp;B502&amp;"، فإن الترشيح الأقوى لكم الآن هو: "&amp;G502&amp;"."&amp;CHAR(10)&amp;"هذا الخيار يساعدكم في معالجة أكبر فجوة حالية بشكل عملي ومباشر."&amp;IF(J502&lt;&gt;"",CHAR(10)&amp;CHAR(10)&amp;"رابط التقرير: "&amp;J502,"")&amp;CHAR(10)&amp;CHAR(10)&amp;"إذا رغبت، يمكننا توضيح لماذا هذا الكورس هو الأنسب لكم الآن.")</x:f>
      </x:c>
      <x:c r="N502" s="12" t="str">
        <x:f>IF(D502="","",HYPERLINK("https://wa.me/"&amp;REGEXREPLACE(D502,"[^\d]","")&amp;"?text="&amp;ENCODEURL(M502),"واتساب 2"))</x:f>
      </x:c>
      <x:c r="O502" s="12" t="str">
        <x:f>IF(A502="","","مرحبًا "&amp;C502&amp;CHAR(10)&amp;CHAR(10)&amp;"إذا كانت التحديات لديكم تحتاج حلًا أشمل، فالبرنامج الكامل المناسب لكم هو: "&amp;H502&amp;"."&amp;IF(I502&lt;&gt;"",CHAR(10)&amp;"كما يمكنكم أيضًا حجز: "&amp;I502&amp;".","")&amp;IF(J502&lt;&gt;"",CHAR(10)&amp;CHAR(10)&amp;"رابط التقرير: "&amp;J502,"")&amp;CHAR(10)&amp;CHAR(10)&amp;"يسعدنا مساعدتكم في اختيار المسار الأنسب حسب وضع العيادة الحالي.")</x:f>
      </x:c>
      <x:c r="P502" s="12" t="str">
        <x:f>IF(D502="","",HYPERLINK("https://wa.me/"&amp;REGEXREPLACE(D502,"[^\d]","")&amp;"?text="&amp;ENCODEURL(O502),"واتساب 3"))</x:f>
      </x:c>
    </x:row>
    <x:row r="503" ht="15" hidden="0" customHeight="1">
      <x:c r="A503" s="12" t="str">
        <x:f>IF(Leads!A503="","",Leads!A503)</x:f>
      </x:c>
      <x:c r="B503" s="12" t="str">
        <x:f>IF(Leads!F503="","",Leads!F503)</x:f>
      </x:c>
      <x:c r="C503" s="12" t="str">
        <x:f>IF(Leads!G503="","",Leads!G503)</x:f>
      </x:c>
      <x:c r="D503" s="12" t="str">
        <x:f>IF(Leads!O503="","",Leads!O503)</x:f>
      </x:c>
      <x:c r="E503" s="12" t="str">
        <x:f>IF(Leads!AV503="","",Leads!AV503)</x:f>
      </x:c>
      <x:c r="F503" s="12" t="str">
        <x:f>IF(Leads!AX503="","",Leads!AX503)</x:f>
      </x:c>
      <x:c r="G503" s="12" t="str">
        <x:f>IF(Leads!BC503="","",Leads!BC503)</x:f>
      </x:c>
      <x:c r="H503" s="12" t="str">
        <x:f>IF(Leads!BE503="","",Leads!BE503)</x:f>
      </x:c>
      <x:c r="I503" s="12" t="str">
        <x:f>IF(Leads!BG503="","",Leads!BG503)</x:f>
      </x:c>
      <x:c r="J503" s="12" t="str">
        <x:f>IF(Leads!BH503="","",Leads!BH503)</x:f>
      </x:c>
      <x:c r="K503" s="12" t="str">
        <x:f>IF(A503="","","مرحبًا "&amp;C503&amp;CHAR(10)&amp;CHAR(10)&amp;"شكرًا لإتمام تقييم DBD الخاص بعيادة "&amp;B503&amp;"."&amp;CHAR(10)&amp;"نتيجتكم الحالية: "&amp;E503&amp;"%."&amp;CHAR(10)&amp;"أولوية التحسين الأولى: "&amp;F503&amp;"."&amp;IF(J503&lt;&gt;"",CHAR(10)&amp;CHAR(10)&amp;"رابط التقرير: "&amp;J503,"")&amp;CHAR(10)&amp;CHAR(10)&amp;"إذا أحببت، يمكننا مساعدتك في فهم التقرير وتحديد أفضل خطوة تالية لعيادتكم.")</x:f>
      </x:c>
      <x:c r="L503" s="12" t="str">
        <x:f>IF(D503="","",HYPERLINK("https://wa.me/"&amp;REGEXREPLACE(D503,"[^\d]","")&amp;"?text="&amp;ENCODEURL(K503),"واتساب 1"))</x:f>
      </x:c>
      <x:c r="M503" s="12" t="str">
        <x:f>IF(A503="","","مرحبًا "&amp;C503&amp;CHAR(10)&amp;CHAR(10)&amp;"بناءً على نتيجة تقييم عيادة "&amp;B503&amp;"، فإن الترشيح الأقوى لكم الآن هو: "&amp;G503&amp;"."&amp;CHAR(10)&amp;"هذا الخيار يساعدكم في معالجة أكبر فجوة حالية بشكل عملي ومباشر."&amp;IF(J503&lt;&gt;"",CHAR(10)&amp;CHAR(10)&amp;"رابط التقرير: "&amp;J503,"")&amp;CHAR(10)&amp;CHAR(10)&amp;"إذا رغبت، يمكننا توضيح لماذا هذا الكورس هو الأنسب لكم الآن.")</x:f>
      </x:c>
      <x:c r="N503" s="12" t="str">
        <x:f>IF(D503="","",HYPERLINK("https://wa.me/"&amp;REGEXREPLACE(D503,"[^\d]","")&amp;"?text="&amp;ENCODEURL(M503),"واتساب 2"))</x:f>
      </x:c>
      <x:c r="O503" s="12" t="str">
        <x:f>IF(A503="","","مرحبًا "&amp;C503&amp;CHAR(10)&amp;CHAR(10)&amp;"إذا كانت التحديات لديكم تحتاج حلًا أشمل، فالبرنامج الكامل المناسب لكم هو: "&amp;H503&amp;"."&amp;IF(I503&lt;&gt;"",CHAR(10)&amp;"كما يمكنكم أيضًا حجز: "&amp;I503&amp;".","")&amp;IF(J503&lt;&gt;"",CHAR(10)&amp;CHAR(10)&amp;"رابط التقرير: "&amp;J503,"")&amp;CHAR(10)&amp;CHAR(10)&amp;"يسعدنا مساعدتكم في اختيار المسار الأنسب حسب وضع العيادة الحالي.")</x:f>
      </x:c>
      <x:c r="P503" s="12" t="str">
        <x:f>IF(D503="","",HYPERLINK("https://wa.me/"&amp;REGEXREPLACE(D503,"[^\d]","")&amp;"?text="&amp;ENCODEURL(O503),"واتساب 3"))</x:f>
      </x:c>
    </x:row>
    <x:row r="504" ht="15" hidden="0" customHeight="1">
      <x:c r="A504" s="12" t="str">
        <x:f>IF(Leads!A504="","",Leads!A504)</x:f>
      </x:c>
      <x:c r="B504" s="12" t="str">
        <x:f>IF(Leads!F504="","",Leads!F504)</x:f>
      </x:c>
      <x:c r="C504" s="12" t="str">
        <x:f>IF(Leads!G504="","",Leads!G504)</x:f>
      </x:c>
      <x:c r="D504" s="12" t="str">
        <x:f>IF(Leads!O504="","",Leads!O504)</x:f>
      </x:c>
      <x:c r="E504" s="12" t="str">
        <x:f>IF(Leads!AV504="","",Leads!AV504)</x:f>
      </x:c>
      <x:c r="F504" s="12" t="str">
        <x:f>IF(Leads!AX504="","",Leads!AX504)</x:f>
      </x:c>
      <x:c r="G504" s="12" t="str">
        <x:f>IF(Leads!BC504="","",Leads!BC504)</x:f>
      </x:c>
      <x:c r="H504" s="12" t="str">
        <x:f>IF(Leads!BE504="","",Leads!BE504)</x:f>
      </x:c>
      <x:c r="I504" s="12" t="str">
        <x:f>IF(Leads!BG504="","",Leads!BG504)</x:f>
      </x:c>
      <x:c r="J504" s="12" t="str">
        <x:f>IF(Leads!BH504="","",Leads!BH504)</x:f>
      </x:c>
      <x:c r="K504" s="12" t="str">
        <x:f>IF(A504="","","مرحبًا "&amp;C504&amp;CHAR(10)&amp;CHAR(10)&amp;"شكرًا لإتمام تقييم DBD الخاص بعيادة "&amp;B504&amp;"."&amp;CHAR(10)&amp;"نتيجتكم الحالية: "&amp;E504&amp;"%."&amp;CHAR(10)&amp;"أولوية التحسين الأولى: "&amp;F504&amp;"."&amp;IF(J504&lt;&gt;"",CHAR(10)&amp;CHAR(10)&amp;"رابط التقرير: "&amp;J504,"")&amp;CHAR(10)&amp;CHAR(10)&amp;"إذا أحببت، يمكننا مساعدتك في فهم التقرير وتحديد أفضل خطوة تالية لعيادتكم.")</x:f>
      </x:c>
      <x:c r="L504" s="12" t="str">
        <x:f>IF(D504="","",HYPERLINK("https://wa.me/"&amp;REGEXREPLACE(D504,"[^\d]","")&amp;"?text="&amp;ENCODEURL(K504),"واتساب 1"))</x:f>
      </x:c>
      <x:c r="M504" s="12" t="str">
        <x:f>IF(A504="","","مرحبًا "&amp;C504&amp;CHAR(10)&amp;CHAR(10)&amp;"بناءً على نتيجة تقييم عيادة "&amp;B504&amp;"، فإن الترشيح الأقوى لكم الآن هو: "&amp;G504&amp;"."&amp;CHAR(10)&amp;"هذا الخيار يساعدكم في معالجة أكبر فجوة حالية بشكل عملي ومباشر."&amp;IF(J504&lt;&gt;"",CHAR(10)&amp;CHAR(10)&amp;"رابط التقرير: "&amp;J504,"")&amp;CHAR(10)&amp;CHAR(10)&amp;"إذا رغبت، يمكننا توضيح لماذا هذا الكورس هو الأنسب لكم الآن.")</x:f>
      </x:c>
      <x:c r="N504" s="12" t="str">
        <x:f>IF(D504="","",HYPERLINK("https://wa.me/"&amp;REGEXREPLACE(D504,"[^\d]","")&amp;"?text="&amp;ENCODEURL(M504),"واتساب 2"))</x:f>
      </x:c>
      <x:c r="O504" s="12" t="str">
        <x:f>IF(A504="","","مرحبًا "&amp;C504&amp;CHAR(10)&amp;CHAR(10)&amp;"إذا كانت التحديات لديكم تحتاج حلًا أشمل، فالبرنامج الكامل المناسب لكم هو: "&amp;H504&amp;"."&amp;IF(I504&lt;&gt;"",CHAR(10)&amp;"كما يمكنكم أيضًا حجز: "&amp;I504&amp;".","")&amp;IF(J504&lt;&gt;"",CHAR(10)&amp;CHAR(10)&amp;"رابط التقرير: "&amp;J504,"")&amp;CHAR(10)&amp;CHAR(10)&amp;"يسعدنا مساعدتكم في اختيار المسار الأنسب حسب وضع العيادة الحالي.")</x:f>
      </x:c>
      <x:c r="P504" s="12" t="str">
        <x:f>IF(D504="","",HYPERLINK("https://wa.me/"&amp;REGEXREPLACE(D504,"[^\d]","")&amp;"?text="&amp;ENCODEURL(O504),"واتساب 3"))</x:f>
      </x:c>
    </x:row>
    <x:row r="505" ht="15" hidden="0" customHeight="1">
      <x:c r="A505" s="12" t="str">
        <x:f>IF(Leads!A505="","",Leads!A505)</x:f>
      </x:c>
      <x:c r="B505" s="12" t="str">
        <x:f>IF(Leads!F505="","",Leads!F505)</x:f>
      </x:c>
      <x:c r="C505" s="12" t="str">
        <x:f>IF(Leads!G505="","",Leads!G505)</x:f>
      </x:c>
      <x:c r="D505" s="12" t="str">
        <x:f>IF(Leads!O505="","",Leads!O505)</x:f>
      </x:c>
      <x:c r="E505" s="12" t="str">
        <x:f>IF(Leads!AV505="","",Leads!AV505)</x:f>
      </x:c>
      <x:c r="F505" s="12" t="str">
        <x:f>IF(Leads!AX505="","",Leads!AX505)</x:f>
      </x:c>
      <x:c r="G505" s="12" t="str">
        <x:f>IF(Leads!BC505="","",Leads!BC505)</x:f>
      </x:c>
      <x:c r="H505" s="12" t="str">
        <x:f>IF(Leads!BE505="","",Leads!BE505)</x:f>
      </x:c>
      <x:c r="I505" s="12" t="str">
        <x:f>IF(Leads!BG505="","",Leads!BG505)</x:f>
      </x:c>
      <x:c r="J505" s="12" t="str">
        <x:f>IF(Leads!BH505="","",Leads!BH505)</x:f>
      </x:c>
      <x:c r="K505" s="12" t="str">
        <x:f>IF(A505="","","مرحبًا "&amp;C505&amp;CHAR(10)&amp;CHAR(10)&amp;"شكرًا لإتمام تقييم DBD الخاص بعيادة "&amp;B505&amp;"."&amp;CHAR(10)&amp;"نتيجتكم الحالية: "&amp;E505&amp;"%."&amp;CHAR(10)&amp;"أولوية التحسين الأولى: "&amp;F505&amp;"."&amp;IF(J505&lt;&gt;"",CHAR(10)&amp;CHAR(10)&amp;"رابط التقرير: "&amp;J505,"")&amp;CHAR(10)&amp;CHAR(10)&amp;"إذا أحببت، يمكننا مساعدتك في فهم التقرير وتحديد أفضل خطوة تالية لعيادتكم.")</x:f>
      </x:c>
      <x:c r="L505" s="12" t="str">
        <x:f>IF(D505="","",HYPERLINK("https://wa.me/"&amp;REGEXREPLACE(D505,"[^\d]","")&amp;"?text="&amp;ENCODEURL(K505),"واتساب 1"))</x:f>
      </x:c>
      <x:c r="M505" s="12" t="str">
        <x:f>IF(A505="","","مرحبًا "&amp;C505&amp;CHAR(10)&amp;CHAR(10)&amp;"بناءً على نتيجة تقييم عيادة "&amp;B505&amp;"، فإن الترشيح الأقوى لكم الآن هو: "&amp;G505&amp;"."&amp;CHAR(10)&amp;"هذا الخيار يساعدكم في معالجة أكبر فجوة حالية بشكل عملي ومباشر."&amp;IF(J505&lt;&gt;"",CHAR(10)&amp;CHAR(10)&amp;"رابط التقرير: "&amp;J505,"")&amp;CHAR(10)&amp;CHAR(10)&amp;"إذا رغبت، يمكننا توضيح لماذا هذا الكورس هو الأنسب لكم الآن.")</x:f>
      </x:c>
      <x:c r="N505" s="12" t="str">
        <x:f>IF(D505="","",HYPERLINK("https://wa.me/"&amp;REGEXREPLACE(D505,"[^\d]","")&amp;"?text="&amp;ENCODEURL(M505),"واتساب 2"))</x:f>
      </x:c>
      <x:c r="O505" s="12" t="str">
        <x:f>IF(A505="","","مرحبًا "&amp;C505&amp;CHAR(10)&amp;CHAR(10)&amp;"إذا كانت التحديات لديكم تحتاج حلًا أشمل، فالبرنامج الكامل المناسب لكم هو: "&amp;H505&amp;"."&amp;IF(I505&lt;&gt;"",CHAR(10)&amp;"كما يمكنكم أيضًا حجز: "&amp;I505&amp;".","")&amp;IF(J505&lt;&gt;"",CHAR(10)&amp;CHAR(10)&amp;"رابط التقرير: "&amp;J505,"")&amp;CHAR(10)&amp;CHAR(10)&amp;"يسعدنا مساعدتكم في اختيار المسار الأنسب حسب وضع العيادة الحالي.")</x:f>
      </x:c>
      <x:c r="P505" s="12" t="str">
        <x:f>IF(D505="","",HYPERLINK("https://wa.me/"&amp;REGEXREPLACE(D505,"[^\d]","")&amp;"?text="&amp;ENCODEURL(O505),"واتساب 3"))</x:f>
      </x:c>
    </x:row>
    <x:row r="506" ht="15" hidden="0" customHeight="1">
      <x:c r="A506" s="12" t="str">
        <x:f>IF(Leads!A506="","",Leads!A506)</x:f>
      </x:c>
      <x:c r="B506" s="12" t="str">
        <x:f>IF(Leads!F506="","",Leads!F506)</x:f>
      </x:c>
      <x:c r="C506" s="12" t="str">
        <x:f>IF(Leads!G506="","",Leads!G506)</x:f>
      </x:c>
      <x:c r="D506" s="12" t="str">
        <x:f>IF(Leads!O506="","",Leads!O506)</x:f>
      </x:c>
      <x:c r="E506" s="12" t="str">
        <x:f>IF(Leads!AV506="","",Leads!AV506)</x:f>
      </x:c>
      <x:c r="F506" s="12" t="str">
        <x:f>IF(Leads!AX506="","",Leads!AX506)</x:f>
      </x:c>
      <x:c r="G506" s="12" t="str">
        <x:f>IF(Leads!BC506="","",Leads!BC506)</x:f>
      </x:c>
      <x:c r="H506" s="12" t="str">
        <x:f>IF(Leads!BE506="","",Leads!BE506)</x:f>
      </x:c>
      <x:c r="I506" s="12" t="str">
        <x:f>IF(Leads!BG506="","",Leads!BG506)</x:f>
      </x:c>
      <x:c r="J506" s="12" t="str">
        <x:f>IF(Leads!BH506="","",Leads!BH506)</x:f>
      </x:c>
      <x:c r="K506" s="12" t="str">
        <x:f>IF(A506="","","مرحبًا "&amp;C506&amp;CHAR(10)&amp;CHAR(10)&amp;"شكرًا لإتمام تقييم DBD الخاص بعيادة "&amp;B506&amp;"."&amp;CHAR(10)&amp;"نتيجتكم الحالية: "&amp;E506&amp;"%."&amp;CHAR(10)&amp;"أولوية التحسين الأولى: "&amp;F506&amp;"."&amp;IF(J506&lt;&gt;"",CHAR(10)&amp;CHAR(10)&amp;"رابط التقرير: "&amp;J506,"")&amp;CHAR(10)&amp;CHAR(10)&amp;"إذا أحببت، يمكننا مساعدتك في فهم التقرير وتحديد أفضل خطوة تالية لعيادتكم.")</x:f>
      </x:c>
      <x:c r="L506" s="12" t="str">
        <x:f>IF(D506="","",HYPERLINK("https://wa.me/"&amp;REGEXREPLACE(D506,"[^\d]","")&amp;"?text="&amp;ENCODEURL(K506),"واتساب 1"))</x:f>
      </x:c>
      <x:c r="M506" s="12" t="str">
        <x:f>IF(A506="","","مرحبًا "&amp;C506&amp;CHAR(10)&amp;CHAR(10)&amp;"بناءً على نتيجة تقييم عيادة "&amp;B506&amp;"، فإن الترشيح الأقوى لكم الآن هو: "&amp;G506&amp;"."&amp;CHAR(10)&amp;"هذا الخيار يساعدكم في معالجة أكبر فجوة حالية بشكل عملي ومباشر."&amp;IF(J506&lt;&gt;"",CHAR(10)&amp;CHAR(10)&amp;"رابط التقرير: "&amp;J506,"")&amp;CHAR(10)&amp;CHAR(10)&amp;"إذا رغبت، يمكننا توضيح لماذا هذا الكورس هو الأنسب لكم الآن.")</x:f>
      </x:c>
      <x:c r="N506" s="12" t="str">
        <x:f>IF(D506="","",HYPERLINK("https://wa.me/"&amp;REGEXREPLACE(D506,"[^\d]","")&amp;"?text="&amp;ENCODEURL(M506),"واتساب 2"))</x:f>
      </x:c>
      <x:c r="O506" s="12" t="str">
        <x:f>IF(A506="","","مرحبًا "&amp;C506&amp;CHAR(10)&amp;CHAR(10)&amp;"إذا كانت التحديات لديكم تحتاج حلًا أشمل، فالبرنامج الكامل المناسب لكم هو: "&amp;H506&amp;"."&amp;IF(I506&lt;&gt;"",CHAR(10)&amp;"كما يمكنكم أيضًا حجز: "&amp;I506&amp;".","")&amp;IF(J506&lt;&gt;"",CHAR(10)&amp;CHAR(10)&amp;"رابط التقرير: "&amp;J506,"")&amp;CHAR(10)&amp;CHAR(10)&amp;"يسعدنا مساعدتكم في اختيار المسار الأنسب حسب وضع العيادة الحالي.")</x:f>
      </x:c>
      <x:c r="P506" s="12" t="str">
        <x:f>IF(D506="","",HYPERLINK("https://wa.me/"&amp;REGEXREPLACE(D506,"[^\d]","")&amp;"?text="&amp;ENCODEURL(O506),"واتساب 3"))</x:f>
      </x:c>
    </x:row>
    <x:row r="507" ht="15" hidden="0" customHeight="1">
      <x:c r="A507" s="12" t="str">
        <x:f>IF(Leads!A507="","",Leads!A507)</x:f>
      </x:c>
      <x:c r="B507" s="12" t="str">
        <x:f>IF(Leads!F507="","",Leads!F507)</x:f>
      </x:c>
      <x:c r="C507" s="12" t="str">
        <x:f>IF(Leads!G507="","",Leads!G507)</x:f>
      </x:c>
      <x:c r="D507" s="12" t="str">
        <x:f>IF(Leads!O507="","",Leads!O507)</x:f>
      </x:c>
      <x:c r="E507" s="12" t="str">
        <x:f>IF(Leads!AV507="","",Leads!AV507)</x:f>
      </x:c>
      <x:c r="F507" s="12" t="str">
        <x:f>IF(Leads!AX507="","",Leads!AX507)</x:f>
      </x:c>
      <x:c r="G507" s="12" t="str">
        <x:f>IF(Leads!BC507="","",Leads!BC507)</x:f>
      </x:c>
      <x:c r="H507" s="12" t="str">
        <x:f>IF(Leads!BE507="","",Leads!BE507)</x:f>
      </x:c>
      <x:c r="I507" s="12" t="str">
        <x:f>IF(Leads!BG507="","",Leads!BG507)</x:f>
      </x:c>
      <x:c r="J507" s="12" t="str">
        <x:f>IF(Leads!BH507="","",Leads!BH507)</x:f>
      </x:c>
      <x:c r="K507" s="12" t="str">
        <x:f>IF(A507="","","مرحبًا "&amp;C507&amp;CHAR(10)&amp;CHAR(10)&amp;"شكرًا لإتمام تقييم DBD الخاص بعيادة "&amp;B507&amp;"."&amp;CHAR(10)&amp;"نتيجتكم الحالية: "&amp;E507&amp;"%."&amp;CHAR(10)&amp;"أولوية التحسين الأولى: "&amp;F507&amp;"."&amp;IF(J507&lt;&gt;"",CHAR(10)&amp;CHAR(10)&amp;"رابط التقرير: "&amp;J507,"")&amp;CHAR(10)&amp;CHAR(10)&amp;"إذا أحببت، يمكننا مساعدتك في فهم التقرير وتحديد أفضل خطوة تالية لعيادتكم.")</x:f>
      </x:c>
      <x:c r="L507" s="12" t="str">
        <x:f>IF(D507="","",HYPERLINK("https://wa.me/"&amp;REGEXREPLACE(D507,"[^\d]","")&amp;"?text="&amp;ENCODEURL(K507),"واتساب 1"))</x:f>
      </x:c>
      <x:c r="M507" s="12" t="str">
        <x:f>IF(A507="","","مرحبًا "&amp;C507&amp;CHAR(10)&amp;CHAR(10)&amp;"بناءً على نتيجة تقييم عيادة "&amp;B507&amp;"، فإن الترشيح الأقوى لكم الآن هو: "&amp;G507&amp;"."&amp;CHAR(10)&amp;"هذا الخيار يساعدكم في معالجة أكبر فجوة حالية بشكل عملي ومباشر."&amp;IF(J507&lt;&gt;"",CHAR(10)&amp;CHAR(10)&amp;"رابط التقرير: "&amp;J507,"")&amp;CHAR(10)&amp;CHAR(10)&amp;"إذا رغبت، يمكننا توضيح لماذا هذا الكورس هو الأنسب لكم الآن.")</x:f>
      </x:c>
      <x:c r="N507" s="12" t="str">
        <x:f>IF(D507="","",HYPERLINK("https://wa.me/"&amp;REGEXREPLACE(D507,"[^\d]","")&amp;"?text="&amp;ENCODEURL(M507),"واتساب 2"))</x:f>
      </x:c>
      <x:c r="O507" s="12" t="str">
        <x:f>IF(A507="","","مرحبًا "&amp;C507&amp;CHAR(10)&amp;CHAR(10)&amp;"إذا كانت التحديات لديكم تحتاج حلًا أشمل، فالبرنامج الكامل المناسب لكم هو: "&amp;H507&amp;"."&amp;IF(I507&lt;&gt;"",CHAR(10)&amp;"كما يمكنكم أيضًا حجز: "&amp;I507&amp;".","")&amp;IF(J507&lt;&gt;"",CHAR(10)&amp;CHAR(10)&amp;"رابط التقرير: "&amp;J507,"")&amp;CHAR(10)&amp;CHAR(10)&amp;"يسعدنا مساعدتكم في اختيار المسار الأنسب حسب وضع العيادة الحالي.")</x:f>
      </x:c>
      <x:c r="P507" s="12" t="str">
        <x:f>IF(D507="","",HYPERLINK("https://wa.me/"&amp;REGEXREPLACE(D507,"[^\d]","")&amp;"?text="&amp;ENCODEURL(O507),"واتساب 3"))</x:f>
      </x:c>
    </x:row>
    <x:row r="508" ht="15" hidden="0" customHeight="1">
      <x:c r="A508" s="12" t="str">
        <x:f>IF(Leads!A508="","",Leads!A508)</x:f>
      </x:c>
      <x:c r="B508" s="12" t="str">
        <x:f>IF(Leads!F508="","",Leads!F508)</x:f>
      </x:c>
      <x:c r="C508" s="12" t="str">
        <x:f>IF(Leads!G508="","",Leads!G508)</x:f>
      </x:c>
      <x:c r="D508" s="12" t="str">
        <x:f>IF(Leads!O508="","",Leads!O508)</x:f>
      </x:c>
      <x:c r="E508" s="12" t="str">
        <x:f>IF(Leads!AV508="","",Leads!AV508)</x:f>
      </x:c>
      <x:c r="F508" s="12" t="str">
        <x:f>IF(Leads!AX508="","",Leads!AX508)</x:f>
      </x:c>
      <x:c r="G508" s="12" t="str">
        <x:f>IF(Leads!BC508="","",Leads!BC508)</x:f>
      </x:c>
      <x:c r="H508" s="12" t="str">
        <x:f>IF(Leads!BE508="","",Leads!BE508)</x:f>
      </x:c>
      <x:c r="I508" s="12" t="str">
        <x:f>IF(Leads!BG508="","",Leads!BG508)</x:f>
      </x:c>
      <x:c r="J508" s="12" t="str">
        <x:f>IF(Leads!BH508="","",Leads!BH508)</x:f>
      </x:c>
      <x:c r="K508" s="12" t="str">
        <x:f>IF(A508="","","مرحبًا "&amp;C508&amp;CHAR(10)&amp;CHAR(10)&amp;"شكرًا لإتمام تقييم DBD الخاص بعيادة "&amp;B508&amp;"."&amp;CHAR(10)&amp;"نتيجتكم الحالية: "&amp;E508&amp;"%."&amp;CHAR(10)&amp;"أولوية التحسين الأولى: "&amp;F508&amp;"."&amp;IF(J508&lt;&gt;"",CHAR(10)&amp;CHAR(10)&amp;"رابط التقرير: "&amp;J508,"")&amp;CHAR(10)&amp;CHAR(10)&amp;"إذا أحببت، يمكننا مساعدتك في فهم التقرير وتحديد أفضل خطوة تالية لعيادتكم.")</x:f>
      </x:c>
      <x:c r="L508" s="12" t="str">
        <x:f>IF(D508="","",HYPERLINK("https://wa.me/"&amp;REGEXREPLACE(D508,"[^\d]","")&amp;"?text="&amp;ENCODEURL(K508),"واتساب 1"))</x:f>
      </x:c>
      <x:c r="M508" s="12" t="str">
        <x:f>IF(A508="","","مرحبًا "&amp;C508&amp;CHAR(10)&amp;CHAR(10)&amp;"بناءً على نتيجة تقييم عيادة "&amp;B508&amp;"، فإن الترشيح الأقوى لكم الآن هو: "&amp;G508&amp;"."&amp;CHAR(10)&amp;"هذا الخيار يساعدكم في معالجة أكبر فجوة حالية بشكل عملي ومباشر."&amp;IF(J508&lt;&gt;"",CHAR(10)&amp;CHAR(10)&amp;"رابط التقرير: "&amp;J508,"")&amp;CHAR(10)&amp;CHAR(10)&amp;"إذا رغبت، يمكننا توضيح لماذا هذا الكورس هو الأنسب لكم الآن.")</x:f>
      </x:c>
      <x:c r="N508" s="12" t="str">
        <x:f>IF(D508="","",HYPERLINK("https://wa.me/"&amp;REGEXREPLACE(D508,"[^\d]","")&amp;"?text="&amp;ENCODEURL(M508),"واتساب 2"))</x:f>
      </x:c>
      <x:c r="O508" s="12" t="str">
        <x:f>IF(A508="","","مرحبًا "&amp;C508&amp;CHAR(10)&amp;CHAR(10)&amp;"إذا كانت التحديات لديكم تحتاج حلًا أشمل، فالبرنامج الكامل المناسب لكم هو: "&amp;H508&amp;"."&amp;IF(I508&lt;&gt;"",CHAR(10)&amp;"كما يمكنكم أيضًا حجز: "&amp;I508&amp;".","")&amp;IF(J508&lt;&gt;"",CHAR(10)&amp;CHAR(10)&amp;"رابط التقرير: "&amp;J508,"")&amp;CHAR(10)&amp;CHAR(10)&amp;"يسعدنا مساعدتكم في اختيار المسار الأنسب حسب وضع العيادة الحالي.")</x:f>
      </x:c>
      <x:c r="P508" s="12" t="str">
        <x:f>IF(D508="","",HYPERLINK("https://wa.me/"&amp;REGEXREPLACE(D508,"[^\d]","")&amp;"?text="&amp;ENCODEURL(O508),"واتساب 3"))</x:f>
      </x:c>
    </x:row>
    <x:row r="509" ht="15" hidden="0" customHeight="1">
      <x:c r="A509" s="12" t="str">
        <x:f>IF(Leads!A509="","",Leads!A509)</x:f>
      </x:c>
      <x:c r="B509" s="12" t="str">
        <x:f>IF(Leads!F509="","",Leads!F509)</x:f>
      </x:c>
      <x:c r="C509" s="12" t="str">
        <x:f>IF(Leads!G509="","",Leads!G509)</x:f>
      </x:c>
      <x:c r="D509" s="12" t="str">
        <x:f>IF(Leads!O509="","",Leads!O509)</x:f>
      </x:c>
      <x:c r="E509" s="12" t="str">
        <x:f>IF(Leads!AV509="","",Leads!AV509)</x:f>
      </x:c>
      <x:c r="F509" s="12" t="str">
        <x:f>IF(Leads!AX509="","",Leads!AX509)</x:f>
      </x:c>
      <x:c r="G509" s="12" t="str">
        <x:f>IF(Leads!BC509="","",Leads!BC509)</x:f>
      </x:c>
      <x:c r="H509" s="12" t="str">
        <x:f>IF(Leads!BE509="","",Leads!BE509)</x:f>
      </x:c>
      <x:c r="I509" s="12" t="str">
        <x:f>IF(Leads!BG509="","",Leads!BG509)</x:f>
      </x:c>
      <x:c r="J509" s="12" t="str">
        <x:f>IF(Leads!BH509="","",Leads!BH509)</x:f>
      </x:c>
      <x:c r="K509" s="12" t="str">
        <x:f>IF(A509="","","مرحبًا "&amp;C509&amp;CHAR(10)&amp;CHAR(10)&amp;"شكرًا لإتمام تقييم DBD الخاص بعيادة "&amp;B509&amp;"."&amp;CHAR(10)&amp;"نتيجتكم الحالية: "&amp;E509&amp;"%."&amp;CHAR(10)&amp;"أولوية التحسين الأولى: "&amp;F509&amp;"."&amp;IF(J509&lt;&gt;"",CHAR(10)&amp;CHAR(10)&amp;"رابط التقرير: "&amp;J509,"")&amp;CHAR(10)&amp;CHAR(10)&amp;"إذا أحببت، يمكننا مساعدتك في فهم التقرير وتحديد أفضل خطوة تالية لعيادتكم.")</x:f>
      </x:c>
      <x:c r="L509" s="12" t="str">
        <x:f>IF(D509="","",HYPERLINK("https://wa.me/"&amp;REGEXREPLACE(D509,"[^\d]","")&amp;"?text="&amp;ENCODEURL(K509),"واتساب 1"))</x:f>
      </x:c>
      <x:c r="M509" s="12" t="str">
        <x:f>IF(A509="","","مرحبًا "&amp;C509&amp;CHAR(10)&amp;CHAR(10)&amp;"بناءً على نتيجة تقييم عيادة "&amp;B509&amp;"، فإن الترشيح الأقوى لكم الآن هو: "&amp;G509&amp;"."&amp;CHAR(10)&amp;"هذا الخيار يساعدكم في معالجة أكبر فجوة حالية بشكل عملي ومباشر."&amp;IF(J509&lt;&gt;"",CHAR(10)&amp;CHAR(10)&amp;"رابط التقرير: "&amp;J509,"")&amp;CHAR(10)&amp;CHAR(10)&amp;"إذا رغبت، يمكننا توضيح لماذا هذا الكورس هو الأنسب لكم الآن.")</x:f>
      </x:c>
      <x:c r="N509" s="12" t="str">
        <x:f>IF(D509="","",HYPERLINK("https://wa.me/"&amp;REGEXREPLACE(D509,"[^\d]","")&amp;"?text="&amp;ENCODEURL(M509),"واتساب 2"))</x:f>
      </x:c>
      <x:c r="O509" s="12" t="str">
        <x:f>IF(A509="","","مرحبًا "&amp;C509&amp;CHAR(10)&amp;CHAR(10)&amp;"إذا كانت التحديات لديكم تحتاج حلًا أشمل، فالبرنامج الكامل المناسب لكم هو: "&amp;H509&amp;"."&amp;IF(I509&lt;&gt;"",CHAR(10)&amp;"كما يمكنكم أيضًا حجز: "&amp;I509&amp;".","")&amp;IF(J509&lt;&gt;"",CHAR(10)&amp;CHAR(10)&amp;"رابط التقرير: "&amp;J509,"")&amp;CHAR(10)&amp;CHAR(10)&amp;"يسعدنا مساعدتكم في اختيار المسار الأنسب حسب وضع العيادة الحالي.")</x:f>
      </x:c>
      <x:c r="P509" s="12" t="str">
        <x:f>IF(D509="","",HYPERLINK("https://wa.me/"&amp;REGEXREPLACE(D509,"[^\d]","")&amp;"?text="&amp;ENCODEURL(O509),"واتساب 3"))</x:f>
      </x:c>
    </x:row>
    <x:row r="510" ht="15" hidden="0" customHeight="1">
      <x:c r="A510" s="12" t="str">
        <x:f>IF(Leads!A510="","",Leads!A510)</x:f>
      </x:c>
      <x:c r="B510" s="12" t="str">
        <x:f>IF(Leads!F510="","",Leads!F510)</x:f>
      </x:c>
      <x:c r="C510" s="12" t="str">
        <x:f>IF(Leads!G510="","",Leads!G510)</x:f>
      </x:c>
      <x:c r="D510" s="12" t="str">
        <x:f>IF(Leads!O510="","",Leads!O510)</x:f>
      </x:c>
      <x:c r="E510" s="12" t="str">
        <x:f>IF(Leads!AV510="","",Leads!AV510)</x:f>
      </x:c>
      <x:c r="F510" s="12" t="str">
        <x:f>IF(Leads!AX510="","",Leads!AX510)</x:f>
      </x:c>
      <x:c r="G510" s="12" t="str">
        <x:f>IF(Leads!BC510="","",Leads!BC510)</x:f>
      </x:c>
      <x:c r="H510" s="12" t="str">
        <x:f>IF(Leads!BE510="","",Leads!BE510)</x:f>
      </x:c>
      <x:c r="I510" s="12" t="str">
        <x:f>IF(Leads!BG510="","",Leads!BG510)</x:f>
      </x:c>
      <x:c r="J510" s="12" t="str">
        <x:f>IF(Leads!BH510="","",Leads!BH510)</x:f>
      </x:c>
      <x:c r="K510" s="12" t="str">
        <x:f>IF(A510="","","مرحبًا "&amp;C510&amp;CHAR(10)&amp;CHAR(10)&amp;"شكرًا لإتمام تقييم DBD الخاص بعيادة "&amp;B510&amp;"."&amp;CHAR(10)&amp;"نتيجتكم الحالية: "&amp;E510&amp;"%."&amp;CHAR(10)&amp;"أولوية التحسين الأولى: "&amp;F510&amp;"."&amp;IF(J510&lt;&gt;"",CHAR(10)&amp;CHAR(10)&amp;"رابط التقرير: "&amp;J510,"")&amp;CHAR(10)&amp;CHAR(10)&amp;"إذا أحببت، يمكننا مساعدتك في فهم التقرير وتحديد أفضل خطوة تالية لعيادتكم.")</x:f>
      </x:c>
      <x:c r="L510" s="12" t="str">
        <x:f>IF(D510="","",HYPERLINK("https://wa.me/"&amp;REGEXREPLACE(D510,"[^\d]","")&amp;"?text="&amp;ENCODEURL(K510),"واتساب 1"))</x:f>
      </x:c>
      <x:c r="M510" s="12" t="str">
        <x:f>IF(A510="","","مرحبًا "&amp;C510&amp;CHAR(10)&amp;CHAR(10)&amp;"بناءً على نتيجة تقييم عيادة "&amp;B510&amp;"، فإن الترشيح الأقوى لكم الآن هو: "&amp;G510&amp;"."&amp;CHAR(10)&amp;"هذا الخيار يساعدكم في معالجة أكبر فجوة حالية بشكل عملي ومباشر."&amp;IF(J510&lt;&gt;"",CHAR(10)&amp;CHAR(10)&amp;"رابط التقرير: "&amp;J510,"")&amp;CHAR(10)&amp;CHAR(10)&amp;"إذا رغبت، يمكننا توضيح لماذا هذا الكورس هو الأنسب لكم الآن.")</x:f>
      </x:c>
      <x:c r="N510" s="12" t="str">
        <x:f>IF(D510="","",HYPERLINK("https://wa.me/"&amp;REGEXREPLACE(D510,"[^\d]","")&amp;"?text="&amp;ENCODEURL(M510),"واتساب 2"))</x:f>
      </x:c>
      <x:c r="O510" s="12" t="str">
        <x:f>IF(A510="","","مرحبًا "&amp;C510&amp;CHAR(10)&amp;CHAR(10)&amp;"إذا كانت التحديات لديكم تحتاج حلًا أشمل، فالبرنامج الكامل المناسب لكم هو: "&amp;H510&amp;"."&amp;IF(I510&lt;&gt;"",CHAR(10)&amp;"كما يمكنكم أيضًا حجز: "&amp;I510&amp;".","")&amp;IF(J510&lt;&gt;"",CHAR(10)&amp;CHAR(10)&amp;"رابط التقرير: "&amp;J510,"")&amp;CHAR(10)&amp;CHAR(10)&amp;"يسعدنا مساعدتكم في اختيار المسار الأنسب حسب وضع العيادة الحالي.")</x:f>
      </x:c>
      <x:c r="P510" s="12" t="str">
        <x:f>IF(D510="","",HYPERLINK("https://wa.me/"&amp;REGEXREPLACE(D510,"[^\d]","")&amp;"?text="&amp;ENCODEURL(O510),"واتساب 3"))</x:f>
      </x:c>
    </x:row>
    <x:row r="511" ht="15" hidden="0" customHeight="1">
      <x:c r="A511" s="12" t="str">
        <x:f>IF(Leads!A511="","",Leads!A511)</x:f>
      </x:c>
      <x:c r="B511" s="12" t="str">
        <x:f>IF(Leads!F511="","",Leads!F511)</x:f>
      </x:c>
      <x:c r="C511" s="12" t="str">
        <x:f>IF(Leads!G511="","",Leads!G511)</x:f>
      </x:c>
      <x:c r="D511" s="12" t="str">
        <x:f>IF(Leads!O511="","",Leads!O511)</x:f>
      </x:c>
      <x:c r="E511" s="12" t="str">
        <x:f>IF(Leads!AV511="","",Leads!AV511)</x:f>
      </x:c>
      <x:c r="F511" s="12" t="str">
        <x:f>IF(Leads!AX511="","",Leads!AX511)</x:f>
      </x:c>
      <x:c r="G511" s="12" t="str">
        <x:f>IF(Leads!BC511="","",Leads!BC511)</x:f>
      </x:c>
      <x:c r="H511" s="12" t="str">
        <x:f>IF(Leads!BE511="","",Leads!BE511)</x:f>
      </x:c>
      <x:c r="I511" s="12" t="str">
        <x:f>IF(Leads!BG511="","",Leads!BG511)</x:f>
      </x:c>
      <x:c r="J511" s="12" t="str">
        <x:f>IF(Leads!BH511="","",Leads!BH511)</x:f>
      </x:c>
      <x:c r="K511" s="12" t="str">
        <x:f>IF(A511="","","مرحبًا "&amp;C511&amp;CHAR(10)&amp;CHAR(10)&amp;"شكرًا لإتمام تقييم DBD الخاص بعيادة "&amp;B511&amp;"."&amp;CHAR(10)&amp;"نتيجتكم الحالية: "&amp;E511&amp;"%."&amp;CHAR(10)&amp;"أولوية التحسين الأولى: "&amp;F511&amp;"."&amp;IF(J511&lt;&gt;"",CHAR(10)&amp;CHAR(10)&amp;"رابط التقرير: "&amp;J511,"")&amp;CHAR(10)&amp;CHAR(10)&amp;"إذا أحببت، يمكننا مساعدتك في فهم التقرير وتحديد أفضل خطوة تالية لعيادتكم.")</x:f>
      </x:c>
      <x:c r="L511" s="12" t="str">
        <x:f>IF(D511="","",HYPERLINK("https://wa.me/"&amp;REGEXREPLACE(D511,"[^\d]","")&amp;"?text="&amp;ENCODEURL(K511),"واتساب 1"))</x:f>
      </x:c>
      <x:c r="M511" s="12" t="str">
        <x:f>IF(A511="","","مرحبًا "&amp;C511&amp;CHAR(10)&amp;CHAR(10)&amp;"بناءً على نتيجة تقييم عيادة "&amp;B511&amp;"، فإن الترشيح الأقوى لكم الآن هو: "&amp;G511&amp;"."&amp;CHAR(10)&amp;"هذا الخيار يساعدكم في معالجة أكبر فجوة حالية بشكل عملي ومباشر."&amp;IF(J511&lt;&gt;"",CHAR(10)&amp;CHAR(10)&amp;"رابط التقرير: "&amp;J511,"")&amp;CHAR(10)&amp;CHAR(10)&amp;"إذا رغبت، يمكننا توضيح لماذا هذا الكورس هو الأنسب لكم الآن.")</x:f>
      </x:c>
      <x:c r="N511" s="12" t="str">
        <x:f>IF(D511="","",HYPERLINK("https://wa.me/"&amp;REGEXREPLACE(D511,"[^\d]","")&amp;"?text="&amp;ENCODEURL(M511),"واتساب 2"))</x:f>
      </x:c>
      <x:c r="O511" s="12" t="str">
        <x:f>IF(A511="","","مرحبًا "&amp;C511&amp;CHAR(10)&amp;CHAR(10)&amp;"إذا كانت التحديات لديكم تحتاج حلًا أشمل، فالبرنامج الكامل المناسب لكم هو: "&amp;H511&amp;"."&amp;IF(I511&lt;&gt;"",CHAR(10)&amp;"كما يمكنكم أيضًا حجز: "&amp;I511&amp;".","")&amp;IF(J511&lt;&gt;"",CHAR(10)&amp;CHAR(10)&amp;"رابط التقرير: "&amp;J511,"")&amp;CHAR(10)&amp;CHAR(10)&amp;"يسعدنا مساعدتكم في اختيار المسار الأنسب حسب وضع العيادة الحالي.")</x:f>
      </x:c>
      <x:c r="P511" s="12" t="str">
        <x:f>IF(D511="","",HYPERLINK("https://wa.me/"&amp;REGEXREPLACE(D511,"[^\d]","")&amp;"?text="&amp;ENCODEURL(O511),"واتساب 3"))</x:f>
      </x:c>
    </x:row>
    <x:row r="512" ht="15" hidden="0" customHeight="1">
      <x:c r="A512" s="12" t="str">
        <x:f>IF(Leads!A512="","",Leads!A512)</x:f>
      </x:c>
      <x:c r="B512" s="12" t="str">
        <x:f>IF(Leads!F512="","",Leads!F512)</x:f>
      </x:c>
      <x:c r="C512" s="12" t="str">
        <x:f>IF(Leads!G512="","",Leads!G512)</x:f>
      </x:c>
      <x:c r="D512" s="12" t="str">
        <x:f>IF(Leads!O512="","",Leads!O512)</x:f>
      </x:c>
      <x:c r="E512" s="12" t="str">
        <x:f>IF(Leads!AV512="","",Leads!AV512)</x:f>
      </x:c>
      <x:c r="F512" s="12" t="str">
        <x:f>IF(Leads!AX512="","",Leads!AX512)</x:f>
      </x:c>
      <x:c r="G512" s="12" t="str">
        <x:f>IF(Leads!BC512="","",Leads!BC512)</x:f>
      </x:c>
      <x:c r="H512" s="12" t="str">
        <x:f>IF(Leads!BE512="","",Leads!BE512)</x:f>
      </x:c>
      <x:c r="I512" s="12" t="str">
        <x:f>IF(Leads!BG512="","",Leads!BG512)</x:f>
      </x:c>
      <x:c r="J512" s="12" t="str">
        <x:f>IF(Leads!BH512="","",Leads!BH512)</x:f>
      </x:c>
      <x:c r="K512" s="12" t="str">
        <x:f>IF(A512="","","مرحبًا "&amp;C512&amp;CHAR(10)&amp;CHAR(10)&amp;"شكرًا لإتمام تقييم DBD الخاص بعيادة "&amp;B512&amp;"."&amp;CHAR(10)&amp;"نتيجتكم الحالية: "&amp;E512&amp;"%."&amp;CHAR(10)&amp;"أولوية التحسين الأولى: "&amp;F512&amp;"."&amp;IF(J512&lt;&gt;"",CHAR(10)&amp;CHAR(10)&amp;"رابط التقرير: "&amp;J512,"")&amp;CHAR(10)&amp;CHAR(10)&amp;"إذا أحببت، يمكننا مساعدتك في فهم التقرير وتحديد أفضل خطوة تالية لعيادتكم.")</x:f>
      </x:c>
      <x:c r="L512" s="12" t="str">
        <x:f>IF(D512="","",HYPERLINK("https://wa.me/"&amp;REGEXREPLACE(D512,"[^\d]","")&amp;"?text="&amp;ENCODEURL(K512),"واتساب 1"))</x:f>
      </x:c>
      <x:c r="M512" s="12" t="str">
        <x:f>IF(A512="","","مرحبًا "&amp;C512&amp;CHAR(10)&amp;CHAR(10)&amp;"بناءً على نتيجة تقييم عيادة "&amp;B512&amp;"، فإن الترشيح الأقوى لكم الآن هو: "&amp;G512&amp;"."&amp;CHAR(10)&amp;"هذا الخيار يساعدكم في معالجة أكبر فجوة حالية بشكل عملي ومباشر."&amp;IF(J512&lt;&gt;"",CHAR(10)&amp;CHAR(10)&amp;"رابط التقرير: "&amp;J512,"")&amp;CHAR(10)&amp;CHAR(10)&amp;"إذا رغبت، يمكننا توضيح لماذا هذا الكورس هو الأنسب لكم الآن.")</x:f>
      </x:c>
      <x:c r="N512" s="12" t="str">
        <x:f>IF(D512="","",HYPERLINK("https://wa.me/"&amp;REGEXREPLACE(D512,"[^\d]","")&amp;"?text="&amp;ENCODEURL(M512),"واتساب 2"))</x:f>
      </x:c>
      <x:c r="O512" s="12" t="str">
        <x:f>IF(A512="","","مرحبًا "&amp;C512&amp;CHAR(10)&amp;CHAR(10)&amp;"إذا كانت التحديات لديكم تحتاج حلًا أشمل، فالبرنامج الكامل المناسب لكم هو: "&amp;H512&amp;"."&amp;IF(I512&lt;&gt;"",CHAR(10)&amp;"كما يمكنكم أيضًا حجز: "&amp;I512&amp;".","")&amp;IF(J512&lt;&gt;"",CHAR(10)&amp;CHAR(10)&amp;"رابط التقرير: "&amp;J512,"")&amp;CHAR(10)&amp;CHAR(10)&amp;"يسعدنا مساعدتكم في اختيار المسار الأنسب حسب وضع العيادة الحالي.")</x:f>
      </x:c>
      <x:c r="P512" s="12" t="str">
        <x:f>IF(D512="","",HYPERLINK("https://wa.me/"&amp;REGEXREPLACE(D512,"[^\d]","")&amp;"?text="&amp;ENCODEURL(O512),"واتساب 3"))</x:f>
      </x:c>
    </x:row>
    <x:row r="513" ht="15" hidden="0" customHeight="1">
      <x:c r="A513" s="12" t="str">
        <x:f>IF(Leads!A513="","",Leads!A513)</x:f>
      </x:c>
      <x:c r="B513" s="12" t="str">
        <x:f>IF(Leads!F513="","",Leads!F513)</x:f>
      </x:c>
      <x:c r="C513" s="12" t="str">
        <x:f>IF(Leads!G513="","",Leads!G513)</x:f>
      </x:c>
      <x:c r="D513" s="12" t="str">
        <x:f>IF(Leads!O513="","",Leads!O513)</x:f>
      </x:c>
      <x:c r="E513" s="12" t="str">
        <x:f>IF(Leads!AV513="","",Leads!AV513)</x:f>
      </x:c>
      <x:c r="F513" s="12" t="str">
        <x:f>IF(Leads!AX513="","",Leads!AX513)</x:f>
      </x:c>
      <x:c r="G513" s="12" t="str">
        <x:f>IF(Leads!BC513="","",Leads!BC513)</x:f>
      </x:c>
      <x:c r="H513" s="12" t="str">
        <x:f>IF(Leads!BE513="","",Leads!BE513)</x:f>
      </x:c>
      <x:c r="I513" s="12" t="str">
        <x:f>IF(Leads!BG513="","",Leads!BG513)</x:f>
      </x:c>
      <x:c r="J513" s="12" t="str">
        <x:f>IF(Leads!BH513="","",Leads!BH513)</x:f>
      </x:c>
      <x:c r="K513" s="12" t="str">
        <x:f>IF(A513="","","مرحبًا "&amp;C513&amp;CHAR(10)&amp;CHAR(10)&amp;"شكرًا لإتمام تقييم DBD الخاص بعيادة "&amp;B513&amp;"."&amp;CHAR(10)&amp;"نتيجتكم الحالية: "&amp;E513&amp;"%."&amp;CHAR(10)&amp;"أولوية التحسين الأولى: "&amp;F513&amp;"."&amp;IF(J513&lt;&gt;"",CHAR(10)&amp;CHAR(10)&amp;"رابط التقرير: "&amp;J513,"")&amp;CHAR(10)&amp;CHAR(10)&amp;"إذا أحببت، يمكننا مساعدتك في فهم التقرير وتحديد أفضل خطوة تالية لعيادتكم.")</x:f>
      </x:c>
      <x:c r="L513" s="12" t="str">
        <x:f>IF(D513="","",HYPERLINK("https://wa.me/"&amp;REGEXREPLACE(D513,"[^\d]","")&amp;"?text="&amp;ENCODEURL(K513),"واتساب 1"))</x:f>
      </x:c>
      <x:c r="M513" s="12" t="str">
        <x:f>IF(A513="","","مرحبًا "&amp;C513&amp;CHAR(10)&amp;CHAR(10)&amp;"بناءً على نتيجة تقييم عيادة "&amp;B513&amp;"، فإن الترشيح الأقوى لكم الآن هو: "&amp;G513&amp;"."&amp;CHAR(10)&amp;"هذا الخيار يساعدكم في معالجة أكبر فجوة حالية بشكل عملي ومباشر."&amp;IF(J513&lt;&gt;"",CHAR(10)&amp;CHAR(10)&amp;"رابط التقرير: "&amp;J513,"")&amp;CHAR(10)&amp;CHAR(10)&amp;"إذا رغبت، يمكننا توضيح لماذا هذا الكورس هو الأنسب لكم الآن.")</x:f>
      </x:c>
      <x:c r="N513" s="12" t="str">
        <x:f>IF(D513="","",HYPERLINK("https://wa.me/"&amp;REGEXREPLACE(D513,"[^\d]","")&amp;"?text="&amp;ENCODEURL(M513),"واتساب 2"))</x:f>
      </x:c>
      <x:c r="O513" s="12" t="str">
        <x:f>IF(A513="","","مرحبًا "&amp;C513&amp;CHAR(10)&amp;CHAR(10)&amp;"إذا كانت التحديات لديكم تحتاج حلًا أشمل، فالبرنامج الكامل المناسب لكم هو: "&amp;H513&amp;"."&amp;IF(I513&lt;&gt;"",CHAR(10)&amp;"كما يمكنكم أيضًا حجز: "&amp;I513&amp;".","")&amp;IF(J513&lt;&gt;"",CHAR(10)&amp;CHAR(10)&amp;"رابط التقرير: "&amp;J513,"")&amp;CHAR(10)&amp;CHAR(10)&amp;"يسعدنا مساعدتكم في اختيار المسار الأنسب حسب وضع العيادة الحالي.")</x:f>
      </x:c>
      <x:c r="P513" s="12" t="str">
        <x:f>IF(D513="","",HYPERLINK("https://wa.me/"&amp;REGEXREPLACE(D513,"[^\d]","")&amp;"?text="&amp;ENCODEURL(O513),"واتساب 3"))</x:f>
      </x:c>
    </x:row>
    <x:row r="514" ht="15" hidden="0" customHeight="1">
      <x:c r="A514" s="12" t="str">
        <x:f>IF(Leads!A514="","",Leads!A514)</x:f>
      </x:c>
      <x:c r="B514" s="12" t="str">
        <x:f>IF(Leads!F514="","",Leads!F514)</x:f>
      </x:c>
      <x:c r="C514" s="12" t="str">
        <x:f>IF(Leads!G514="","",Leads!G514)</x:f>
      </x:c>
      <x:c r="D514" s="12" t="str">
        <x:f>IF(Leads!O514="","",Leads!O514)</x:f>
      </x:c>
      <x:c r="E514" s="12" t="str">
        <x:f>IF(Leads!AV514="","",Leads!AV514)</x:f>
      </x:c>
      <x:c r="F514" s="12" t="str">
        <x:f>IF(Leads!AX514="","",Leads!AX514)</x:f>
      </x:c>
      <x:c r="G514" s="12" t="str">
        <x:f>IF(Leads!BC514="","",Leads!BC514)</x:f>
      </x:c>
      <x:c r="H514" s="12" t="str">
        <x:f>IF(Leads!BE514="","",Leads!BE514)</x:f>
      </x:c>
      <x:c r="I514" s="12" t="str">
        <x:f>IF(Leads!BG514="","",Leads!BG514)</x:f>
      </x:c>
      <x:c r="J514" s="12" t="str">
        <x:f>IF(Leads!BH514="","",Leads!BH514)</x:f>
      </x:c>
      <x:c r="K514" s="12" t="str">
        <x:f>IF(A514="","","مرحبًا "&amp;C514&amp;CHAR(10)&amp;CHAR(10)&amp;"شكرًا لإتمام تقييم DBD الخاص بعيادة "&amp;B514&amp;"."&amp;CHAR(10)&amp;"نتيجتكم الحالية: "&amp;E514&amp;"%."&amp;CHAR(10)&amp;"أولوية التحسين الأولى: "&amp;F514&amp;"."&amp;IF(J514&lt;&gt;"",CHAR(10)&amp;CHAR(10)&amp;"رابط التقرير: "&amp;J514,"")&amp;CHAR(10)&amp;CHAR(10)&amp;"إذا أحببت، يمكننا مساعدتك في فهم التقرير وتحديد أفضل خطوة تالية لعيادتكم.")</x:f>
      </x:c>
      <x:c r="L514" s="12" t="str">
        <x:f>IF(D514="","",HYPERLINK("https://wa.me/"&amp;REGEXREPLACE(D514,"[^\d]","")&amp;"?text="&amp;ENCODEURL(K514),"واتساب 1"))</x:f>
      </x:c>
      <x:c r="M514" s="12" t="str">
        <x:f>IF(A514="","","مرحبًا "&amp;C514&amp;CHAR(10)&amp;CHAR(10)&amp;"بناءً على نتيجة تقييم عيادة "&amp;B514&amp;"، فإن الترشيح الأقوى لكم الآن هو: "&amp;G514&amp;"."&amp;CHAR(10)&amp;"هذا الخيار يساعدكم في معالجة أكبر فجوة حالية بشكل عملي ومباشر."&amp;IF(J514&lt;&gt;"",CHAR(10)&amp;CHAR(10)&amp;"رابط التقرير: "&amp;J514,"")&amp;CHAR(10)&amp;CHAR(10)&amp;"إذا رغبت، يمكننا توضيح لماذا هذا الكورس هو الأنسب لكم الآن.")</x:f>
      </x:c>
      <x:c r="N514" s="12" t="str">
        <x:f>IF(D514="","",HYPERLINK("https://wa.me/"&amp;REGEXREPLACE(D514,"[^\d]","")&amp;"?text="&amp;ENCODEURL(M514),"واتساب 2"))</x:f>
      </x:c>
      <x:c r="O514" s="12" t="str">
        <x:f>IF(A514="","","مرحبًا "&amp;C514&amp;CHAR(10)&amp;CHAR(10)&amp;"إذا كانت التحديات لديكم تحتاج حلًا أشمل، فالبرنامج الكامل المناسب لكم هو: "&amp;H514&amp;"."&amp;IF(I514&lt;&gt;"",CHAR(10)&amp;"كما يمكنكم أيضًا حجز: "&amp;I514&amp;".","")&amp;IF(J514&lt;&gt;"",CHAR(10)&amp;CHAR(10)&amp;"رابط التقرير: "&amp;J514,"")&amp;CHAR(10)&amp;CHAR(10)&amp;"يسعدنا مساعدتكم في اختيار المسار الأنسب حسب وضع العيادة الحالي.")</x:f>
      </x:c>
      <x:c r="P514" s="12" t="str">
        <x:f>IF(D514="","",HYPERLINK("https://wa.me/"&amp;REGEXREPLACE(D514,"[^\d]","")&amp;"?text="&amp;ENCODEURL(O514),"واتساب 3"))</x:f>
      </x:c>
    </x:row>
    <x:row r="515" ht="15" hidden="0" customHeight="1">
      <x:c r="A515" s="12" t="str">
        <x:f>IF(Leads!A515="","",Leads!A515)</x:f>
      </x:c>
      <x:c r="B515" s="12" t="str">
        <x:f>IF(Leads!F515="","",Leads!F515)</x:f>
      </x:c>
      <x:c r="C515" s="12" t="str">
        <x:f>IF(Leads!G515="","",Leads!G515)</x:f>
      </x:c>
      <x:c r="D515" s="12" t="str">
        <x:f>IF(Leads!O515="","",Leads!O515)</x:f>
      </x:c>
      <x:c r="E515" s="12" t="str">
        <x:f>IF(Leads!AV515="","",Leads!AV515)</x:f>
      </x:c>
      <x:c r="F515" s="12" t="str">
        <x:f>IF(Leads!AX515="","",Leads!AX515)</x:f>
      </x:c>
      <x:c r="G515" s="12" t="str">
        <x:f>IF(Leads!BC515="","",Leads!BC515)</x:f>
      </x:c>
      <x:c r="H515" s="12" t="str">
        <x:f>IF(Leads!BE515="","",Leads!BE515)</x:f>
      </x:c>
      <x:c r="I515" s="12" t="str">
        <x:f>IF(Leads!BG515="","",Leads!BG515)</x:f>
      </x:c>
      <x:c r="J515" s="12" t="str">
        <x:f>IF(Leads!BH515="","",Leads!BH515)</x:f>
      </x:c>
      <x:c r="K515" s="12" t="str">
        <x:f>IF(A515="","","مرحبًا "&amp;C515&amp;CHAR(10)&amp;CHAR(10)&amp;"شكرًا لإتمام تقييم DBD الخاص بعيادة "&amp;B515&amp;"."&amp;CHAR(10)&amp;"نتيجتكم الحالية: "&amp;E515&amp;"%."&amp;CHAR(10)&amp;"أولوية التحسين الأولى: "&amp;F515&amp;"."&amp;IF(J515&lt;&gt;"",CHAR(10)&amp;CHAR(10)&amp;"رابط التقرير: "&amp;J515,"")&amp;CHAR(10)&amp;CHAR(10)&amp;"إذا أحببت، يمكننا مساعدتك في فهم التقرير وتحديد أفضل خطوة تالية لعيادتكم.")</x:f>
      </x:c>
      <x:c r="L515" s="12" t="str">
        <x:f>IF(D515="","",HYPERLINK("https://wa.me/"&amp;REGEXREPLACE(D515,"[^\d]","")&amp;"?text="&amp;ENCODEURL(K515),"واتساب 1"))</x:f>
      </x:c>
      <x:c r="M515" s="12" t="str">
        <x:f>IF(A515="","","مرحبًا "&amp;C515&amp;CHAR(10)&amp;CHAR(10)&amp;"بناءً على نتيجة تقييم عيادة "&amp;B515&amp;"، فإن الترشيح الأقوى لكم الآن هو: "&amp;G515&amp;"."&amp;CHAR(10)&amp;"هذا الخيار يساعدكم في معالجة أكبر فجوة حالية بشكل عملي ومباشر."&amp;IF(J515&lt;&gt;"",CHAR(10)&amp;CHAR(10)&amp;"رابط التقرير: "&amp;J515,"")&amp;CHAR(10)&amp;CHAR(10)&amp;"إذا رغبت، يمكننا توضيح لماذا هذا الكورس هو الأنسب لكم الآن.")</x:f>
      </x:c>
      <x:c r="N515" s="12" t="str">
        <x:f>IF(D515="","",HYPERLINK("https://wa.me/"&amp;REGEXREPLACE(D515,"[^\d]","")&amp;"?text="&amp;ENCODEURL(M515),"واتساب 2"))</x:f>
      </x:c>
      <x:c r="O515" s="12" t="str">
        <x:f>IF(A515="","","مرحبًا "&amp;C515&amp;CHAR(10)&amp;CHAR(10)&amp;"إذا كانت التحديات لديكم تحتاج حلًا أشمل، فالبرنامج الكامل المناسب لكم هو: "&amp;H515&amp;"."&amp;IF(I515&lt;&gt;"",CHAR(10)&amp;"كما يمكنكم أيضًا حجز: "&amp;I515&amp;".","")&amp;IF(J515&lt;&gt;"",CHAR(10)&amp;CHAR(10)&amp;"رابط التقرير: "&amp;J515,"")&amp;CHAR(10)&amp;CHAR(10)&amp;"يسعدنا مساعدتكم في اختيار المسار الأنسب حسب وضع العيادة الحالي.")</x:f>
      </x:c>
      <x:c r="P515" s="12" t="str">
        <x:f>IF(D515="","",HYPERLINK("https://wa.me/"&amp;REGEXREPLACE(D515,"[^\d]","")&amp;"?text="&amp;ENCODEURL(O515),"واتساب 3"))</x:f>
      </x:c>
    </x:row>
    <x:row r="516" ht="15" hidden="0" customHeight="1">
      <x:c r="A516" s="12" t="str">
        <x:f>IF(Leads!A516="","",Leads!A516)</x:f>
      </x:c>
      <x:c r="B516" s="12" t="str">
        <x:f>IF(Leads!F516="","",Leads!F516)</x:f>
      </x:c>
      <x:c r="C516" s="12" t="str">
        <x:f>IF(Leads!G516="","",Leads!G516)</x:f>
      </x:c>
      <x:c r="D516" s="12" t="str">
        <x:f>IF(Leads!O516="","",Leads!O516)</x:f>
      </x:c>
      <x:c r="E516" s="12" t="str">
        <x:f>IF(Leads!AV516="","",Leads!AV516)</x:f>
      </x:c>
      <x:c r="F516" s="12" t="str">
        <x:f>IF(Leads!AX516="","",Leads!AX516)</x:f>
      </x:c>
      <x:c r="G516" s="12" t="str">
        <x:f>IF(Leads!BC516="","",Leads!BC516)</x:f>
      </x:c>
      <x:c r="H516" s="12" t="str">
        <x:f>IF(Leads!BE516="","",Leads!BE516)</x:f>
      </x:c>
      <x:c r="I516" s="12" t="str">
        <x:f>IF(Leads!BG516="","",Leads!BG516)</x:f>
      </x:c>
      <x:c r="J516" s="12" t="str">
        <x:f>IF(Leads!BH516="","",Leads!BH516)</x:f>
      </x:c>
      <x:c r="K516" s="12" t="str">
        <x:f>IF(A516="","","مرحبًا "&amp;C516&amp;CHAR(10)&amp;CHAR(10)&amp;"شكرًا لإتمام تقييم DBD الخاص بعيادة "&amp;B516&amp;"."&amp;CHAR(10)&amp;"نتيجتكم الحالية: "&amp;E516&amp;"%."&amp;CHAR(10)&amp;"أولوية التحسين الأولى: "&amp;F516&amp;"."&amp;IF(J516&lt;&gt;"",CHAR(10)&amp;CHAR(10)&amp;"رابط التقرير: "&amp;J516,"")&amp;CHAR(10)&amp;CHAR(10)&amp;"إذا أحببت، يمكننا مساعدتك في فهم التقرير وتحديد أفضل خطوة تالية لعيادتكم.")</x:f>
      </x:c>
      <x:c r="L516" s="12" t="str">
        <x:f>IF(D516="","",HYPERLINK("https://wa.me/"&amp;REGEXREPLACE(D516,"[^\d]","")&amp;"?text="&amp;ENCODEURL(K516),"واتساب 1"))</x:f>
      </x:c>
      <x:c r="M516" s="12" t="str">
        <x:f>IF(A516="","","مرحبًا "&amp;C516&amp;CHAR(10)&amp;CHAR(10)&amp;"بناءً على نتيجة تقييم عيادة "&amp;B516&amp;"، فإن الترشيح الأقوى لكم الآن هو: "&amp;G516&amp;"."&amp;CHAR(10)&amp;"هذا الخيار يساعدكم في معالجة أكبر فجوة حالية بشكل عملي ومباشر."&amp;IF(J516&lt;&gt;"",CHAR(10)&amp;CHAR(10)&amp;"رابط التقرير: "&amp;J516,"")&amp;CHAR(10)&amp;CHAR(10)&amp;"إذا رغبت، يمكننا توضيح لماذا هذا الكورس هو الأنسب لكم الآن.")</x:f>
      </x:c>
      <x:c r="N516" s="12" t="str">
        <x:f>IF(D516="","",HYPERLINK("https://wa.me/"&amp;REGEXREPLACE(D516,"[^\d]","")&amp;"?text="&amp;ENCODEURL(M516),"واتساب 2"))</x:f>
      </x:c>
      <x:c r="O516" s="12" t="str">
        <x:f>IF(A516="","","مرحبًا "&amp;C516&amp;CHAR(10)&amp;CHAR(10)&amp;"إذا كانت التحديات لديكم تحتاج حلًا أشمل، فالبرنامج الكامل المناسب لكم هو: "&amp;H516&amp;"."&amp;IF(I516&lt;&gt;"",CHAR(10)&amp;"كما يمكنكم أيضًا حجز: "&amp;I516&amp;".","")&amp;IF(J516&lt;&gt;"",CHAR(10)&amp;CHAR(10)&amp;"رابط التقرير: "&amp;J516,"")&amp;CHAR(10)&amp;CHAR(10)&amp;"يسعدنا مساعدتكم في اختيار المسار الأنسب حسب وضع العيادة الحالي.")</x:f>
      </x:c>
      <x:c r="P516" s="12" t="str">
        <x:f>IF(D516="","",HYPERLINK("https://wa.me/"&amp;REGEXREPLACE(D516,"[^\d]","")&amp;"?text="&amp;ENCODEURL(O516),"واتساب 3"))</x:f>
      </x:c>
    </x:row>
    <x:row r="517" ht="15" hidden="0" customHeight="1">
      <x:c r="A517" s="12" t="str">
        <x:f>IF(Leads!A517="","",Leads!A517)</x:f>
      </x:c>
      <x:c r="B517" s="12" t="str">
        <x:f>IF(Leads!F517="","",Leads!F517)</x:f>
      </x:c>
      <x:c r="C517" s="12" t="str">
        <x:f>IF(Leads!G517="","",Leads!G517)</x:f>
      </x:c>
      <x:c r="D517" s="12" t="str">
        <x:f>IF(Leads!O517="","",Leads!O517)</x:f>
      </x:c>
      <x:c r="E517" s="12" t="str">
        <x:f>IF(Leads!AV517="","",Leads!AV517)</x:f>
      </x:c>
      <x:c r="F517" s="12" t="str">
        <x:f>IF(Leads!AX517="","",Leads!AX517)</x:f>
      </x:c>
      <x:c r="G517" s="12" t="str">
        <x:f>IF(Leads!BC517="","",Leads!BC517)</x:f>
      </x:c>
      <x:c r="H517" s="12" t="str">
        <x:f>IF(Leads!BE517="","",Leads!BE517)</x:f>
      </x:c>
      <x:c r="I517" s="12" t="str">
        <x:f>IF(Leads!BG517="","",Leads!BG517)</x:f>
      </x:c>
      <x:c r="J517" s="12" t="str">
        <x:f>IF(Leads!BH517="","",Leads!BH517)</x:f>
      </x:c>
      <x:c r="K517" s="12" t="str">
        <x:f>IF(A517="","","مرحبًا "&amp;C517&amp;CHAR(10)&amp;CHAR(10)&amp;"شكرًا لإتمام تقييم DBD الخاص بعيادة "&amp;B517&amp;"."&amp;CHAR(10)&amp;"نتيجتكم الحالية: "&amp;E517&amp;"%."&amp;CHAR(10)&amp;"أولوية التحسين الأولى: "&amp;F517&amp;"."&amp;IF(J517&lt;&gt;"",CHAR(10)&amp;CHAR(10)&amp;"رابط التقرير: "&amp;J517,"")&amp;CHAR(10)&amp;CHAR(10)&amp;"إذا أحببت، يمكننا مساعدتك في فهم التقرير وتحديد أفضل خطوة تالية لعيادتكم.")</x:f>
      </x:c>
      <x:c r="L517" s="12" t="str">
        <x:f>IF(D517="","",HYPERLINK("https://wa.me/"&amp;REGEXREPLACE(D517,"[^\d]","")&amp;"?text="&amp;ENCODEURL(K517),"واتساب 1"))</x:f>
      </x:c>
      <x:c r="M517" s="12" t="str">
        <x:f>IF(A517="","","مرحبًا "&amp;C517&amp;CHAR(10)&amp;CHAR(10)&amp;"بناءً على نتيجة تقييم عيادة "&amp;B517&amp;"، فإن الترشيح الأقوى لكم الآن هو: "&amp;G517&amp;"."&amp;CHAR(10)&amp;"هذا الخيار يساعدكم في معالجة أكبر فجوة حالية بشكل عملي ومباشر."&amp;IF(J517&lt;&gt;"",CHAR(10)&amp;CHAR(10)&amp;"رابط التقرير: "&amp;J517,"")&amp;CHAR(10)&amp;CHAR(10)&amp;"إذا رغبت، يمكننا توضيح لماذا هذا الكورس هو الأنسب لكم الآن.")</x:f>
      </x:c>
      <x:c r="N517" s="12" t="str">
        <x:f>IF(D517="","",HYPERLINK("https://wa.me/"&amp;REGEXREPLACE(D517,"[^\d]","")&amp;"?text="&amp;ENCODEURL(M517),"واتساب 2"))</x:f>
      </x:c>
      <x:c r="O517" s="12" t="str">
        <x:f>IF(A517="","","مرحبًا "&amp;C517&amp;CHAR(10)&amp;CHAR(10)&amp;"إذا كانت التحديات لديكم تحتاج حلًا أشمل، فالبرنامج الكامل المناسب لكم هو: "&amp;H517&amp;"."&amp;IF(I517&lt;&gt;"",CHAR(10)&amp;"كما يمكنكم أيضًا حجز: "&amp;I517&amp;".","")&amp;IF(J517&lt;&gt;"",CHAR(10)&amp;CHAR(10)&amp;"رابط التقرير: "&amp;J517,"")&amp;CHAR(10)&amp;CHAR(10)&amp;"يسعدنا مساعدتكم في اختيار المسار الأنسب حسب وضع العيادة الحالي.")</x:f>
      </x:c>
      <x:c r="P517" s="12" t="str">
        <x:f>IF(D517="","",HYPERLINK("https://wa.me/"&amp;REGEXREPLACE(D517,"[^\d]","")&amp;"?text="&amp;ENCODEURL(O517),"واتساب 3"))</x:f>
      </x:c>
    </x:row>
    <x:row r="518" ht="15" hidden="0" customHeight="1">
      <x:c r="A518" s="12" t="str">
        <x:f>IF(Leads!A518="","",Leads!A518)</x:f>
      </x:c>
      <x:c r="B518" s="12" t="str">
        <x:f>IF(Leads!F518="","",Leads!F518)</x:f>
      </x:c>
      <x:c r="C518" s="12" t="str">
        <x:f>IF(Leads!G518="","",Leads!G518)</x:f>
      </x:c>
      <x:c r="D518" s="12" t="str">
        <x:f>IF(Leads!O518="","",Leads!O518)</x:f>
      </x:c>
      <x:c r="E518" s="12" t="str">
        <x:f>IF(Leads!AV518="","",Leads!AV518)</x:f>
      </x:c>
      <x:c r="F518" s="12" t="str">
        <x:f>IF(Leads!AX518="","",Leads!AX518)</x:f>
      </x:c>
      <x:c r="G518" s="12" t="str">
        <x:f>IF(Leads!BC518="","",Leads!BC518)</x:f>
      </x:c>
      <x:c r="H518" s="12" t="str">
        <x:f>IF(Leads!BE518="","",Leads!BE518)</x:f>
      </x:c>
      <x:c r="I518" s="12" t="str">
        <x:f>IF(Leads!BG518="","",Leads!BG518)</x:f>
      </x:c>
      <x:c r="J518" s="12" t="str">
        <x:f>IF(Leads!BH518="","",Leads!BH518)</x:f>
      </x:c>
      <x:c r="K518" s="12" t="str">
        <x:f>IF(A518="","","مرحبًا "&amp;C518&amp;CHAR(10)&amp;CHAR(10)&amp;"شكرًا لإتمام تقييم DBD الخاص بعيادة "&amp;B518&amp;"."&amp;CHAR(10)&amp;"نتيجتكم الحالية: "&amp;E518&amp;"%."&amp;CHAR(10)&amp;"أولوية التحسين الأولى: "&amp;F518&amp;"."&amp;IF(J518&lt;&gt;"",CHAR(10)&amp;CHAR(10)&amp;"رابط التقرير: "&amp;J518,"")&amp;CHAR(10)&amp;CHAR(10)&amp;"إذا أحببت، يمكننا مساعدتك في فهم التقرير وتحديد أفضل خطوة تالية لعيادتكم.")</x:f>
      </x:c>
      <x:c r="L518" s="12" t="str">
        <x:f>IF(D518="","",HYPERLINK("https://wa.me/"&amp;REGEXREPLACE(D518,"[^\d]","")&amp;"?text="&amp;ENCODEURL(K518),"واتساب 1"))</x:f>
      </x:c>
      <x:c r="M518" s="12" t="str">
        <x:f>IF(A518="","","مرحبًا "&amp;C518&amp;CHAR(10)&amp;CHAR(10)&amp;"بناءً على نتيجة تقييم عيادة "&amp;B518&amp;"، فإن الترشيح الأقوى لكم الآن هو: "&amp;G518&amp;"."&amp;CHAR(10)&amp;"هذا الخيار يساعدكم في معالجة أكبر فجوة حالية بشكل عملي ومباشر."&amp;IF(J518&lt;&gt;"",CHAR(10)&amp;CHAR(10)&amp;"رابط التقرير: "&amp;J518,"")&amp;CHAR(10)&amp;CHAR(10)&amp;"إذا رغبت، يمكننا توضيح لماذا هذا الكورس هو الأنسب لكم الآن.")</x:f>
      </x:c>
      <x:c r="N518" s="12" t="str">
        <x:f>IF(D518="","",HYPERLINK("https://wa.me/"&amp;REGEXREPLACE(D518,"[^\d]","")&amp;"?text="&amp;ENCODEURL(M518),"واتساب 2"))</x:f>
      </x:c>
      <x:c r="O518" s="12" t="str">
        <x:f>IF(A518="","","مرحبًا "&amp;C518&amp;CHAR(10)&amp;CHAR(10)&amp;"إذا كانت التحديات لديكم تحتاج حلًا أشمل، فالبرنامج الكامل المناسب لكم هو: "&amp;H518&amp;"."&amp;IF(I518&lt;&gt;"",CHAR(10)&amp;"كما يمكنكم أيضًا حجز: "&amp;I518&amp;".","")&amp;IF(J518&lt;&gt;"",CHAR(10)&amp;CHAR(10)&amp;"رابط التقرير: "&amp;J518,"")&amp;CHAR(10)&amp;CHAR(10)&amp;"يسعدنا مساعدتكم في اختيار المسار الأنسب حسب وضع العيادة الحالي.")</x:f>
      </x:c>
      <x:c r="P518" s="12" t="str">
        <x:f>IF(D518="","",HYPERLINK("https://wa.me/"&amp;REGEXREPLACE(D518,"[^\d]","")&amp;"?text="&amp;ENCODEURL(O518),"واتساب 3"))</x:f>
      </x:c>
    </x:row>
    <x:row r="519" ht="15" hidden="0" customHeight="1">
      <x:c r="A519" s="12" t="str">
        <x:f>IF(Leads!A519="","",Leads!A519)</x:f>
      </x:c>
      <x:c r="B519" s="12" t="str">
        <x:f>IF(Leads!F519="","",Leads!F519)</x:f>
      </x:c>
      <x:c r="C519" s="12" t="str">
        <x:f>IF(Leads!G519="","",Leads!G519)</x:f>
      </x:c>
      <x:c r="D519" s="12" t="str">
        <x:f>IF(Leads!O519="","",Leads!O519)</x:f>
      </x:c>
      <x:c r="E519" s="12" t="str">
        <x:f>IF(Leads!AV519="","",Leads!AV519)</x:f>
      </x:c>
      <x:c r="F519" s="12" t="str">
        <x:f>IF(Leads!AX519="","",Leads!AX519)</x:f>
      </x:c>
      <x:c r="G519" s="12" t="str">
        <x:f>IF(Leads!BC519="","",Leads!BC519)</x:f>
      </x:c>
      <x:c r="H519" s="12" t="str">
        <x:f>IF(Leads!BE519="","",Leads!BE519)</x:f>
      </x:c>
      <x:c r="I519" s="12" t="str">
        <x:f>IF(Leads!BG519="","",Leads!BG519)</x:f>
      </x:c>
      <x:c r="J519" s="12" t="str">
        <x:f>IF(Leads!BH519="","",Leads!BH519)</x:f>
      </x:c>
      <x:c r="K519" s="12" t="str">
        <x:f>IF(A519="","","مرحبًا "&amp;C519&amp;CHAR(10)&amp;CHAR(10)&amp;"شكرًا لإتمام تقييم DBD الخاص بعيادة "&amp;B519&amp;"."&amp;CHAR(10)&amp;"نتيجتكم الحالية: "&amp;E519&amp;"%."&amp;CHAR(10)&amp;"أولوية التحسين الأولى: "&amp;F519&amp;"."&amp;IF(J519&lt;&gt;"",CHAR(10)&amp;CHAR(10)&amp;"رابط التقرير: "&amp;J519,"")&amp;CHAR(10)&amp;CHAR(10)&amp;"إذا أحببت، يمكننا مساعدتك في فهم التقرير وتحديد أفضل خطوة تالية لعيادتكم.")</x:f>
      </x:c>
      <x:c r="L519" s="12" t="str">
        <x:f>IF(D519="","",HYPERLINK("https://wa.me/"&amp;REGEXREPLACE(D519,"[^\d]","")&amp;"?text="&amp;ENCODEURL(K519),"واتساب 1"))</x:f>
      </x:c>
      <x:c r="M519" s="12" t="str">
        <x:f>IF(A519="","","مرحبًا "&amp;C519&amp;CHAR(10)&amp;CHAR(10)&amp;"بناءً على نتيجة تقييم عيادة "&amp;B519&amp;"، فإن الترشيح الأقوى لكم الآن هو: "&amp;G519&amp;"."&amp;CHAR(10)&amp;"هذا الخيار يساعدكم في معالجة أكبر فجوة حالية بشكل عملي ومباشر."&amp;IF(J519&lt;&gt;"",CHAR(10)&amp;CHAR(10)&amp;"رابط التقرير: "&amp;J519,"")&amp;CHAR(10)&amp;CHAR(10)&amp;"إذا رغبت، يمكننا توضيح لماذا هذا الكورس هو الأنسب لكم الآن.")</x:f>
      </x:c>
      <x:c r="N519" s="12" t="str">
        <x:f>IF(D519="","",HYPERLINK("https://wa.me/"&amp;REGEXREPLACE(D519,"[^\d]","")&amp;"?text="&amp;ENCODEURL(M519),"واتساب 2"))</x:f>
      </x:c>
      <x:c r="O519" s="12" t="str">
        <x:f>IF(A519="","","مرحبًا "&amp;C519&amp;CHAR(10)&amp;CHAR(10)&amp;"إذا كانت التحديات لديكم تحتاج حلًا أشمل، فالبرنامج الكامل المناسب لكم هو: "&amp;H519&amp;"."&amp;IF(I519&lt;&gt;"",CHAR(10)&amp;"كما يمكنكم أيضًا حجز: "&amp;I519&amp;".","")&amp;IF(J519&lt;&gt;"",CHAR(10)&amp;CHAR(10)&amp;"رابط التقرير: "&amp;J519,"")&amp;CHAR(10)&amp;CHAR(10)&amp;"يسعدنا مساعدتكم في اختيار المسار الأنسب حسب وضع العيادة الحالي.")</x:f>
      </x:c>
      <x:c r="P519" s="12" t="str">
        <x:f>IF(D519="","",HYPERLINK("https://wa.me/"&amp;REGEXREPLACE(D519,"[^\d]","")&amp;"?text="&amp;ENCODEURL(O519),"واتساب 3"))</x:f>
      </x:c>
    </x:row>
    <x:row r="520" ht="15" hidden="0" customHeight="1">
      <x:c r="A520" s="12" t="str">
        <x:f>IF(Leads!A520="","",Leads!A520)</x:f>
      </x:c>
      <x:c r="B520" s="12" t="str">
        <x:f>IF(Leads!F520="","",Leads!F520)</x:f>
      </x:c>
      <x:c r="C520" s="12" t="str">
        <x:f>IF(Leads!G520="","",Leads!G520)</x:f>
      </x:c>
      <x:c r="D520" s="12" t="str">
        <x:f>IF(Leads!O520="","",Leads!O520)</x:f>
      </x:c>
      <x:c r="E520" s="12" t="str">
        <x:f>IF(Leads!AV520="","",Leads!AV520)</x:f>
      </x:c>
      <x:c r="F520" s="12" t="str">
        <x:f>IF(Leads!AX520="","",Leads!AX520)</x:f>
      </x:c>
      <x:c r="G520" s="12" t="str">
        <x:f>IF(Leads!BC520="","",Leads!BC520)</x:f>
      </x:c>
      <x:c r="H520" s="12" t="str">
        <x:f>IF(Leads!BE520="","",Leads!BE520)</x:f>
      </x:c>
      <x:c r="I520" s="12" t="str">
        <x:f>IF(Leads!BG520="","",Leads!BG520)</x:f>
      </x:c>
      <x:c r="J520" s="12" t="str">
        <x:f>IF(Leads!BH520="","",Leads!BH520)</x:f>
      </x:c>
      <x:c r="K520" s="12" t="str">
        <x:f>IF(A520="","","مرحبًا "&amp;C520&amp;CHAR(10)&amp;CHAR(10)&amp;"شكرًا لإتمام تقييم DBD الخاص بعيادة "&amp;B520&amp;"."&amp;CHAR(10)&amp;"نتيجتكم الحالية: "&amp;E520&amp;"%."&amp;CHAR(10)&amp;"أولوية التحسين الأولى: "&amp;F520&amp;"."&amp;IF(J520&lt;&gt;"",CHAR(10)&amp;CHAR(10)&amp;"رابط التقرير: "&amp;J520,"")&amp;CHAR(10)&amp;CHAR(10)&amp;"إذا أحببت، يمكننا مساعدتك في فهم التقرير وتحديد أفضل خطوة تالية لعيادتكم.")</x:f>
      </x:c>
      <x:c r="L520" s="12" t="str">
        <x:f>IF(D520="","",HYPERLINK("https://wa.me/"&amp;REGEXREPLACE(D520,"[^\d]","")&amp;"?text="&amp;ENCODEURL(K520),"واتساب 1"))</x:f>
      </x:c>
      <x:c r="M520" s="12" t="str">
        <x:f>IF(A520="","","مرحبًا "&amp;C520&amp;CHAR(10)&amp;CHAR(10)&amp;"بناءً على نتيجة تقييم عيادة "&amp;B520&amp;"، فإن الترشيح الأقوى لكم الآن هو: "&amp;G520&amp;"."&amp;CHAR(10)&amp;"هذا الخيار يساعدكم في معالجة أكبر فجوة حالية بشكل عملي ومباشر."&amp;IF(J520&lt;&gt;"",CHAR(10)&amp;CHAR(10)&amp;"رابط التقرير: "&amp;J520,"")&amp;CHAR(10)&amp;CHAR(10)&amp;"إذا رغبت، يمكننا توضيح لماذا هذا الكورس هو الأنسب لكم الآن.")</x:f>
      </x:c>
      <x:c r="N520" s="12" t="str">
        <x:f>IF(D520="","",HYPERLINK("https://wa.me/"&amp;REGEXREPLACE(D520,"[^\d]","")&amp;"?text="&amp;ENCODEURL(M520),"واتساب 2"))</x:f>
      </x:c>
      <x:c r="O520" s="12" t="str">
        <x:f>IF(A520="","","مرحبًا "&amp;C520&amp;CHAR(10)&amp;CHAR(10)&amp;"إذا كانت التحديات لديكم تحتاج حلًا أشمل، فالبرنامج الكامل المناسب لكم هو: "&amp;H520&amp;"."&amp;IF(I520&lt;&gt;"",CHAR(10)&amp;"كما يمكنكم أيضًا حجز: "&amp;I520&amp;".","")&amp;IF(J520&lt;&gt;"",CHAR(10)&amp;CHAR(10)&amp;"رابط التقرير: "&amp;J520,"")&amp;CHAR(10)&amp;CHAR(10)&amp;"يسعدنا مساعدتكم في اختيار المسار الأنسب حسب وضع العيادة الحالي.")</x:f>
      </x:c>
      <x:c r="P520" s="12" t="str">
        <x:f>IF(D520="","",HYPERLINK("https://wa.me/"&amp;REGEXREPLACE(D520,"[^\d]","")&amp;"?text="&amp;ENCODEURL(O520),"واتساب 3"))</x:f>
      </x:c>
    </x:row>
    <x:row r="521" ht="15" hidden="0" customHeight="1">
      <x:c r="A521" s="12" t="str">
        <x:f>IF(Leads!A521="","",Leads!A521)</x:f>
      </x:c>
      <x:c r="B521" s="12" t="str">
        <x:f>IF(Leads!F521="","",Leads!F521)</x:f>
      </x:c>
      <x:c r="C521" s="12" t="str">
        <x:f>IF(Leads!G521="","",Leads!G521)</x:f>
      </x:c>
      <x:c r="D521" s="12" t="str">
        <x:f>IF(Leads!O521="","",Leads!O521)</x:f>
      </x:c>
      <x:c r="E521" s="12" t="str">
        <x:f>IF(Leads!AV521="","",Leads!AV521)</x:f>
      </x:c>
      <x:c r="F521" s="12" t="str">
        <x:f>IF(Leads!AX521="","",Leads!AX521)</x:f>
      </x:c>
      <x:c r="G521" s="12" t="str">
        <x:f>IF(Leads!BC521="","",Leads!BC521)</x:f>
      </x:c>
      <x:c r="H521" s="12" t="str">
        <x:f>IF(Leads!BE521="","",Leads!BE521)</x:f>
      </x:c>
      <x:c r="I521" s="12" t="str">
        <x:f>IF(Leads!BG521="","",Leads!BG521)</x:f>
      </x:c>
      <x:c r="J521" s="12" t="str">
        <x:f>IF(Leads!BH521="","",Leads!BH521)</x:f>
      </x:c>
      <x:c r="K521" s="12" t="str">
        <x:f>IF(A521="","","مرحبًا "&amp;C521&amp;CHAR(10)&amp;CHAR(10)&amp;"شكرًا لإتمام تقييم DBD الخاص بعيادة "&amp;B521&amp;"."&amp;CHAR(10)&amp;"نتيجتكم الحالية: "&amp;E521&amp;"%."&amp;CHAR(10)&amp;"أولوية التحسين الأولى: "&amp;F521&amp;"."&amp;IF(J521&lt;&gt;"",CHAR(10)&amp;CHAR(10)&amp;"رابط التقرير: "&amp;J521,"")&amp;CHAR(10)&amp;CHAR(10)&amp;"إذا أحببت، يمكننا مساعدتك في فهم التقرير وتحديد أفضل خطوة تالية لعيادتكم.")</x:f>
      </x:c>
      <x:c r="L521" s="12" t="str">
        <x:f>IF(D521="","",HYPERLINK("https://wa.me/"&amp;REGEXREPLACE(D521,"[^\d]","")&amp;"?text="&amp;ENCODEURL(K521),"واتساب 1"))</x:f>
      </x:c>
      <x:c r="M521" s="12" t="str">
        <x:f>IF(A521="","","مرحبًا "&amp;C521&amp;CHAR(10)&amp;CHAR(10)&amp;"بناءً على نتيجة تقييم عيادة "&amp;B521&amp;"، فإن الترشيح الأقوى لكم الآن هو: "&amp;G521&amp;"."&amp;CHAR(10)&amp;"هذا الخيار يساعدكم في معالجة أكبر فجوة حالية بشكل عملي ومباشر."&amp;IF(J521&lt;&gt;"",CHAR(10)&amp;CHAR(10)&amp;"رابط التقرير: "&amp;J521,"")&amp;CHAR(10)&amp;CHAR(10)&amp;"إذا رغبت، يمكننا توضيح لماذا هذا الكورس هو الأنسب لكم الآن.")</x:f>
      </x:c>
      <x:c r="N521" s="12" t="str">
        <x:f>IF(D521="","",HYPERLINK("https://wa.me/"&amp;REGEXREPLACE(D521,"[^\d]","")&amp;"?text="&amp;ENCODEURL(M521),"واتساب 2"))</x:f>
      </x:c>
      <x:c r="O521" s="12" t="str">
        <x:f>IF(A521="","","مرحبًا "&amp;C521&amp;CHAR(10)&amp;CHAR(10)&amp;"إذا كانت التحديات لديكم تحتاج حلًا أشمل، فالبرنامج الكامل المناسب لكم هو: "&amp;H521&amp;"."&amp;IF(I521&lt;&gt;"",CHAR(10)&amp;"كما يمكنكم أيضًا حجز: "&amp;I521&amp;".","")&amp;IF(J521&lt;&gt;"",CHAR(10)&amp;CHAR(10)&amp;"رابط التقرير: "&amp;J521,"")&amp;CHAR(10)&amp;CHAR(10)&amp;"يسعدنا مساعدتكم في اختيار المسار الأنسب حسب وضع العيادة الحالي.")</x:f>
      </x:c>
      <x:c r="P521" s="12" t="str">
        <x:f>IF(D521="","",HYPERLINK("https://wa.me/"&amp;REGEXREPLACE(D521,"[^\d]","")&amp;"?text="&amp;ENCODEURL(O521),"واتساب 3"))</x:f>
      </x:c>
    </x:row>
    <x:row r="522" ht="15" hidden="0" customHeight="1">
      <x:c r="A522" s="12" t="str">
        <x:f>IF(Leads!A522="","",Leads!A522)</x:f>
      </x:c>
      <x:c r="B522" s="12" t="str">
        <x:f>IF(Leads!F522="","",Leads!F522)</x:f>
      </x:c>
      <x:c r="C522" s="12" t="str">
        <x:f>IF(Leads!G522="","",Leads!G522)</x:f>
      </x:c>
      <x:c r="D522" s="12" t="str">
        <x:f>IF(Leads!O522="","",Leads!O522)</x:f>
      </x:c>
      <x:c r="E522" s="12" t="str">
        <x:f>IF(Leads!AV522="","",Leads!AV522)</x:f>
      </x:c>
      <x:c r="F522" s="12" t="str">
        <x:f>IF(Leads!AX522="","",Leads!AX522)</x:f>
      </x:c>
      <x:c r="G522" s="12" t="str">
        <x:f>IF(Leads!BC522="","",Leads!BC522)</x:f>
      </x:c>
      <x:c r="H522" s="12" t="str">
        <x:f>IF(Leads!BE522="","",Leads!BE522)</x:f>
      </x:c>
      <x:c r="I522" s="12" t="str">
        <x:f>IF(Leads!BG522="","",Leads!BG522)</x:f>
      </x:c>
      <x:c r="J522" s="12" t="str">
        <x:f>IF(Leads!BH522="","",Leads!BH522)</x:f>
      </x:c>
      <x:c r="K522" s="12" t="str">
        <x:f>IF(A522="","","مرحبًا "&amp;C522&amp;CHAR(10)&amp;CHAR(10)&amp;"شكرًا لإتمام تقييم DBD الخاص بعيادة "&amp;B522&amp;"."&amp;CHAR(10)&amp;"نتيجتكم الحالية: "&amp;E522&amp;"%."&amp;CHAR(10)&amp;"أولوية التحسين الأولى: "&amp;F522&amp;"."&amp;IF(J522&lt;&gt;"",CHAR(10)&amp;CHAR(10)&amp;"رابط التقرير: "&amp;J522,"")&amp;CHAR(10)&amp;CHAR(10)&amp;"إذا أحببت، يمكننا مساعدتك في فهم التقرير وتحديد أفضل خطوة تالية لعيادتكم.")</x:f>
      </x:c>
      <x:c r="L522" s="12" t="str">
        <x:f>IF(D522="","",HYPERLINK("https://wa.me/"&amp;REGEXREPLACE(D522,"[^\d]","")&amp;"?text="&amp;ENCODEURL(K522),"واتساب 1"))</x:f>
      </x:c>
      <x:c r="M522" s="12" t="str">
        <x:f>IF(A522="","","مرحبًا "&amp;C522&amp;CHAR(10)&amp;CHAR(10)&amp;"بناءً على نتيجة تقييم عيادة "&amp;B522&amp;"، فإن الترشيح الأقوى لكم الآن هو: "&amp;G522&amp;"."&amp;CHAR(10)&amp;"هذا الخيار يساعدكم في معالجة أكبر فجوة حالية بشكل عملي ومباشر."&amp;IF(J522&lt;&gt;"",CHAR(10)&amp;CHAR(10)&amp;"رابط التقرير: "&amp;J522,"")&amp;CHAR(10)&amp;CHAR(10)&amp;"إذا رغبت، يمكننا توضيح لماذا هذا الكورس هو الأنسب لكم الآن.")</x:f>
      </x:c>
      <x:c r="N522" s="12" t="str">
        <x:f>IF(D522="","",HYPERLINK("https://wa.me/"&amp;REGEXREPLACE(D522,"[^\d]","")&amp;"?text="&amp;ENCODEURL(M522),"واتساب 2"))</x:f>
      </x:c>
      <x:c r="O522" s="12" t="str">
        <x:f>IF(A522="","","مرحبًا "&amp;C522&amp;CHAR(10)&amp;CHAR(10)&amp;"إذا كانت التحديات لديكم تحتاج حلًا أشمل، فالبرنامج الكامل المناسب لكم هو: "&amp;H522&amp;"."&amp;IF(I522&lt;&gt;"",CHAR(10)&amp;"كما يمكنكم أيضًا حجز: "&amp;I522&amp;".","")&amp;IF(J522&lt;&gt;"",CHAR(10)&amp;CHAR(10)&amp;"رابط التقرير: "&amp;J522,"")&amp;CHAR(10)&amp;CHAR(10)&amp;"يسعدنا مساعدتكم في اختيار المسار الأنسب حسب وضع العيادة الحالي.")</x:f>
      </x:c>
      <x:c r="P522" s="12" t="str">
        <x:f>IF(D522="","",HYPERLINK("https://wa.me/"&amp;REGEXREPLACE(D522,"[^\d]","")&amp;"?text="&amp;ENCODEURL(O522),"واتساب 3"))</x:f>
      </x:c>
    </x:row>
    <x:row r="523" ht="15" hidden="0" customHeight="1">
      <x:c r="A523" s="12" t="str">
        <x:f>IF(Leads!A523="","",Leads!A523)</x:f>
      </x:c>
      <x:c r="B523" s="12" t="str">
        <x:f>IF(Leads!F523="","",Leads!F523)</x:f>
      </x:c>
      <x:c r="C523" s="12" t="str">
        <x:f>IF(Leads!G523="","",Leads!G523)</x:f>
      </x:c>
      <x:c r="D523" s="12" t="str">
        <x:f>IF(Leads!O523="","",Leads!O523)</x:f>
      </x:c>
      <x:c r="E523" s="12" t="str">
        <x:f>IF(Leads!AV523="","",Leads!AV523)</x:f>
      </x:c>
      <x:c r="F523" s="12" t="str">
        <x:f>IF(Leads!AX523="","",Leads!AX523)</x:f>
      </x:c>
      <x:c r="G523" s="12" t="str">
        <x:f>IF(Leads!BC523="","",Leads!BC523)</x:f>
      </x:c>
      <x:c r="H523" s="12" t="str">
        <x:f>IF(Leads!BE523="","",Leads!BE523)</x:f>
      </x:c>
      <x:c r="I523" s="12" t="str">
        <x:f>IF(Leads!BG523="","",Leads!BG523)</x:f>
      </x:c>
      <x:c r="J523" s="12" t="str">
        <x:f>IF(Leads!BH523="","",Leads!BH523)</x:f>
      </x:c>
      <x:c r="K523" s="12" t="str">
        <x:f>IF(A523="","","مرحبًا "&amp;C523&amp;CHAR(10)&amp;CHAR(10)&amp;"شكرًا لإتمام تقييم DBD الخاص بعيادة "&amp;B523&amp;"."&amp;CHAR(10)&amp;"نتيجتكم الحالية: "&amp;E523&amp;"%."&amp;CHAR(10)&amp;"أولوية التحسين الأولى: "&amp;F523&amp;"."&amp;IF(J523&lt;&gt;"",CHAR(10)&amp;CHAR(10)&amp;"رابط التقرير: "&amp;J523,"")&amp;CHAR(10)&amp;CHAR(10)&amp;"إذا أحببت، يمكننا مساعدتك في فهم التقرير وتحديد أفضل خطوة تالية لعيادتكم.")</x:f>
      </x:c>
      <x:c r="L523" s="12" t="str">
        <x:f>IF(D523="","",HYPERLINK("https://wa.me/"&amp;REGEXREPLACE(D523,"[^\d]","")&amp;"?text="&amp;ENCODEURL(K523),"واتساب 1"))</x:f>
      </x:c>
      <x:c r="M523" s="12" t="str">
        <x:f>IF(A523="","","مرحبًا "&amp;C523&amp;CHAR(10)&amp;CHAR(10)&amp;"بناءً على نتيجة تقييم عيادة "&amp;B523&amp;"، فإن الترشيح الأقوى لكم الآن هو: "&amp;G523&amp;"."&amp;CHAR(10)&amp;"هذا الخيار يساعدكم في معالجة أكبر فجوة حالية بشكل عملي ومباشر."&amp;IF(J523&lt;&gt;"",CHAR(10)&amp;CHAR(10)&amp;"رابط التقرير: "&amp;J523,"")&amp;CHAR(10)&amp;CHAR(10)&amp;"إذا رغبت، يمكننا توضيح لماذا هذا الكورس هو الأنسب لكم الآن.")</x:f>
      </x:c>
      <x:c r="N523" s="12" t="str">
        <x:f>IF(D523="","",HYPERLINK("https://wa.me/"&amp;REGEXREPLACE(D523,"[^\d]","")&amp;"?text="&amp;ENCODEURL(M523),"واتساب 2"))</x:f>
      </x:c>
      <x:c r="O523" s="12" t="str">
        <x:f>IF(A523="","","مرحبًا "&amp;C523&amp;CHAR(10)&amp;CHAR(10)&amp;"إذا كانت التحديات لديكم تحتاج حلًا أشمل، فالبرنامج الكامل المناسب لكم هو: "&amp;H523&amp;"."&amp;IF(I523&lt;&gt;"",CHAR(10)&amp;"كما يمكنكم أيضًا حجز: "&amp;I523&amp;".","")&amp;IF(J523&lt;&gt;"",CHAR(10)&amp;CHAR(10)&amp;"رابط التقرير: "&amp;J523,"")&amp;CHAR(10)&amp;CHAR(10)&amp;"يسعدنا مساعدتكم في اختيار المسار الأنسب حسب وضع العيادة الحالي.")</x:f>
      </x:c>
      <x:c r="P523" s="12" t="str">
        <x:f>IF(D523="","",HYPERLINK("https://wa.me/"&amp;REGEXREPLACE(D523,"[^\d]","")&amp;"?text="&amp;ENCODEURL(O523),"واتساب 3"))</x:f>
      </x:c>
    </x:row>
    <x:row r="524" ht="15" hidden="0" customHeight="1">
      <x:c r="A524" s="12" t="str">
        <x:f>IF(Leads!A524="","",Leads!A524)</x:f>
      </x:c>
      <x:c r="B524" s="12" t="str">
        <x:f>IF(Leads!F524="","",Leads!F524)</x:f>
      </x:c>
      <x:c r="C524" s="12" t="str">
        <x:f>IF(Leads!G524="","",Leads!G524)</x:f>
      </x:c>
      <x:c r="D524" s="12" t="str">
        <x:f>IF(Leads!O524="","",Leads!O524)</x:f>
      </x:c>
      <x:c r="E524" s="12" t="str">
        <x:f>IF(Leads!AV524="","",Leads!AV524)</x:f>
      </x:c>
      <x:c r="F524" s="12" t="str">
        <x:f>IF(Leads!AX524="","",Leads!AX524)</x:f>
      </x:c>
      <x:c r="G524" s="12" t="str">
        <x:f>IF(Leads!BC524="","",Leads!BC524)</x:f>
      </x:c>
      <x:c r="H524" s="12" t="str">
        <x:f>IF(Leads!BE524="","",Leads!BE524)</x:f>
      </x:c>
      <x:c r="I524" s="12" t="str">
        <x:f>IF(Leads!BG524="","",Leads!BG524)</x:f>
      </x:c>
      <x:c r="J524" s="12" t="str">
        <x:f>IF(Leads!BH524="","",Leads!BH524)</x:f>
      </x:c>
      <x:c r="K524" s="12" t="str">
        <x:f>IF(A524="","","مرحبًا "&amp;C524&amp;CHAR(10)&amp;CHAR(10)&amp;"شكرًا لإتمام تقييم DBD الخاص بعيادة "&amp;B524&amp;"."&amp;CHAR(10)&amp;"نتيجتكم الحالية: "&amp;E524&amp;"%."&amp;CHAR(10)&amp;"أولوية التحسين الأولى: "&amp;F524&amp;"."&amp;IF(J524&lt;&gt;"",CHAR(10)&amp;CHAR(10)&amp;"رابط التقرير: "&amp;J524,"")&amp;CHAR(10)&amp;CHAR(10)&amp;"إذا أحببت، يمكننا مساعدتك في فهم التقرير وتحديد أفضل خطوة تالية لعيادتكم.")</x:f>
      </x:c>
      <x:c r="L524" s="12" t="str">
        <x:f>IF(D524="","",HYPERLINK("https://wa.me/"&amp;REGEXREPLACE(D524,"[^\d]","")&amp;"?text="&amp;ENCODEURL(K524),"واتساب 1"))</x:f>
      </x:c>
      <x:c r="M524" s="12" t="str">
        <x:f>IF(A524="","","مرحبًا "&amp;C524&amp;CHAR(10)&amp;CHAR(10)&amp;"بناءً على نتيجة تقييم عيادة "&amp;B524&amp;"، فإن الترشيح الأقوى لكم الآن هو: "&amp;G524&amp;"."&amp;CHAR(10)&amp;"هذا الخيار يساعدكم في معالجة أكبر فجوة حالية بشكل عملي ومباشر."&amp;IF(J524&lt;&gt;"",CHAR(10)&amp;CHAR(10)&amp;"رابط التقرير: "&amp;J524,"")&amp;CHAR(10)&amp;CHAR(10)&amp;"إذا رغبت، يمكننا توضيح لماذا هذا الكورس هو الأنسب لكم الآن.")</x:f>
      </x:c>
      <x:c r="N524" s="12" t="str">
        <x:f>IF(D524="","",HYPERLINK("https://wa.me/"&amp;REGEXREPLACE(D524,"[^\d]","")&amp;"?text="&amp;ENCODEURL(M524),"واتساب 2"))</x:f>
      </x:c>
      <x:c r="O524" s="12" t="str">
        <x:f>IF(A524="","","مرحبًا "&amp;C524&amp;CHAR(10)&amp;CHAR(10)&amp;"إذا كانت التحديات لديكم تحتاج حلًا أشمل، فالبرنامج الكامل المناسب لكم هو: "&amp;H524&amp;"."&amp;IF(I524&lt;&gt;"",CHAR(10)&amp;"كما يمكنكم أيضًا حجز: "&amp;I524&amp;".","")&amp;IF(J524&lt;&gt;"",CHAR(10)&amp;CHAR(10)&amp;"رابط التقرير: "&amp;J524,"")&amp;CHAR(10)&amp;CHAR(10)&amp;"يسعدنا مساعدتكم في اختيار المسار الأنسب حسب وضع العيادة الحالي.")</x:f>
      </x:c>
      <x:c r="P524" s="12" t="str">
        <x:f>IF(D524="","",HYPERLINK("https://wa.me/"&amp;REGEXREPLACE(D524,"[^\d]","")&amp;"?text="&amp;ENCODEURL(O524),"واتساب 3"))</x:f>
      </x:c>
    </x:row>
    <x:row r="525" ht="15" hidden="0" customHeight="1">
      <x:c r="A525" s="12" t="str">
        <x:f>IF(Leads!A525="","",Leads!A525)</x:f>
      </x:c>
      <x:c r="B525" s="12" t="str">
        <x:f>IF(Leads!F525="","",Leads!F525)</x:f>
      </x:c>
      <x:c r="C525" s="12" t="str">
        <x:f>IF(Leads!G525="","",Leads!G525)</x:f>
      </x:c>
      <x:c r="D525" s="12" t="str">
        <x:f>IF(Leads!O525="","",Leads!O525)</x:f>
      </x:c>
      <x:c r="E525" s="12" t="str">
        <x:f>IF(Leads!AV525="","",Leads!AV525)</x:f>
      </x:c>
      <x:c r="F525" s="12" t="str">
        <x:f>IF(Leads!AX525="","",Leads!AX525)</x:f>
      </x:c>
      <x:c r="G525" s="12" t="str">
        <x:f>IF(Leads!BC525="","",Leads!BC525)</x:f>
      </x:c>
      <x:c r="H525" s="12" t="str">
        <x:f>IF(Leads!BE525="","",Leads!BE525)</x:f>
      </x:c>
      <x:c r="I525" s="12" t="str">
        <x:f>IF(Leads!BG525="","",Leads!BG525)</x:f>
      </x:c>
      <x:c r="J525" s="12" t="str">
        <x:f>IF(Leads!BH525="","",Leads!BH525)</x:f>
      </x:c>
      <x:c r="K525" s="12" t="str">
        <x:f>IF(A525="","","مرحبًا "&amp;C525&amp;CHAR(10)&amp;CHAR(10)&amp;"شكرًا لإتمام تقييم DBD الخاص بعيادة "&amp;B525&amp;"."&amp;CHAR(10)&amp;"نتيجتكم الحالية: "&amp;E525&amp;"%."&amp;CHAR(10)&amp;"أولوية التحسين الأولى: "&amp;F525&amp;"."&amp;IF(J525&lt;&gt;"",CHAR(10)&amp;CHAR(10)&amp;"رابط التقرير: "&amp;J525,"")&amp;CHAR(10)&amp;CHAR(10)&amp;"إذا أحببت، يمكننا مساعدتك في فهم التقرير وتحديد أفضل خطوة تالية لعيادتكم.")</x:f>
      </x:c>
      <x:c r="L525" s="12" t="str">
        <x:f>IF(D525="","",HYPERLINK("https://wa.me/"&amp;REGEXREPLACE(D525,"[^\d]","")&amp;"?text="&amp;ENCODEURL(K525),"واتساب 1"))</x:f>
      </x:c>
      <x:c r="M525" s="12" t="str">
        <x:f>IF(A525="","","مرحبًا "&amp;C525&amp;CHAR(10)&amp;CHAR(10)&amp;"بناءً على نتيجة تقييم عيادة "&amp;B525&amp;"، فإن الترشيح الأقوى لكم الآن هو: "&amp;G525&amp;"."&amp;CHAR(10)&amp;"هذا الخيار يساعدكم في معالجة أكبر فجوة حالية بشكل عملي ومباشر."&amp;IF(J525&lt;&gt;"",CHAR(10)&amp;CHAR(10)&amp;"رابط التقرير: "&amp;J525,"")&amp;CHAR(10)&amp;CHAR(10)&amp;"إذا رغبت، يمكننا توضيح لماذا هذا الكورس هو الأنسب لكم الآن.")</x:f>
      </x:c>
      <x:c r="N525" s="12" t="str">
        <x:f>IF(D525="","",HYPERLINK("https://wa.me/"&amp;REGEXREPLACE(D525,"[^\d]","")&amp;"?text="&amp;ENCODEURL(M525),"واتساب 2"))</x:f>
      </x:c>
      <x:c r="O525" s="12" t="str">
        <x:f>IF(A525="","","مرحبًا "&amp;C525&amp;CHAR(10)&amp;CHAR(10)&amp;"إذا كانت التحديات لديكم تحتاج حلًا أشمل، فالبرنامج الكامل المناسب لكم هو: "&amp;H525&amp;"."&amp;IF(I525&lt;&gt;"",CHAR(10)&amp;"كما يمكنكم أيضًا حجز: "&amp;I525&amp;".","")&amp;IF(J525&lt;&gt;"",CHAR(10)&amp;CHAR(10)&amp;"رابط التقرير: "&amp;J525,"")&amp;CHAR(10)&amp;CHAR(10)&amp;"يسعدنا مساعدتكم في اختيار المسار الأنسب حسب وضع العيادة الحالي.")</x:f>
      </x:c>
      <x:c r="P525" s="12" t="str">
        <x:f>IF(D525="","",HYPERLINK("https://wa.me/"&amp;REGEXREPLACE(D525,"[^\d]","")&amp;"?text="&amp;ENCODEURL(O525),"واتساب 3"))</x:f>
      </x:c>
    </x:row>
    <x:row r="526" ht="15" hidden="0" customHeight="1">
      <x:c r="A526" s="12" t="str">
        <x:f>IF(Leads!A526="","",Leads!A526)</x:f>
      </x:c>
      <x:c r="B526" s="12" t="str">
        <x:f>IF(Leads!F526="","",Leads!F526)</x:f>
      </x:c>
      <x:c r="C526" s="12" t="str">
        <x:f>IF(Leads!G526="","",Leads!G526)</x:f>
      </x:c>
      <x:c r="D526" s="12" t="str">
        <x:f>IF(Leads!O526="","",Leads!O526)</x:f>
      </x:c>
      <x:c r="E526" s="12" t="str">
        <x:f>IF(Leads!AV526="","",Leads!AV526)</x:f>
      </x:c>
      <x:c r="F526" s="12" t="str">
        <x:f>IF(Leads!AX526="","",Leads!AX526)</x:f>
      </x:c>
      <x:c r="G526" s="12" t="str">
        <x:f>IF(Leads!BC526="","",Leads!BC526)</x:f>
      </x:c>
      <x:c r="H526" s="12" t="str">
        <x:f>IF(Leads!BE526="","",Leads!BE526)</x:f>
      </x:c>
      <x:c r="I526" s="12" t="str">
        <x:f>IF(Leads!BG526="","",Leads!BG526)</x:f>
      </x:c>
      <x:c r="J526" s="12" t="str">
        <x:f>IF(Leads!BH526="","",Leads!BH526)</x:f>
      </x:c>
      <x:c r="K526" s="12" t="str">
        <x:f>IF(A526="","","مرحبًا "&amp;C526&amp;CHAR(10)&amp;CHAR(10)&amp;"شكرًا لإتمام تقييم DBD الخاص بعيادة "&amp;B526&amp;"."&amp;CHAR(10)&amp;"نتيجتكم الحالية: "&amp;E526&amp;"%."&amp;CHAR(10)&amp;"أولوية التحسين الأولى: "&amp;F526&amp;"."&amp;IF(J526&lt;&gt;"",CHAR(10)&amp;CHAR(10)&amp;"رابط التقرير: "&amp;J526,"")&amp;CHAR(10)&amp;CHAR(10)&amp;"إذا أحببت، يمكننا مساعدتك في فهم التقرير وتحديد أفضل خطوة تالية لعيادتكم.")</x:f>
      </x:c>
      <x:c r="L526" s="12" t="str">
        <x:f>IF(D526="","",HYPERLINK("https://wa.me/"&amp;REGEXREPLACE(D526,"[^\d]","")&amp;"?text="&amp;ENCODEURL(K526),"واتساب 1"))</x:f>
      </x:c>
      <x:c r="M526" s="12" t="str">
        <x:f>IF(A526="","","مرحبًا "&amp;C526&amp;CHAR(10)&amp;CHAR(10)&amp;"بناءً على نتيجة تقييم عيادة "&amp;B526&amp;"، فإن الترشيح الأقوى لكم الآن هو: "&amp;G526&amp;"."&amp;CHAR(10)&amp;"هذا الخيار يساعدكم في معالجة أكبر فجوة حالية بشكل عملي ومباشر."&amp;IF(J526&lt;&gt;"",CHAR(10)&amp;CHAR(10)&amp;"رابط التقرير: "&amp;J526,"")&amp;CHAR(10)&amp;CHAR(10)&amp;"إذا رغبت، يمكننا توضيح لماذا هذا الكورس هو الأنسب لكم الآن.")</x:f>
      </x:c>
      <x:c r="N526" s="12" t="str">
        <x:f>IF(D526="","",HYPERLINK("https://wa.me/"&amp;REGEXREPLACE(D526,"[^\d]","")&amp;"?text="&amp;ENCODEURL(M526),"واتساب 2"))</x:f>
      </x:c>
      <x:c r="O526" s="12" t="str">
        <x:f>IF(A526="","","مرحبًا "&amp;C526&amp;CHAR(10)&amp;CHAR(10)&amp;"إذا كانت التحديات لديكم تحتاج حلًا أشمل، فالبرنامج الكامل المناسب لكم هو: "&amp;H526&amp;"."&amp;IF(I526&lt;&gt;"",CHAR(10)&amp;"كما يمكنكم أيضًا حجز: "&amp;I526&amp;".","")&amp;IF(J526&lt;&gt;"",CHAR(10)&amp;CHAR(10)&amp;"رابط التقرير: "&amp;J526,"")&amp;CHAR(10)&amp;CHAR(10)&amp;"يسعدنا مساعدتكم في اختيار المسار الأنسب حسب وضع العيادة الحالي.")</x:f>
      </x:c>
      <x:c r="P526" s="12" t="str">
        <x:f>IF(D526="","",HYPERLINK("https://wa.me/"&amp;REGEXREPLACE(D526,"[^\d]","")&amp;"?text="&amp;ENCODEURL(O526),"واتساب 3"))</x:f>
      </x:c>
    </x:row>
    <x:row r="527" ht="15" hidden="0" customHeight="1">
      <x:c r="A527" s="12" t="str">
        <x:f>IF(Leads!A527="","",Leads!A527)</x:f>
      </x:c>
      <x:c r="B527" s="12" t="str">
        <x:f>IF(Leads!F527="","",Leads!F527)</x:f>
      </x:c>
      <x:c r="C527" s="12" t="str">
        <x:f>IF(Leads!G527="","",Leads!G527)</x:f>
      </x:c>
      <x:c r="D527" s="12" t="str">
        <x:f>IF(Leads!O527="","",Leads!O527)</x:f>
      </x:c>
      <x:c r="E527" s="12" t="str">
        <x:f>IF(Leads!AV527="","",Leads!AV527)</x:f>
      </x:c>
      <x:c r="F527" s="12" t="str">
        <x:f>IF(Leads!AX527="","",Leads!AX527)</x:f>
      </x:c>
      <x:c r="G527" s="12" t="str">
        <x:f>IF(Leads!BC527="","",Leads!BC527)</x:f>
      </x:c>
      <x:c r="H527" s="12" t="str">
        <x:f>IF(Leads!BE527="","",Leads!BE527)</x:f>
      </x:c>
      <x:c r="I527" s="12" t="str">
        <x:f>IF(Leads!BG527="","",Leads!BG527)</x:f>
      </x:c>
      <x:c r="J527" s="12" t="str">
        <x:f>IF(Leads!BH527="","",Leads!BH527)</x:f>
      </x:c>
      <x:c r="K527" s="12" t="str">
        <x:f>IF(A527="","","مرحبًا "&amp;C527&amp;CHAR(10)&amp;CHAR(10)&amp;"شكرًا لإتمام تقييم DBD الخاص بعيادة "&amp;B527&amp;"."&amp;CHAR(10)&amp;"نتيجتكم الحالية: "&amp;E527&amp;"%."&amp;CHAR(10)&amp;"أولوية التحسين الأولى: "&amp;F527&amp;"."&amp;IF(J527&lt;&gt;"",CHAR(10)&amp;CHAR(10)&amp;"رابط التقرير: "&amp;J527,"")&amp;CHAR(10)&amp;CHAR(10)&amp;"إذا أحببت، يمكننا مساعدتك في فهم التقرير وتحديد أفضل خطوة تالية لعيادتكم.")</x:f>
      </x:c>
      <x:c r="L527" s="12" t="str">
        <x:f>IF(D527="","",HYPERLINK("https://wa.me/"&amp;REGEXREPLACE(D527,"[^\d]","")&amp;"?text="&amp;ENCODEURL(K527),"واتساب 1"))</x:f>
      </x:c>
      <x:c r="M527" s="12" t="str">
        <x:f>IF(A527="","","مرحبًا "&amp;C527&amp;CHAR(10)&amp;CHAR(10)&amp;"بناءً على نتيجة تقييم عيادة "&amp;B527&amp;"، فإن الترشيح الأقوى لكم الآن هو: "&amp;G527&amp;"."&amp;CHAR(10)&amp;"هذا الخيار يساعدكم في معالجة أكبر فجوة حالية بشكل عملي ومباشر."&amp;IF(J527&lt;&gt;"",CHAR(10)&amp;CHAR(10)&amp;"رابط التقرير: "&amp;J527,"")&amp;CHAR(10)&amp;CHAR(10)&amp;"إذا رغبت، يمكننا توضيح لماذا هذا الكورس هو الأنسب لكم الآن.")</x:f>
      </x:c>
      <x:c r="N527" s="12" t="str">
        <x:f>IF(D527="","",HYPERLINK("https://wa.me/"&amp;REGEXREPLACE(D527,"[^\d]","")&amp;"?text="&amp;ENCODEURL(M527),"واتساب 2"))</x:f>
      </x:c>
      <x:c r="O527" s="12" t="str">
        <x:f>IF(A527="","","مرحبًا "&amp;C527&amp;CHAR(10)&amp;CHAR(10)&amp;"إذا كانت التحديات لديكم تحتاج حلًا أشمل، فالبرنامج الكامل المناسب لكم هو: "&amp;H527&amp;"."&amp;IF(I527&lt;&gt;"",CHAR(10)&amp;"كما يمكنكم أيضًا حجز: "&amp;I527&amp;".","")&amp;IF(J527&lt;&gt;"",CHAR(10)&amp;CHAR(10)&amp;"رابط التقرير: "&amp;J527,"")&amp;CHAR(10)&amp;CHAR(10)&amp;"يسعدنا مساعدتكم في اختيار المسار الأنسب حسب وضع العيادة الحالي.")</x:f>
      </x:c>
      <x:c r="P527" s="12" t="str">
        <x:f>IF(D527="","",HYPERLINK("https://wa.me/"&amp;REGEXREPLACE(D527,"[^\d]","")&amp;"?text="&amp;ENCODEURL(O527),"واتساب 3"))</x:f>
      </x:c>
    </x:row>
    <x:row r="528" ht="15" hidden="0" customHeight="1">
      <x:c r="A528" s="12" t="str">
        <x:f>IF(Leads!A528="","",Leads!A528)</x:f>
      </x:c>
      <x:c r="B528" s="12" t="str">
        <x:f>IF(Leads!F528="","",Leads!F528)</x:f>
      </x:c>
      <x:c r="C528" s="12" t="str">
        <x:f>IF(Leads!G528="","",Leads!G528)</x:f>
      </x:c>
      <x:c r="D528" s="12" t="str">
        <x:f>IF(Leads!O528="","",Leads!O528)</x:f>
      </x:c>
      <x:c r="E528" s="12" t="str">
        <x:f>IF(Leads!AV528="","",Leads!AV528)</x:f>
      </x:c>
      <x:c r="F528" s="12" t="str">
        <x:f>IF(Leads!AX528="","",Leads!AX528)</x:f>
      </x:c>
      <x:c r="G528" s="12" t="str">
        <x:f>IF(Leads!BC528="","",Leads!BC528)</x:f>
      </x:c>
      <x:c r="H528" s="12" t="str">
        <x:f>IF(Leads!BE528="","",Leads!BE528)</x:f>
      </x:c>
      <x:c r="I528" s="12" t="str">
        <x:f>IF(Leads!BG528="","",Leads!BG528)</x:f>
      </x:c>
      <x:c r="J528" s="12" t="str">
        <x:f>IF(Leads!BH528="","",Leads!BH528)</x:f>
      </x:c>
      <x:c r="K528" s="12" t="str">
        <x:f>IF(A528="","","مرحبًا "&amp;C528&amp;CHAR(10)&amp;CHAR(10)&amp;"شكرًا لإتمام تقييم DBD الخاص بعيادة "&amp;B528&amp;"."&amp;CHAR(10)&amp;"نتيجتكم الحالية: "&amp;E528&amp;"%."&amp;CHAR(10)&amp;"أولوية التحسين الأولى: "&amp;F528&amp;"."&amp;IF(J528&lt;&gt;"",CHAR(10)&amp;CHAR(10)&amp;"رابط التقرير: "&amp;J528,"")&amp;CHAR(10)&amp;CHAR(10)&amp;"إذا أحببت، يمكننا مساعدتك في فهم التقرير وتحديد أفضل خطوة تالية لعيادتكم.")</x:f>
      </x:c>
      <x:c r="L528" s="12" t="str">
        <x:f>IF(D528="","",HYPERLINK("https://wa.me/"&amp;REGEXREPLACE(D528,"[^\d]","")&amp;"?text="&amp;ENCODEURL(K528),"واتساب 1"))</x:f>
      </x:c>
      <x:c r="M528" s="12" t="str">
        <x:f>IF(A528="","","مرحبًا "&amp;C528&amp;CHAR(10)&amp;CHAR(10)&amp;"بناءً على نتيجة تقييم عيادة "&amp;B528&amp;"، فإن الترشيح الأقوى لكم الآن هو: "&amp;G528&amp;"."&amp;CHAR(10)&amp;"هذا الخيار يساعدكم في معالجة أكبر فجوة حالية بشكل عملي ومباشر."&amp;IF(J528&lt;&gt;"",CHAR(10)&amp;CHAR(10)&amp;"رابط التقرير: "&amp;J528,"")&amp;CHAR(10)&amp;CHAR(10)&amp;"إذا رغبت، يمكننا توضيح لماذا هذا الكورس هو الأنسب لكم الآن.")</x:f>
      </x:c>
      <x:c r="N528" s="12" t="str">
        <x:f>IF(D528="","",HYPERLINK("https://wa.me/"&amp;REGEXREPLACE(D528,"[^\d]","")&amp;"?text="&amp;ENCODEURL(M528),"واتساب 2"))</x:f>
      </x:c>
      <x:c r="O528" s="12" t="str">
        <x:f>IF(A528="","","مرحبًا "&amp;C528&amp;CHAR(10)&amp;CHAR(10)&amp;"إذا كانت التحديات لديكم تحتاج حلًا أشمل، فالبرنامج الكامل المناسب لكم هو: "&amp;H528&amp;"."&amp;IF(I528&lt;&gt;"",CHAR(10)&amp;"كما يمكنكم أيضًا حجز: "&amp;I528&amp;".","")&amp;IF(J528&lt;&gt;"",CHAR(10)&amp;CHAR(10)&amp;"رابط التقرير: "&amp;J528,"")&amp;CHAR(10)&amp;CHAR(10)&amp;"يسعدنا مساعدتكم في اختيار المسار الأنسب حسب وضع العيادة الحالي.")</x:f>
      </x:c>
      <x:c r="P528" s="12" t="str">
        <x:f>IF(D528="","",HYPERLINK("https://wa.me/"&amp;REGEXREPLACE(D528,"[^\d]","")&amp;"?text="&amp;ENCODEURL(O528),"واتساب 3"))</x:f>
      </x:c>
    </x:row>
    <x:row r="529" ht="15" hidden="0" customHeight="1">
      <x:c r="A529" s="12" t="str">
        <x:f>IF(Leads!A529="","",Leads!A529)</x:f>
      </x:c>
      <x:c r="B529" s="12" t="str">
        <x:f>IF(Leads!F529="","",Leads!F529)</x:f>
      </x:c>
      <x:c r="C529" s="12" t="str">
        <x:f>IF(Leads!G529="","",Leads!G529)</x:f>
      </x:c>
      <x:c r="D529" s="12" t="str">
        <x:f>IF(Leads!O529="","",Leads!O529)</x:f>
      </x:c>
      <x:c r="E529" s="12" t="str">
        <x:f>IF(Leads!AV529="","",Leads!AV529)</x:f>
      </x:c>
      <x:c r="F529" s="12" t="str">
        <x:f>IF(Leads!AX529="","",Leads!AX529)</x:f>
      </x:c>
      <x:c r="G529" s="12" t="str">
        <x:f>IF(Leads!BC529="","",Leads!BC529)</x:f>
      </x:c>
      <x:c r="H529" s="12" t="str">
        <x:f>IF(Leads!BE529="","",Leads!BE529)</x:f>
      </x:c>
      <x:c r="I529" s="12" t="str">
        <x:f>IF(Leads!BG529="","",Leads!BG529)</x:f>
      </x:c>
      <x:c r="J529" s="12" t="str">
        <x:f>IF(Leads!BH529="","",Leads!BH529)</x:f>
      </x:c>
      <x:c r="K529" s="12" t="str">
        <x:f>IF(A529="","","مرحبًا "&amp;C529&amp;CHAR(10)&amp;CHAR(10)&amp;"شكرًا لإتمام تقييم DBD الخاص بعيادة "&amp;B529&amp;"."&amp;CHAR(10)&amp;"نتيجتكم الحالية: "&amp;E529&amp;"%."&amp;CHAR(10)&amp;"أولوية التحسين الأولى: "&amp;F529&amp;"."&amp;IF(J529&lt;&gt;"",CHAR(10)&amp;CHAR(10)&amp;"رابط التقرير: "&amp;J529,"")&amp;CHAR(10)&amp;CHAR(10)&amp;"إذا أحببت، يمكننا مساعدتك في فهم التقرير وتحديد أفضل خطوة تالية لعيادتكم.")</x:f>
      </x:c>
      <x:c r="L529" s="12" t="str">
        <x:f>IF(D529="","",HYPERLINK("https://wa.me/"&amp;REGEXREPLACE(D529,"[^\d]","")&amp;"?text="&amp;ENCODEURL(K529),"واتساب 1"))</x:f>
      </x:c>
      <x:c r="M529" s="12" t="str">
        <x:f>IF(A529="","","مرحبًا "&amp;C529&amp;CHAR(10)&amp;CHAR(10)&amp;"بناءً على نتيجة تقييم عيادة "&amp;B529&amp;"، فإن الترشيح الأقوى لكم الآن هو: "&amp;G529&amp;"."&amp;CHAR(10)&amp;"هذا الخيار يساعدكم في معالجة أكبر فجوة حالية بشكل عملي ومباشر."&amp;IF(J529&lt;&gt;"",CHAR(10)&amp;CHAR(10)&amp;"رابط التقرير: "&amp;J529,"")&amp;CHAR(10)&amp;CHAR(10)&amp;"إذا رغبت، يمكننا توضيح لماذا هذا الكورس هو الأنسب لكم الآن.")</x:f>
      </x:c>
      <x:c r="N529" s="12" t="str">
        <x:f>IF(D529="","",HYPERLINK("https://wa.me/"&amp;REGEXREPLACE(D529,"[^\d]","")&amp;"?text="&amp;ENCODEURL(M529),"واتساب 2"))</x:f>
      </x:c>
      <x:c r="O529" s="12" t="str">
        <x:f>IF(A529="","","مرحبًا "&amp;C529&amp;CHAR(10)&amp;CHAR(10)&amp;"إذا كانت التحديات لديكم تحتاج حلًا أشمل، فالبرنامج الكامل المناسب لكم هو: "&amp;H529&amp;"."&amp;IF(I529&lt;&gt;"",CHAR(10)&amp;"كما يمكنكم أيضًا حجز: "&amp;I529&amp;".","")&amp;IF(J529&lt;&gt;"",CHAR(10)&amp;CHAR(10)&amp;"رابط التقرير: "&amp;J529,"")&amp;CHAR(10)&amp;CHAR(10)&amp;"يسعدنا مساعدتكم في اختيار المسار الأنسب حسب وضع العيادة الحالي.")</x:f>
      </x:c>
      <x:c r="P529" s="12" t="str">
        <x:f>IF(D529="","",HYPERLINK("https://wa.me/"&amp;REGEXREPLACE(D529,"[^\d]","")&amp;"?text="&amp;ENCODEURL(O529),"واتساب 3"))</x:f>
      </x:c>
    </x:row>
    <x:row r="530" ht="15" hidden="0" customHeight="1">
      <x:c r="A530" s="12" t="str">
        <x:f>IF(Leads!A530="","",Leads!A530)</x:f>
      </x:c>
      <x:c r="B530" s="12" t="str">
        <x:f>IF(Leads!F530="","",Leads!F530)</x:f>
      </x:c>
      <x:c r="C530" s="12" t="str">
        <x:f>IF(Leads!G530="","",Leads!G530)</x:f>
      </x:c>
      <x:c r="D530" s="12" t="str">
        <x:f>IF(Leads!O530="","",Leads!O530)</x:f>
      </x:c>
      <x:c r="E530" s="12" t="str">
        <x:f>IF(Leads!AV530="","",Leads!AV530)</x:f>
      </x:c>
      <x:c r="F530" s="12" t="str">
        <x:f>IF(Leads!AX530="","",Leads!AX530)</x:f>
      </x:c>
      <x:c r="G530" s="12" t="str">
        <x:f>IF(Leads!BC530="","",Leads!BC530)</x:f>
      </x:c>
      <x:c r="H530" s="12" t="str">
        <x:f>IF(Leads!BE530="","",Leads!BE530)</x:f>
      </x:c>
      <x:c r="I530" s="12" t="str">
        <x:f>IF(Leads!BG530="","",Leads!BG530)</x:f>
      </x:c>
      <x:c r="J530" s="12" t="str">
        <x:f>IF(Leads!BH530="","",Leads!BH530)</x:f>
      </x:c>
      <x:c r="K530" s="12" t="str">
        <x:f>IF(A530="","","مرحبًا "&amp;C530&amp;CHAR(10)&amp;CHAR(10)&amp;"شكرًا لإتمام تقييم DBD الخاص بعيادة "&amp;B530&amp;"."&amp;CHAR(10)&amp;"نتيجتكم الحالية: "&amp;E530&amp;"%."&amp;CHAR(10)&amp;"أولوية التحسين الأولى: "&amp;F530&amp;"."&amp;IF(J530&lt;&gt;"",CHAR(10)&amp;CHAR(10)&amp;"رابط التقرير: "&amp;J530,"")&amp;CHAR(10)&amp;CHAR(10)&amp;"إذا أحببت، يمكننا مساعدتك في فهم التقرير وتحديد أفضل خطوة تالية لعيادتكم.")</x:f>
      </x:c>
      <x:c r="L530" s="12" t="str">
        <x:f>IF(D530="","",HYPERLINK("https://wa.me/"&amp;REGEXREPLACE(D530,"[^\d]","")&amp;"?text="&amp;ENCODEURL(K530),"واتساب 1"))</x:f>
      </x:c>
      <x:c r="M530" s="12" t="str">
        <x:f>IF(A530="","","مرحبًا "&amp;C530&amp;CHAR(10)&amp;CHAR(10)&amp;"بناءً على نتيجة تقييم عيادة "&amp;B530&amp;"، فإن الترشيح الأقوى لكم الآن هو: "&amp;G530&amp;"."&amp;CHAR(10)&amp;"هذا الخيار يساعدكم في معالجة أكبر فجوة حالية بشكل عملي ومباشر."&amp;IF(J530&lt;&gt;"",CHAR(10)&amp;CHAR(10)&amp;"رابط التقرير: "&amp;J530,"")&amp;CHAR(10)&amp;CHAR(10)&amp;"إذا رغبت، يمكننا توضيح لماذا هذا الكورس هو الأنسب لكم الآن.")</x:f>
      </x:c>
      <x:c r="N530" s="12" t="str">
        <x:f>IF(D530="","",HYPERLINK("https://wa.me/"&amp;REGEXREPLACE(D530,"[^\d]","")&amp;"?text="&amp;ENCODEURL(M530),"واتساب 2"))</x:f>
      </x:c>
      <x:c r="O530" s="12" t="str">
        <x:f>IF(A530="","","مرحبًا "&amp;C530&amp;CHAR(10)&amp;CHAR(10)&amp;"إذا كانت التحديات لديكم تحتاج حلًا أشمل، فالبرنامج الكامل المناسب لكم هو: "&amp;H530&amp;"."&amp;IF(I530&lt;&gt;"",CHAR(10)&amp;"كما يمكنكم أيضًا حجز: "&amp;I530&amp;".","")&amp;IF(J530&lt;&gt;"",CHAR(10)&amp;CHAR(10)&amp;"رابط التقرير: "&amp;J530,"")&amp;CHAR(10)&amp;CHAR(10)&amp;"يسعدنا مساعدتكم في اختيار المسار الأنسب حسب وضع العيادة الحالي.")</x:f>
      </x:c>
      <x:c r="P530" s="12" t="str">
        <x:f>IF(D530="","",HYPERLINK("https://wa.me/"&amp;REGEXREPLACE(D530,"[^\d]","")&amp;"?text="&amp;ENCODEURL(O530),"واتساب 3"))</x:f>
      </x:c>
    </x:row>
    <x:row r="531" ht="15" hidden="0" customHeight="1">
      <x:c r="A531" s="12" t="str">
        <x:f>IF(Leads!A531="","",Leads!A531)</x:f>
      </x:c>
      <x:c r="B531" s="12" t="str">
        <x:f>IF(Leads!F531="","",Leads!F531)</x:f>
      </x:c>
      <x:c r="C531" s="12" t="str">
        <x:f>IF(Leads!G531="","",Leads!G531)</x:f>
      </x:c>
      <x:c r="D531" s="12" t="str">
        <x:f>IF(Leads!O531="","",Leads!O531)</x:f>
      </x:c>
      <x:c r="E531" s="12" t="str">
        <x:f>IF(Leads!AV531="","",Leads!AV531)</x:f>
      </x:c>
      <x:c r="F531" s="12" t="str">
        <x:f>IF(Leads!AX531="","",Leads!AX531)</x:f>
      </x:c>
      <x:c r="G531" s="12" t="str">
        <x:f>IF(Leads!BC531="","",Leads!BC531)</x:f>
      </x:c>
      <x:c r="H531" s="12" t="str">
        <x:f>IF(Leads!BE531="","",Leads!BE531)</x:f>
      </x:c>
      <x:c r="I531" s="12" t="str">
        <x:f>IF(Leads!BG531="","",Leads!BG531)</x:f>
      </x:c>
      <x:c r="J531" s="12" t="str">
        <x:f>IF(Leads!BH531="","",Leads!BH531)</x:f>
      </x:c>
      <x:c r="K531" s="12" t="str">
        <x:f>IF(A531="","","مرحبًا "&amp;C531&amp;CHAR(10)&amp;CHAR(10)&amp;"شكرًا لإتمام تقييم DBD الخاص بعيادة "&amp;B531&amp;"."&amp;CHAR(10)&amp;"نتيجتكم الحالية: "&amp;E531&amp;"%."&amp;CHAR(10)&amp;"أولوية التحسين الأولى: "&amp;F531&amp;"."&amp;IF(J531&lt;&gt;"",CHAR(10)&amp;CHAR(10)&amp;"رابط التقرير: "&amp;J531,"")&amp;CHAR(10)&amp;CHAR(10)&amp;"إذا أحببت، يمكننا مساعدتك في فهم التقرير وتحديد أفضل خطوة تالية لعيادتكم.")</x:f>
      </x:c>
      <x:c r="L531" s="12" t="str">
        <x:f>IF(D531="","",HYPERLINK("https://wa.me/"&amp;REGEXREPLACE(D531,"[^\d]","")&amp;"?text="&amp;ENCODEURL(K531),"واتساب 1"))</x:f>
      </x:c>
      <x:c r="M531" s="12" t="str">
        <x:f>IF(A531="","","مرحبًا "&amp;C531&amp;CHAR(10)&amp;CHAR(10)&amp;"بناءً على نتيجة تقييم عيادة "&amp;B531&amp;"، فإن الترشيح الأقوى لكم الآن هو: "&amp;G531&amp;"."&amp;CHAR(10)&amp;"هذا الخيار يساعدكم في معالجة أكبر فجوة حالية بشكل عملي ومباشر."&amp;IF(J531&lt;&gt;"",CHAR(10)&amp;CHAR(10)&amp;"رابط التقرير: "&amp;J531,"")&amp;CHAR(10)&amp;CHAR(10)&amp;"إذا رغبت، يمكننا توضيح لماذا هذا الكورس هو الأنسب لكم الآن.")</x:f>
      </x:c>
      <x:c r="N531" s="12" t="str">
        <x:f>IF(D531="","",HYPERLINK("https://wa.me/"&amp;REGEXREPLACE(D531,"[^\d]","")&amp;"?text="&amp;ENCODEURL(M531),"واتساب 2"))</x:f>
      </x:c>
      <x:c r="O531" s="12" t="str">
        <x:f>IF(A531="","","مرحبًا "&amp;C531&amp;CHAR(10)&amp;CHAR(10)&amp;"إذا كانت التحديات لديكم تحتاج حلًا أشمل، فالبرنامج الكامل المناسب لكم هو: "&amp;H531&amp;"."&amp;IF(I531&lt;&gt;"",CHAR(10)&amp;"كما يمكنكم أيضًا حجز: "&amp;I531&amp;".","")&amp;IF(J531&lt;&gt;"",CHAR(10)&amp;CHAR(10)&amp;"رابط التقرير: "&amp;J531,"")&amp;CHAR(10)&amp;CHAR(10)&amp;"يسعدنا مساعدتكم في اختيار المسار الأنسب حسب وضع العيادة الحالي.")</x:f>
      </x:c>
      <x:c r="P531" s="12" t="str">
        <x:f>IF(D531="","",HYPERLINK("https://wa.me/"&amp;REGEXREPLACE(D531,"[^\d]","")&amp;"?text="&amp;ENCODEURL(O531),"واتساب 3"))</x:f>
      </x:c>
    </x:row>
    <x:row r="532" ht="15" hidden="0" customHeight="1">
      <x:c r="A532" s="12" t="str">
        <x:f>IF(Leads!A532="","",Leads!A532)</x:f>
      </x:c>
      <x:c r="B532" s="12" t="str">
        <x:f>IF(Leads!F532="","",Leads!F532)</x:f>
      </x:c>
      <x:c r="C532" s="12" t="str">
        <x:f>IF(Leads!G532="","",Leads!G532)</x:f>
      </x:c>
      <x:c r="D532" s="12" t="str">
        <x:f>IF(Leads!O532="","",Leads!O532)</x:f>
      </x:c>
      <x:c r="E532" s="12" t="str">
        <x:f>IF(Leads!AV532="","",Leads!AV532)</x:f>
      </x:c>
      <x:c r="F532" s="12" t="str">
        <x:f>IF(Leads!AX532="","",Leads!AX532)</x:f>
      </x:c>
      <x:c r="G532" s="12" t="str">
        <x:f>IF(Leads!BC532="","",Leads!BC532)</x:f>
      </x:c>
      <x:c r="H532" s="12" t="str">
        <x:f>IF(Leads!BE532="","",Leads!BE532)</x:f>
      </x:c>
      <x:c r="I532" s="12" t="str">
        <x:f>IF(Leads!BG532="","",Leads!BG532)</x:f>
      </x:c>
      <x:c r="J532" s="12" t="str">
        <x:f>IF(Leads!BH532="","",Leads!BH532)</x:f>
      </x:c>
      <x:c r="K532" s="12" t="str">
        <x:f>IF(A532="","","مرحبًا "&amp;C532&amp;CHAR(10)&amp;CHAR(10)&amp;"شكرًا لإتمام تقييم DBD الخاص بعيادة "&amp;B532&amp;"."&amp;CHAR(10)&amp;"نتيجتكم الحالية: "&amp;E532&amp;"%."&amp;CHAR(10)&amp;"أولوية التحسين الأولى: "&amp;F532&amp;"."&amp;IF(J532&lt;&gt;"",CHAR(10)&amp;CHAR(10)&amp;"رابط التقرير: "&amp;J532,"")&amp;CHAR(10)&amp;CHAR(10)&amp;"إذا أحببت، يمكننا مساعدتك في فهم التقرير وتحديد أفضل خطوة تالية لعيادتكم.")</x:f>
      </x:c>
      <x:c r="L532" s="12" t="str">
        <x:f>IF(D532="","",HYPERLINK("https://wa.me/"&amp;REGEXREPLACE(D532,"[^\d]","")&amp;"?text="&amp;ENCODEURL(K532),"واتساب 1"))</x:f>
      </x:c>
      <x:c r="M532" s="12" t="str">
        <x:f>IF(A532="","","مرحبًا "&amp;C532&amp;CHAR(10)&amp;CHAR(10)&amp;"بناءً على نتيجة تقييم عيادة "&amp;B532&amp;"، فإن الترشيح الأقوى لكم الآن هو: "&amp;G532&amp;"."&amp;CHAR(10)&amp;"هذا الخيار يساعدكم في معالجة أكبر فجوة حالية بشكل عملي ومباشر."&amp;IF(J532&lt;&gt;"",CHAR(10)&amp;CHAR(10)&amp;"رابط التقرير: "&amp;J532,"")&amp;CHAR(10)&amp;CHAR(10)&amp;"إذا رغبت، يمكننا توضيح لماذا هذا الكورس هو الأنسب لكم الآن.")</x:f>
      </x:c>
      <x:c r="N532" s="12" t="str">
        <x:f>IF(D532="","",HYPERLINK("https://wa.me/"&amp;REGEXREPLACE(D532,"[^\d]","")&amp;"?text="&amp;ENCODEURL(M532),"واتساب 2"))</x:f>
      </x:c>
      <x:c r="O532" s="12" t="str">
        <x:f>IF(A532="","","مرحبًا "&amp;C532&amp;CHAR(10)&amp;CHAR(10)&amp;"إذا كانت التحديات لديكم تحتاج حلًا أشمل، فالبرنامج الكامل المناسب لكم هو: "&amp;H532&amp;"."&amp;IF(I532&lt;&gt;"",CHAR(10)&amp;"كما يمكنكم أيضًا حجز: "&amp;I532&amp;".","")&amp;IF(J532&lt;&gt;"",CHAR(10)&amp;CHAR(10)&amp;"رابط التقرير: "&amp;J532,"")&amp;CHAR(10)&amp;CHAR(10)&amp;"يسعدنا مساعدتكم في اختيار المسار الأنسب حسب وضع العيادة الحالي.")</x:f>
      </x:c>
      <x:c r="P532" s="12" t="str">
        <x:f>IF(D532="","",HYPERLINK("https://wa.me/"&amp;REGEXREPLACE(D532,"[^\d]","")&amp;"?text="&amp;ENCODEURL(O532),"واتساب 3"))</x:f>
      </x:c>
    </x:row>
    <x:row r="533" ht="15" hidden="0" customHeight="1">
      <x:c r="A533" s="12" t="str">
        <x:f>IF(Leads!A533="","",Leads!A533)</x:f>
      </x:c>
      <x:c r="B533" s="12" t="str">
        <x:f>IF(Leads!F533="","",Leads!F533)</x:f>
      </x:c>
      <x:c r="C533" s="12" t="str">
        <x:f>IF(Leads!G533="","",Leads!G533)</x:f>
      </x:c>
      <x:c r="D533" s="12" t="str">
        <x:f>IF(Leads!O533="","",Leads!O533)</x:f>
      </x:c>
      <x:c r="E533" s="12" t="str">
        <x:f>IF(Leads!AV533="","",Leads!AV533)</x:f>
      </x:c>
      <x:c r="F533" s="12" t="str">
        <x:f>IF(Leads!AX533="","",Leads!AX533)</x:f>
      </x:c>
      <x:c r="G533" s="12" t="str">
        <x:f>IF(Leads!BC533="","",Leads!BC533)</x:f>
      </x:c>
      <x:c r="H533" s="12" t="str">
        <x:f>IF(Leads!BE533="","",Leads!BE533)</x:f>
      </x:c>
      <x:c r="I533" s="12" t="str">
        <x:f>IF(Leads!BG533="","",Leads!BG533)</x:f>
      </x:c>
      <x:c r="J533" s="12" t="str">
        <x:f>IF(Leads!BH533="","",Leads!BH533)</x:f>
      </x:c>
      <x:c r="K533" s="12" t="str">
        <x:f>IF(A533="","","مرحبًا "&amp;C533&amp;CHAR(10)&amp;CHAR(10)&amp;"شكرًا لإتمام تقييم DBD الخاص بعيادة "&amp;B533&amp;"."&amp;CHAR(10)&amp;"نتيجتكم الحالية: "&amp;E533&amp;"%."&amp;CHAR(10)&amp;"أولوية التحسين الأولى: "&amp;F533&amp;"."&amp;IF(J533&lt;&gt;"",CHAR(10)&amp;CHAR(10)&amp;"رابط التقرير: "&amp;J533,"")&amp;CHAR(10)&amp;CHAR(10)&amp;"إذا أحببت، يمكننا مساعدتك في فهم التقرير وتحديد أفضل خطوة تالية لعيادتكم.")</x:f>
      </x:c>
      <x:c r="L533" s="12" t="str">
        <x:f>IF(D533="","",HYPERLINK("https://wa.me/"&amp;REGEXREPLACE(D533,"[^\d]","")&amp;"?text="&amp;ENCODEURL(K533),"واتساب 1"))</x:f>
      </x:c>
      <x:c r="M533" s="12" t="str">
        <x:f>IF(A533="","","مرحبًا "&amp;C533&amp;CHAR(10)&amp;CHAR(10)&amp;"بناءً على نتيجة تقييم عيادة "&amp;B533&amp;"، فإن الترشيح الأقوى لكم الآن هو: "&amp;G533&amp;"."&amp;CHAR(10)&amp;"هذا الخيار يساعدكم في معالجة أكبر فجوة حالية بشكل عملي ومباشر."&amp;IF(J533&lt;&gt;"",CHAR(10)&amp;CHAR(10)&amp;"رابط التقرير: "&amp;J533,"")&amp;CHAR(10)&amp;CHAR(10)&amp;"إذا رغبت، يمكننا توضيح لماذا هذا الكورس هو الأنسب لكم الآن.")</x:f>
      </x:c>
      <x:c r="N533" s="12" t="str">
        <x:f>IF(D533="","",HYPERLINK("https://wa.me/"&amp;REGEXREPLACE(D533,"[^\d]","")&amp;"?text="&amp;ENCODEURL(M533),"واتساب 2"))</x:f>
      </x:c>
      <x:c r="O533" s="12" t="str">
        <x:f>IF(A533="","","مرحبًا "&amp;C533&amp;CHAR(10)&amp;CHAR(10)&amp;"إذا كانت التحديات لديكم تحتاج حلًا أشمل، فالبرنامج الكامل المناسب لكم هو: "&amp;H533&amp;"."&amp;IF(I533&lt;&gt;"",CHAR(10)&amp;"كما يمكنكم أيضًا حجز: "&amp;I533&amp;".","")&amp;IF(J533&lt;&gt;"",CHAR(10)&amp;CHAR(10)&amp;"رابط التقرير: "&amp;J533,"")&amp;CHAR(10)&amp;CHAR(10)&amp;"يسعدنا مساعدتكم في اختيار المسار الأنسب حسب وضع العيادة الحالي.")</x:f>
      </x:c>
      <x:c r="P533" s="12" t="str">
        <x:f>IF(D533="","",HYPERLINK("https://wa.me/"&amp;REGEXREPLACE(D533,"[^\d]","")&amp;"?text="&amp;ENCODEURL(O533),"واتساب 3"))</x:f>
      </x:c>
    </x:row>
    <x:row r="534" ht="15" hidden="0" customHeight="1">
      <x:c r="A534" s="12" t="str">
        <x:f>IF(Leads!A534="","",Leads!A534)</x:f>
      </x:c>
      <x:c r="B534" s="12" t="str">
        <x:f>IF(Leads!F534="","",Leads!F534)</x:f>
      </x:c>
      <x:c r="C534" s="12" t="str">
        <x:f>IF(Leads!G534="","",Leads!G534)</x:f>
      </x:c>
      <x:c r="D534" s="12" t="str">
        <x:f>IF(Leads!O534="","",Leads!O534)</x:f>
      </x:c>
      <x:c r="E534" s="12" t="str">
        <x:f>IF(Leads!AV534="","",Leads!AV534)</x:f>
      </x:c>
      <x:c r="F534" s="12" t="str">
        <x:f>IF(Leads!AX534="","",Leads!AX534)</x:f>
      </x:c>
      <x:c r="G534" s="12" t="str">
        <x:f>IF(Leads!BC534="","",Leads!BC534)</x:f>
      </x:c>
      <x:c r="H534" s="12" t="str">
        <x:f>IF(Leads!BE534="","",Leads!BE534)</x:f>
      </x:c>
      <x:c r="I534" s="12" t="str">
        <x:f>IF(Leads!BG534="","",Leads!BG534)</x:f>
      </x:c>
      <x:c r="J534" s="12" t="str">
        <x:f>IF(Leads!BH534="","",Leads!BH534)</x:f>
      </x:c>
      <x:c r="K534" s="12" t="str">
        <x:f>IF(A534="","","مرحبًا "&amp;C534&amp;CHAR(10)&amp;CHAR(10)&amp;"شكرًا لإتمام تقييم DBD الخاص بعيادة "&amp;B534&amp;"."&amp;CHAR(10)&amp;"نتيجتكم الحالية: "&amp;E534&amp;"%."&amp;CHAR(10)&amp;"أولوية التحسين الأولى: "&amp;F534&amp;"."&amp;IF(J534&lt;&gt;"",CHAR(10)&amp;CHAR(10)&amp;"رابط التقرير: "&amp;J534,"")&amp;CHAR(10)&amp;CHAR(10)&amp;"إذا أحببت، يمكننا مساعدتك في فهم التقرير وتحديد أفضل خطوة تالية لعيادتكم.")</x:f>
      </x:c>
      <x:c r="L534" s="12" t="str">
        <x:f>IF(D534="","",HYPERLINK("https://wa.me/"&amp;REGEXREPLACE(D534,"[^\d]","")&amp;"?text="&amp;ENCODEURL(K534),"واتساب 1"))</x:f>
      </x:c>
      <x:c r="M534" s="12" t="str">
        <x:f>IF(A534="","","مرحبًا "&amp;C534&amp;CHAR(10)&amp;CHAR(10)&amp;"بناءً على نتيجة تقييم عيادة "&amp;B534&amp;"، فإن الترشيح الأقوى لكم الآن هو: "&amp;G534&amp;"."&amp;CHAR(10)&amp;"هذا الخيار يساعدكم في معالجة أكبر فجوة حالية بشكل عملي ومباشر."&amp;IF(J534&lt;&gt;"",CHAR(10)&amp;CHAR(10)&amp;"رابط التقرير: "&amp;J534,"")&amp;CHAR(10)&amp;CHAR(10)&amp;"إذا رغبت، يمكننا توضيح لماذا هذا الكورس هو الأنسب لكم الآن.")</x:f>
      </x:c>
      <x:c r="N534" s="12" t="str">
        <x:f>IF(D534="","",HYPERLINK("https://wa.me/"&amp;REGEXREPLACE(D534,"[^\d]","")&amp;"?text="&amp;ENCODEURL(M534),"واتساب 2"))</x:f>
      </x:c>
      <x:c r="O534" s="12" t="str">
        <x:f>IF(A534="","","مرحبًا "&amp;C534&amp;CHAR(10)&amp;CHAR(10)&amp;"إذا كانت التحديات لديكم تحتاج حلًا أشمل، فالبرنامج الكامل المناسب لكم هو: "&amp;H534&amp;"."&amp;IF(I534&lt;&gt;"",CHAR(10)&amp;"كما يمكنكم أيضًا حجز: "&amp;I534&amp;".","")&amp;IF(J534&lt;&gt;"",CHAR(10)&amp;CHAR(10)&amp;"رابط التقرير: "&amp;J534,"")&amp;CHAR(10)&amp;CHAR(10)&amp;"يسعدنا مساعدتكم في اختيار المسار الأنسب حسب وضع العيادة الحالي.")</x:f>
      </x:c>
      <x:c r="P534" s="12" t="str">
        <x:f>IF(D534="","",HYPERLINK("https://wa.me/"&amp;REGEXREPLACE(D534,"[^\d]","")&amp;"?text="&amp;ENCODEURL(O534),"واتساب 3"))</x:f>
      </x:c>
    </x:row>
    <x:row r="535" ht="15" hidden="0" customHeight="1">
      <x:c r="A535" s="12" t="str">
        <x:f>IF(Leads!A535="","",Leads!A535)</x:f>
      </x:c>
      <x:c r="B535" s="12" t="str">
        <x:f>IF(Leads!F535="","",Leads!F535)</x:f>
      </x:c>
      <x:c r="C535" s="12" t="str">
        <x:f>IF(Leads!G535="","",Leads!G535)</x:f>
      </x:c>
      <x:c r="D535" s="12" t="str">
        <x:f>IF(Leads!O535="","",Leads!O535)</x:f>
      </x:c>
      <x:c r="E535" s="12" t="str">
        <x:f>IF(Leads!AV535="","",Leads!AV535)</x:f>
      </x:c>
      <x:c r="F535" s="12" t="str">
        <x:f>IF(Leads!AX535="","",Leads!AX535)</x:f>
      </x:c>
      <x:c r="G535" s="12" t="str">
        <x:f>IF(Leads!BC535="","",Leads!BC535)</x:f>
      </x:c>
      <x:c r="H535" s="12" t="str">
        <x:f>IF(Leads!BE535="","",Leads!BE535)</x:f>
      </x:c>
      <x:c r="I535" s="12" t="str">
        <x:f>IF(Leads!BG535="","",Leads!BG535)</x:f>
      </x:c>
      <x:c r="J535" s="12" t="str">
        <x:f>IF(Leads!BH535="","",Leads!BH535)</x:f>
      </x:c>
      <x:c r="K535" s="12" t="str">
        <x:f>IF(A535="","","مرحبًا "&amp;C535&amp;CHAR(10)&amp;CHAR(10)&amp;"شكرًا لإتمام تقييم DBD الخاص بعيادة "&amp;B535&amp;"."&amp;CHAR(10)&amp;"نتيجتكم الحالية: "&amp;E535&amp;"%."&amp;CHAR(10)&amp;"أولوية التحسين الأولى: "&amp;F535&amp;"."&amp;IF(J535&lt;&gt;"",CHAR(10)&amp;CHAR(10)&amp;"رابط التقرير: "&amp;J535,"")&amp;CHAR(10)&amp;CHAR(10)&amp;"إذا أحببت، يمكننا مساعدتك في فهم التقرير وتحديد أفضل خطوة تالية لعيادتكم.")</x:f>
      </x:c>
      <x:c r="L535" s="12" t="str">
        <x:f>IF(D535="","",HYPERLINK("https://wa.me/"&amp;REGEXREPLACE(D535,"[^\d]","")&amp;"?text="&amp;ENCODEURL(K535),"واتساب 1"))</x:f>
      </x:c>
      <x:c r="M535" s="12" t="str">
        <x:f>IF(A535="","","مرحبًا "&amp;C535&amp;CHAR(10)&amp;CHAR(10)&amp;"بناءً على نتيجة تقييم عيادة "&amp;B535&amp;"، فإن الترشيح الأقوى لكم الآن هو: "&amp;G535&amp;"."&amp;CHAR(10)&amp;"هذا الخيار يساعدكم في معالجة أكبر فجوة حالية بشكل عملي ومباشر."&amp;IF(J535&lt;&gt;"",CHAR(10)&amp;CHAR(10)&amp;"رابط التقرير: "&amp;J535,"")&amp;CHAR(10)&amp;CHAR(10)&amp;"إذا رغبت، يمكننا توضيح لماذا هذا الكورس هو الأنسب لكم الآن.")</x:f>
      </x:c>
      <x:c r="N535" s="12" t="str">
        <x:f>IF(D535="","",HYPERLINK("https://wa.me/"&amp;REGEXREPLACE(D535,"[^\d]","")&amp;"?text="&amp;ENCODEURL(M535),"واتساب 2"))</x:f>
      </x:c>
      <x:c r="O535" s="12" t="str">
        <x:f>IF(A535="","","مرحبًا "&amp;C535&amp;CHAR(10)&amp;CHAR(10)&amp;"إذا كانت التحديات لديكم تحتاج حلًا أشمل، فالبرنامج الكامل المناسب لكم هو: "&amp;H535&amp;"."&amp;IF(I535&lt;&gt;"",CHAR(10)&amp;"كما يمكنكم أيضًا حجز: "&amp;I535&amp;".","")&amp;IF(J535&lt;&gt;"",CHAR(10)&amp;CHAR(10)&amp;"رابط التقرير: "&amp;J535,"")&amp;CHAR(10)&amp;CHAR(10)&amp;"يسعدنا مساعدتكم في اختيار المسار الأنسب حسب وضع العيادة الحالي.")</x:f>
      </x:c>
      <x:c r="P535" s="12" t="str">
        <x:f>IF(D535="","",HYPERLINK("https://wa.me/"&amp;REGEXREPLACE(D535,"[^\d]","")&amp;"?text="&amp;ENCODEURL(O535),"واتساب 3"))</x:f>
      </x:c>
    </x:row>
    <x:row r="536" ht="15" hidden="0" customHeight="1">
      <x:c r="A536" s="12" t="str">
        <x:f>IF(Leads!A536="","",Leads!A536)</x:f>
      </x:c>
      <x:c r="B536" s="12" t="str">
        <x:f>IF(Leads!F536="","",Leads!F536)</x:f>
      </x:c>
      <x:c r="C536" s="12" t="str">
        <x:f>IF(Leads!G536="","",Leads!G536)</x:f>
      </x:c>
      <x:c r="D536" s="12" t="str">
        <x:f>IF(Leads!O536="","",Leads!O536)</x:f>
      </x:c>
      <x:c r="E536" s="12" t="str">
        <x:f>IF(Leads!AV536="","",Leads!AV536)</x:f>
      </x:c>
      <x:c r="F536" s="12" t="str">
        <x:f>IF(Leads!AX536="","",Leads!AX536)</x:f>
      </x:c>
      <x:c r="G536" s="12" t="str">
        <x:f>IF(Leads!BC536="","",Leads!BC536)</x:f>
      </x:c>
      <x:c r="H536" s="12" t="str">
        <x:f>IF(Leads!BE536="","",Leads!BE536)</x:f>
      </x:c>
      <x:c r="I536" s="12" t="str">
        <x:f>IF(Leads!BG536="","",Leads!BG536)</x:f>
      </x:c>
      <x:c r="J536" s="12" t="str">
        <x:f>IF(Leads!BH536="","",Leads!BH536)</x:f>
      </x:c>
      <x:c r="K536" s="12" t="str">
        <x:f>IF(A536="","","مرحبًا "&amp;C536&amp;CHAR(10)&amp;CHAR(10)&amp;"شكرًا لإتمام تقييم DBD الخاص بعيادة "&amp;B536&amp;"."&amp;CHAR(10)&amp;"نتيجتكم الحالية: "&amp;E536&amp;"%."&amp;CHAR(10)&amp;"أولوية التحسين الأولى: "&amp;F536&amp;"."&amp;IF(J536&lt;&gt;"",CHAR(10)&amp;CHAR(10)&amp;"رابط التقرير: "&amp;J536,"")&amp;CHAR(10)&amp;CHAR(10)&amp;"إذا أحببت، يمكننا مساعدتك في فهم التقرير وتحديد أفضل خطوة تالية لعيادتكم.")</x:f>
      </x:c>
      <x:c r="L536" s="12" t="str">
        <x:f>IF(D536="","",HYPERLINK("https://wa.me/"&amp;REGEXREPLACE(D536,"[^\d]","")&amp;"?text="&amp;ENCODEURL(K536),"واتساب 1"))</x:f>
      </x:c>
      <x:c r="M536" s="12" t="str">
        <x:f>IF(A536="","","مرحبًا "&amp;C536&amp;CHAR(10)&amp;CHAR(10)&amp;"بناءً على نتيجة تقييم عيادة "&amp;B536&amp;"، فإن الترشيح الأقوى لكم الآن هو: "&amp;G536&amp;"."&amp;CHAR(10)&amp;"هذا الخيار يساعدكم في معالجة أكبر فجوة حالية بشكل عملي ومباشر."&amp;IF(J536&lt;&gt;"",CHAR(10)&amp;CHAR(10)&amp;"رابط التقرير: "&amp;J536,"")&amp;CHAR(10)&amp;CHAR(10)&amp;"إذا رغبت، يمكننا توضيح لماذا هذا الكورس هو الأنسب لكم الآن.")</x:f>
      </x:c>
      <x:c r="N536" s="12" t="str">
        <x:f>IF(D536="","",HYPERLINK("https://wa.me/"&amp;REGEXREPLACE(D536,"[^\d]","")&amp;"?text="&amp;ENCODEURL(M536),"واتساب 2"))</x:f>
      </x:c>
      <x:c r="O536" s="12" t="str">
        <x:f>IF(A536="","","مرحبًا "&amp;C536&amp;CHAR(10)&amp;CHAR(10)&amp;"إذا كانت التحديات لديكم تحتاج حلًا أشمل، فالبرنامج الكامل المناسب لكم هو: "&amp;H536&amp;"."&amp;IF(I536&lt;&gt;"",CHAR(10)&amp;"كما يمكنكم أيضًا حجز: "&amp;I536&amp;".","")&amp;IF(J536&lt;&gt;"",CHAR(10)&amp;CHAR(10)&amp;"رابط التقرير: "&amp;J536,"")&amp;CHAR(10)&amp;CHAR(10)&amp;"يسعدنا مساعدتكم في اختيار المسار الأنسب حسب وضع العيادة الحالي.")</x:f>
      </x:c>
      <x:c r="P536" s="12" t="str">
        <x:f>IF(D536="","",HYPERLINK("https://wa.me/"&amp;REGEXREPLACE(D536,"[^\d]","")&amp;"?text="&amp;ENCODEURL(O536),"واتساب 3"))</x:f>
      </x:c>
    </x:row>
    <x:row r="537" ht="15" hidden="0" customHeight="1">
      <x:c r="A537" s="12" t="str">
        <x:f>IF(Leads!A537="","",Leads!A537)</x:f>
      </x:c>
      <x:c r="B537" s="12" t="str">
        <x:f>IF(Leads!F537="","",Leads!F537)</x:f>
      </x:c>
      <x:c r="C537" s="12" t="str">
        <x:f>IF(Leads!G537="","",Leads!G537)</x:f>
      </x:c>
      <x:c r="D537" s="12" t="str">
        <x:f>IF(Leads!O537="","",Leads!O537)</x:f>
      </x:c>
      <x:c r="E537" s="12" t="str">
        <x:f>IF(Leads!AV537="","",Leads!AV537)</x:f>
      </x:c>
      <x:c r="F537" s="12" t="str">
        <x:f>IF(Leads!AX537="","",Leads!AX537)</x:f>
      </x:c>
      <x:c r="G537" s="12" t="str">
        <x:f>IF(Leads!BC537="","",Leads!BC537)</x:f>
      </x:c>
      <x:c r="H537" s="12" t="str">
        <x:f>IF(Leads!BE537="","",Leads!BE537)</x:f>
      </x:c>
      <x:c r="I537" s="12" t="str">
        <x:f>IF(Leads!BG537="","",Leads!BG537)</x:f>
      </x:c>
      <x:c r="J537" s="12" t="str">
        <x:f>IF(Leads!BH537="","",Leads!BH537)</x:f>
      </x:c>
      <x:c r="K537" s="12" t="str">
        <x:f>IF(A537="","","مرحبًا "&amp;C537&amp;CHAR(10)&amp;CHAR(10)&amp;"شكرًا لإتمام تقييم DBD الخاص بعيادة "&amp;B537&amp;"."&amp;CHAR(10)&amp;"نتيجتكم الحالية: "&amp;E537&amp;"%."&amp;CHAR(10)&amp;"أولوية التحسين الأولى: "&amp;F537&amp;"."&amp;IF(J537&lt;&gt;"",CHAR(10)&amp;CHAR(10)&amp;"رابط التقرير: "&amp;J537,"")&amp;CHAR(10)&amp;CHAR(10)&amp;"إذا أحببت، يمكننا مساعدتك في فهم التقرير وتحديد أفضل خطوة تالية لعيادتكم.")</x:f>
      </x:c>
      <x:c r="L537" s="12" t="str">
        <x:f>IF(D537="","",HYPERLINK("https://wa.me/"&amp;REGEXREPLACE(D537,"[^\d]","")&amp;"?text="&amp;ENCODEURL(K537),"واتساب 1"))</x:f>
      </x:c>
      <x:c r="M537" s="12" t="str">
        <x:f>IF(A537="","","مرحبًا "&amp;C537&amp;CHAR(10)&amp;CHAR(10)&amp;"بناءً على نتيجة تقييم عيادة "&amp;B537&amp;"، فإن الترشيح الأقوى لكم الآن هو: "&amp;G537&amp;"."&amp;CHAR(10)&amp;"هذا الخيار يساعدكم في معالجة أكبر فجوة حالية بشكل عملي ومباشر."&amp;IF(J537&lt;&gt;"",CHAR(10)&amp;CHAR(10)&amp;"رابط التقرير: "&amp;J537,"")&amp;CHAR(10)&amp;CHAR(10)&amp;"إذا رغبت، يمكننا توضيح لماذا هذا الكورس هو الأنسب لكم الآن.")</x:f>
      </x:c>
      <x:c r="N537" s="12" t="str">
        <x:f>IF(D537="","",HYPERLINK("https://wa.me/"&amp;REGEXREPLACE(D537,"[^\d]","")&amp;"?text="&amp;ENCODEURL(M537),"واتساب 2"))</x:f>
      </x:c>
      <x:c r="O537" s="12" t="str">
        <x:f>IF(A537="","","مرحبًا "&amp;C537&amp;CHAR(10)&amp;CHAR(10)&amp;"إذا كانت التحديات لديكم تحتاج حلًا أشمل، فالبرنامج الكامل المناسب لكم هو: "&amp;H537&amp;"."&amp;IF(I537&lt;&gt;"",CHAR(10)&amp;"كما يمكنكم أيضًا حجز: "&amp;I537&amp;".","")&amp;IF(J537&lt;&gt;"",CHAR(10)&amp;CHAR(10)&amp;"رابط التقرير: "&amp;J537,"")&amp;CHAR(10)&amp;CHAR(10)&amp;"يسعدنا مساعدتكم في اختيار المسار الأنسب حسب وضع العيادة الحالي.")</x:f>
      </x:c>
      <x:c r="P537" s="12" t="str">
        <x:f>IF(D537="","",HYPERLINK("https://wa.me/"&amp;REGEXREPLACE(D537,"[^\d]","")&amp;"?text="&amp;ENCODEURL(O537),"واتساب 3"))</x:f>
      </x:c>
    </x:row>
    <x:row r="538" ht="15" hidden="0" customHeight="1">
      <x:c r="A538" s="12" t="str">
        <x:f>IF(Leads!A538="","",Leads!A538)</x:f>
      </x:c>
      <x:c r="B538" s="12" t="str">
        <x:f>IF(Leads!F538="","",Leads!F538)</x:f>
      </x:c>
      <x:c r="C538" s="12" t="str">
        <x:f>IF(Leads!G538="","",Leads!G538)</x:f>
      </x:c>
      <x:c r="D538" s="12" t="str">
        <x:f>IF(Leads!O538="","",Leads!O538)</x:f>
      </x:c>
      <x:c r="E538" s="12" t="str">
        <x:f>IF(Leads!AV538="","",Leads!AV538)</x:f>
      </x:c>
      <x:c r="F538" s="12" t="str">
        <x:f>IF(Leads!AX538="","",Leads!AX538)</x:f>
      </x:c>
      <x:c r="G538" s="12" t="str">
        <x:f>IF(Leads!BC538="","",Leads!BC538)</x:f>
      </x:c>
      <x:c r="H538" s="12" t="str">
        <x:f>IF(Leads!BE538="","",Leads!BE538)</x:f>
      </x:c>
      <x:c r="I538" s="12" t="str">
        <x:f>IF(Leads!BG538="","",Leads!BG538)</x:f>
      </x:c>
      <x:c r="J538" s="12" t="str">
        <x:f>IF(Leads!BH538="","",Leads!BH538)</x:f>
      </x:c>
      <x:c r="K538" s="12" t="str">
        <x:f>IF(A538="","","مرحبًا "&amp;C538&amp;CHAR(10)&amp;CHAR(10)&amp;"شكرًا لإتمام تقييم DBD الخاص بعيادة "&amp;B538&amp;"."&amp;CHAR(10)&amp;"نتيجتكم الحالية: "&amp;E538&amp;"%."&amp;CHAR(10)&amp;"أولوية التحسين الأولى: "&amp;F538&amp;"."&amp;IF(J538&lt;&gt;"",CHAR(10)&amp;CHAR(10)&amp;"رابط التقرير: "&amp;J538,"")&amp;CHAR(10)&amp;CHAR(10)&amp;"إذا أحببت، يمكننا مساعدتك في فهم التقرير وتحديد أفضل خطوة تالية لعيادتكم.")</x:f>
      </x:c>
      <x:c r="L538" s="12" t="str">
        <x:f>IF(D538="","",HYPERLINK("https://wa.me/"&amp;REGEXREPLACE(D538,"[^\d]","")&amp;"?text="&amp;ENCODEURL(K538),"واتساب 1"))</x:f>
      </x:c>
      <x:c r="M538" s="12" t="str">
        <x:f>IF(A538="","","مرحبًا "&amp;C538&amp;CHAR(10)&amp;CHAR(10)&amp;"بناءً على نتيجة تقييم عيادة "&amp;B538&amp;"، فإن الترشيح الأقوى لكم الآن هو: "&amp;G538&amp;"."&amp;CHAR(10)&amp;"هذا الخيار يساعدكم في معالجة أكبر فجوة حالية بشكل عملي ومباشر."&amp;IF(J538&lt;&gt;"",CHAR(10)&amp;CHAR(10)&amp;"رابط التقرير: "&amp;J538,"")&amp;CHAR(10)&amp;CHAR(10)&amp;"إذا رغبت، يمكننا توضيح لماذا هذا الكورس هو الأنسب لكم الآن.")</x:f>
      </x:c>
      <x:c r="N538" s="12" t="str">
        <x:f>IF(D538="","",HYPERLINK("https://wa.me/"&amp;REGEXREPLACE(D538,"[^\d]","")&amp;"?text="&amp;ENCODEURL(M538),"واتساب 2"))</x:f>
      </x:c>
      <x:c r="O538" s="12" t="str">
        <x:f>IF(A538="","","مرحبًا "&amp;C538&amp;CHAR(10)&amp;CHAR(10)&amp;"إذا كانت التحديات لديكم تحتاج حلًا أشمل، فالبرنامج الكامل المناسب لكم هو: "&amp;H538&amp;"."&amp;IF(I538&lt;&gt;"",CHAR(10)&amp;"كما يمكنكم أيضًا حجز: "&amp;I538&amp;".","")&amp;IF(J538&lt;&gt;"",CHAR(10)&amp;CHAR(10)&amp;"رابط التقرير: "&amp;J538,"")&amp;CHAR(10)&amp;CHAR(10)&amp;"يسعدنا مساعدتكم في اختيار المسار الأنسب حسب وضع العيادة الحالي.")</x:f>
      </x:c>
      <x:c r="P538" s="12" t="str">
        <x:f>IF(D538="","",HYPERLINK("https://wa.me/"&amp;REGEXREPLACE(D538,"[^\d]","")&amp;"?text="&amp;ENCODEURL(O538),"واتساب 3"))</x:f>
      </x:c>
    </x:row>
    <x:row r="539" ht="15" hidden="0" customHeight="1">
      <x:c r="A539" s="12" t="str">
        <x:f>IF(Leads!A539="","",Leads!A539)</x:f>
      </x:c>
      <x:c r="B539" s="12" t="str">
        <x:f>IF(Leads!F539="","",Leads!F539)</x:f>
      </x:c>
      <x:c r="C539" s="12" t="str">
        <x:f>IF(Leads!G539="","",Leads!G539)</x:f>
      </x:c>
      <x:c r="D539" s="12" t="str">
        <x:f>IF(Leads!O539="","",Leads!O539)</x:f>
      </x:c>
      <x:c r="E539" s="12" t="str">
        <x:f>IF(Leads!AV539="","",Leads!AV539)</x:f>
      </x:c>
      <x:c r="F539" s="12" t="str">
        <x:f>IF(Leads!AX539="","",Leads!AX539)</x:f>
      </x:c>
      <x:c r="G539" s="12" t="str">
        <x:f>IF(Leads!BC539="","",Leads!BC539)</x:f>
      </x:c>
      <x:c r="H539" s="12" t="str">
        <x:f>IF(Leads!BE539="","",Leads!BE539)</x:f>
      </x:c>
      <x:c r="I539" s="12" t="str">
        <x:f>IF(Leads!BG539="","",Leads!BG539)</x:f>
      </x:c>
      <x:c r="J539" s="12" t="str">
        <x:f>IF(Leads!BH539="","",Leads!BH539)</x:f>
      </x:c>
      <x:c r="K539" s="12" t="str">
        <x:f>IF(A539="","","مرحبًا "&amp;C539&amp;CHAR(10)&amp;CHAR(10)&amp;"شكرًا لإتمام تقييم DBD الخاص بعيادة "&amp;B539&amp;"."&amp;CHAR(10)&amp;"نتيجتكم الحالية: "&amp;E539&amp;"%."&amp;CHAR(10)&amp;"أولوية التحسين الأولى: "&amp;F539&amp;"."&amp;IF(J539&lt;&gt;"",CHAR(10)&amp;CHAR(10)&amp;"رابط التقرير: "&amp;J539,"")&amp;CHAR(10)&amp;CHAR(10)&amp;"إذا أحببت، يمكننا مساعدتك في فهم التقرير وتحديد أفضل خطوة تالية لعيادتكم.")</x:f>
      </x:c>
      <x:c r="L539" s="12" t="str">
        <x:f>IF(D539="","",HYPERLINK("https://wa.me/"&amp;REGEXREPLACE(D539,"[^\d]","")&amp;"?text="&amp;ENCODEURL(K539),"واتساب 1"))</x:f>
      </x:c>
      <x:c r="M539" s="12" t="str">
        <x:f>IF(A539="","","مرحبًا "&amp;C539&amp;CHAR(10)&amp;CHAR(10)&amp;"بناءً على نتيجة تقييم عيادة "&amp;B539&amp;"، فإن الترشيح الأقوى لكم الآن هو: "&amp;G539&amp;"."&amp;CHAR(10)&amp;"هذا الخيار يساعدكم في معالجة أكبر فجوة حالية بشكل عملي ومباشر."&amp;IF(J539&lt;&gt;"",CHAR(10)&amp;CHAR(10)&amp;"رابط التقرير: "&amp;J539,"")&amp;CHAR(10)&amp;CHAR(10)&amp;"إذا رغبت، يمكننا توضيح لماذا هذا الكورس هو الأنسب لكم الآن.")</x:f>
      </x:c>
      <x:c r="N539" s="12" t="str">
        <x:f>IF(D539="","",HYPERLINK("https://wa.me/"&amp;REGEXREPLACE(D539,"[^\d]","")&amp;"?text="&amp;ENCODEURL(M539),"واتساب 2"))</x:f>
      </x:c>
      <x:c r="O539" s="12" t="str">
        <x:f>IF(A539="","","مرحبًا "&amp;C539&amp;CHAR(10)&amp;CHAR(10)&amp;"إذا كانت التحديات لديكم تحتاج حلًا أشمل، فالبرنامج الكامل المناسب لكم هو: "&amp;H539&amp;"."&amp;IF(I539&lt;&gt;"",CHAR(10)&amp;"كما يمكنكم أيضًا حجز: "&amp;I539&amp;".","")&amp;IF(J539&lt;&gt;"",CHAR(10)&amp;CHAR(10)&amp;"رابط التقرير: "&amp;J539,"")&amp;CHAR(10)&amp;CHAR(10)&amp;"يسعدنا مساعدتكم في اختيار المسار الأنسب حسب وضع العيادة الحالي.")</x:f>
      </x:c>
      <x:c r="P539" s="12" t="str">
        <x:f>IF(D539="","",HYPERLINK("https://wa.me/"&amp;REGEXREPLACE(D539,"[^\d]","")&amp;"?text="&amp;ENCODEURL(O539),"واتساب 3"))</x:f>
      </x:c>
    </x:row>
    <x:row r="540" ht="15" hidden="0" customHeight="1">
      <x:c r="A540" s="12" t="str">
        <x:f>IF(Leads!A540="","",Leads!A540)</x:f>
      </x:c>
      <x:c r="B540" s="12" t="str">
        <x:f>IF(Leads!F540="","",Leads!F540)</x:f>
      </x:c>
      <x:c r="C540" s="12" t="str">
        <x:f>IF(Leads!G540="","",Leads!G540)</x:f>
      </x:c>
      <x:c r="D540" s="12" t="str">
        <x:f>IF(Leads!O540="","",Leads!O540)</x:f>
      </x:c>
      <x:c r="E540" s="12" t="str">
        <x:f>IF(Leads!AV540="","",Leads!AV540)</x:f>
      </x:c>
      <x:c r="F540" s="12" t="str">
        <x:f>IF(Leads!AX540="","",Leads!AX540)</x:f>
      </x:c>
      <x:c r="G540" s="12" t="str">
        <x:f>IF(Leads!BC540="","",Leads!BC540)</x:f>
      </x:c>
      <x:c r="H540" s="12" t="str">
        <x:f>IF(Leads!BE540="","",Leads!BE540)</x:f>
      </x:c>
      <x:c r="I540" s="12" t="str">
        <x:f>IF(Leads!BG540="","",Leads!BG540)</x:f>
      </x:c>
      <x:c r="J540" s="12" t="str">
        <x:f>IF(Leads!BH540="","",Leads!BH540)</x:f>
      </x:c>
      <x:c r="K540" s="12" t="str">
        <x:f>IF(A540="","","مرحبًا "&amp;C540&amp;CHAR(10)&amp;CHAR(10)&amp;"شكرًا لإتمام تقييم DBD الخاص بعيادة "&amp;B540&amp;"."&amp;CHAR(10)&amp;"نتيجتكم الحالية: "&amp;E540&amp;"%."&amp;CHAR(10)&amp;"أولوية التحسين الأولى: "&amp;F540&amp;"."&amp;IF(J540&lt;&gt;"",CHAR(10)&amp;CHAR(10)&amp;"رابط التقرير: "&amp;J540,"")&amp;CHAR(10)&amp;CHAR(10)&amp;"إذا أحببت، يمكننا مساعدتك في فهم التقرير وتحديد أفضل خطوة تالية لعيادتكم.")</x:f>
      </x:c>
      <x:c r="L540" s="12" t="str">
        <x:f>IF(D540="","",HYPERLINK("https://wa.me/"&amp;REGEXREPLACE(D540,"[^\d]","")&amp;"?text="&amp;ENCODEURL(K540),"واتساب 1"))</x:f>
      </x:c>
      <x:c r="M540" s="12" t="str">
        <x:f>IF(A540="","","مرحبًا "&amp;C540&amp;CHAR(10)&amp;CHAR(10)&amp;"بناءً على نتيجة تقييم عيادة "&amp;B540&amp;"، فإن الترشيح الأقوى لكم الآن هو: "&amp;G540&amp;"."&amp;CHAR(10)&amp;"هذا الخيار يساعدكم في معالجة أكبر فجوة حالية بشكل عملي ومباشر."&amp;IF(J540&lt;&gt;"",CHAR(10)&amp;CHAR(10)&amp;"رابط التقرير: "&amp;J540,"")&amp;CHAR(10)&amp;CHAR(10)&amp;"إذا رغبت، يمكننا توضيح لماذا هذا الكورس هو الأنسب لكم الآن.")</x:f>
      </x:c>
      <x:c r="N540" s="12" t="str">
        <x:f>IF(D540="","",HYPERLINK("https://wa.me/"&amp;REGEXREPLACE(D540,"[^\d]","")&amp;"?text="&amp;ENCODEURL(M540),"واتساب 2"))</x:f>
      </x:c>
      <x:c r="O540" s="12" t="str">
        <x:f>IF(A540="","","مرحبًا "&amp;C540&amp;CHAR(10)&amp;CHAR(10)&amp;"إذا كانت التحديات لديكم تحتاج حلًا أشمل، فالبرنامج الكامل المناسب لكم هو: "&amp;H540&amp;"."&amp;IF(I540&lt;&gt;"",CHAR(10)&amp;"كما يمكنكم أيضًا حجز: "&amp;I540&amp;".","")&amp;IF(J540&lt;&gt;"",CHAR(10)&amp;CHAR(10)&amp;"رابط التقرير: "&amp;J540,"")&amp;CHAR(10)&amp;CHAR(10)&amp;"يسعدنا مساعدتكم في اختيار المسار الأنسب حسب وضع العيادة الحالي.")</x:f>
      </x:c>
      <x:c r="P540" s="12" t="str">
        <x:f>IF(D540="","",HYPERLINK("https://wa.me/"&amp;REGEXREPLACE(D540,"[^\d]","")&amp;"?text="&amp;ENCODEURL(O540),"واتساب 3"))</x:f>
      </x:c>
    </x:row>
    <x:row r="541" ht="15" hidden="0" customHeight="1">
      <x:c r="A541" s="12" t="str">
        <x:f>IF(Leads!A541="","",Leads!A541)</x:f>
      </x:c>
      <x:c r="B541" s="12" t="str">
        <x:f>IF(Leads!F541="","",Leads!F541)</x:f>
      </x:c>
      <x:c r="C541" s="12" t="str">
        <x:f>IF(Leads!G541="","",Leads!G541)</x:f>
      </x:c>
      <x:c r="D541" s="12" t="str">
        <x:f>IF(Leads!O541="","",Leads!O541)</x:f>
      </x:c>
      <x:c r="E541" s="12" t="str">
        <x:f>IF(Leads!AV541="","",Leads!AV541)</x:f>
      </x:c>
      <x:c r="F541" s="12" t="str">
        <x:f>IF(Leads!AX541="","",Leads!AX541)</x:f>
      </x:c>
      <x:c r="G541" s="12" t="str">
        <x:f>IF(Leads!BC541="","",Leads!BC541)</x:f>
      </x:c>
      <x:c r="H541" s="12" t="str">
        <x:f>IF(Leads!BE541="","",Leads!BE541)</x:f>
      </x:c>
      <x:c r="I541" s="12" t="str">
        <x:f>IF(Leads!BG541="","",Leads!BG541)</x:f>
      </x:c>
      <x:c r="J541" s="12" t="str">
        <x:f>IF(Leads!BH541="","",Leads!BH541)</x:f>
      </x:c>
      <x:c r="K541" s="12" t="str">
        <x:f>IF(A541="","","مرحبًا "&amp;C541&amp;CHAR(10)&amp;CHAR(10)&amp;"شكرًا لإتمام تقييم DBD الخاص بعيادة "&amp;B541&amp;"."&amp;CHAR(10)&amp;"نتيجتكم الحالية: "&amp;E541&amp;"%."&amp;CHAR(10)&amp;"أولوية التحسين الأولى: "&amp;F541&amp;"."&amp;IF(J541&lt;&gt;"",CHAR(10)&amp;CHAR(10)&amp;"رابط التقرير: "&amp;J541,"")&amp;CHAR(10)&amp;CHAR(10)&amp;"إذا أحببت، يمكننا مساعدتك في فهم التقرير وتحديد أفضل خطوة تالية لعيادتكم.")</x:f>
      </x:c>
      <x:c r="L541" s="12" t="str">
        <x:f>IF(D541="","",HYPERLINK("https://wa.me/"&amp;REGEXREPLACE(D541,"[^\d]","")&amp;"?text="&amp;ENCODEURL(K541),"واتساب 1"))</x:f>
      </x:c>
      <x:c r="M541" s="12" t="str">
        <x:f>IF(A541="","","مرحبًا "&amp;C541&amp;CHAR(10)&amp;CHAR(10)&amp;"بناءً على نتيجة تقييم عيادة "&amp;B541&amp;"، فإن الترشيح الأقوى لكم الآن هو: "&amp;G541&amp;"."&amp;CHAR(10)&amp;"هذا الخيار يساعدكم في معالجة أكبر فجوة حالية بشكل عملي ومباشر."&amp;IF(J541&lt;&gt;"",CHAR(10)&amp;CHAR(10)&amp;"رابط التقرير: "&amp;J541,"")&amp;CHAR(10)&amp;CHAR(10)&amp;"إذا رغبت، يمكننا توضيح لماذا هذا الكورس هو الأنسب لكم الآن.")</x:f>
      </x:c>
      <x:c r="N541" s="12" t="str">
        <x:f>IF(D541="","",HYPERLINK("https://wa.me/"&amp;REGEXREPLACE(D541,"[^\d]","")&amp;"?text="&amp;ENCODEURL(M541),"واتساب 2"))</x:f>
      </x:c>
      <x:c r="O541" s="12" t="str">
        <x:f>IF(A541="","","مرحبًا "&amp;C541&amp;CHAR(10)&amp;CHAR(10)&amp;"إذا كانت التحديات لديكم تحتاج حلًا أشمل، فالبرنامج الكامل المناسب لكم هو: "&amp;H541&amp;"."&amp;IF(I541&lt;&gt;"",CHAR(10)&amp;"كما يمكنكم أيضًا حجز: "&amp;I541&amp;".","")&amp;IF(J541&lt;&gt;"",CHAR(10)&amp;CHAR(10)&amp;"رابط التقرير: "&amp;J541,"")&amp;CHAR(10)&amp;CHAR(10)&amp;"يسعدنا مساعدتكم في اختيار المسار الأنسب حسب وضع العيادة الحالي.")</x:f>
      </x:c>
      <x:c r="P541" s="12" t="str">
        <x:f>IF(D541="","",HYPERLINK("https://wa.me/"&amp;REGEXREPLACE(D541,"[^\d]","")&amp;"?text="&amp;ENCODEURL(O541),"واتساب 3"))</x:f>
      </x:c>
    </x:row>
    <x:row r="542" ht="15" hidden="0" customHeight="1">
      <x:c r="A542" s="12" t="str">
        <x:f>IF(Leads!A542="","",Leads!A542)</x:f>
      </x:c>
      <x:c r="B542" s="12" t="str">
        <x:f>IF(Leads!F542="","",Leads!F542)</x:f>
      </x:c>
      <x:c r="C542" s="12" t="str">
        <x:f>IF(Leads!G542="","",Leads!G542)</x:f>
      </x:c>
      <x:c r="D542" s="12" t="str">
        <x:f>IF(Leads!O542="","",Leads!O542)</x:f>
      </x:c>
      <x:c r="E542" s="12" t="str">
        <x:f>IF(Leads!AV542="","",Leads!AV542)</x:f>
      </x:c>
      <x:c r="F542" s="12" t="str">
        <x:f>IF(Leads!AX542="","",Leads!AX542)</x:f>
      </x:c>
      <x:c r="G542" s="12" t="str">
        <x:f>IF(Leads!BC542="","",Leads!BC542)</x:f>
      </x:c>
      <x:c r="H542" s="12" t="str">
        <x:f>IF(Leads!BE542="","",Leads!BE542)</x:f>
      </x:c>
      <x:c r="I542" s="12" t="str">
        <x:f>IF(Leads!BG542="","",Leads!BG542)</x:f>
      </x:c>
      <x:c r="J542" s="12" t="str">
        <x:f>IF(Leads!BH542="","",Leads!BH542)</x:f>
      </x:c>
      <x:c r="K542" s="12" t="str">
        <x:f>IF(A542="","","مرحبًا "&amp;C542&amp;CHAR(10)&amp;CHAR(10)&amp;"شكرًا لإتمام تقييم DBD الخاص بعيادة "&amp;B542&amp;"."&amp;CHAR(10)&amp;"نتيجتكم الحالية: "&amp;E542&amp;"%."&amp;CHAR(10)&amp;"أولوية التحسين الأولى: "&amp;F542&amp;"."&amp;IF(J542&lt;&gt;"",CHAR(10)&amp;CHAR(10)&amp;"رابط التقرير: "&amp;J542,"")&amp;CHAR(10)&amp;CHAR(10)&amp;"إذا أحببت، يمكننا مساعدتك في فهم التقرير وتحديد أفضل خطوة تالية لعيادتكم.")</x:f>
      </x:c>
      <x:c r="L542" s="12" t="str">
        <x:f>IF(D542="","",HYPERLINK("https://wa.me/"&amp;REGEXREPLACE(D542,"[^\d]","")&amp;"?text="&amp;ENCODEURL(K542),"واتساب 1"))</x:f>
      </x:c>
      <x:c r="M542" s="12" t="str">
        <x:f>IF(A542="","","مرحبًا "&amp;C542&amp;CHAR(10)&amp;CHAR(10)&amp;"بناءً على نتيجة تقييم عيادة "&amp;B542&amp;"، فإن الترشيح الأقوى لكم الآن هو: "&amp;G542&amp;"."&amp;CHAR(10)&amp;"هذا الخيار يساعدكم في معالجة أكبر فجوة حالية بشكل عملي ومباشر."&amp;IF(J542&lt;&gt;"",CHAR(10)&amp;CHAR(10)&amp;"رابط التقرير: "&amp;J542,"")&amp;CHAR(10)&amp;CHAR(10)&amp;"إذا رغبت، يمكننا توضيح لماذا هذا الكورس هو الأنسب لكم الآن.")</x:f>
      </x:c>
      <x:c r="N542" s="12" t="str">
        <x:f>IF(D542="","",HYPERLINK("https://wa.me/"&amp;REGEXREPLACE(D542,"[^\d]","")&amp;"?text="&amp;ENCODEURL(M542),"واتساب 2"))</x:f>
      </x:c>
      <x:c r="O542" s="12" t="str">
        <x:f>IF(A542="","","مرحبًا "&amp;C542&amp;CHAR(10)&amp;CHAR(10)&amp;"إذا كانت التحديات لديكم تحتاج حلًا أشمل، فالبرنامج الكامل المناسب لكم هو: "&amp;H542&amp;"."&amp;IF(I542&lt;&gt;"",CHAR(10)&amp;"كما يمكنكم أيضًا حجز: "&amp;I542&amp;".","")&amp;IF(J542&lt;&gt;"",CHAR(10)&amp;CHAR(10)&amp;"رابط التقرير: "&amp;J542,"")&amp;CHAR(10)&amp;CHAR(10)&amp;"يسعدنا مساعدتكم في اختيار المسار الأنسب حسب وضع العيادة الحالي.")</x:f>
      </x:c>
      <x:c r="P542" s="12" t="str">
        <x:f>IF(D542="","",HYPERLINK("https://wa.me/"&amp;REGEXREPLACE(D542,"[^\d]","")&amp;"?text="&amp;ENCODEURL(O542),"واتساب 3"))</x:f>
      </x:c>
    </x:row>
    <x:row r="543" ht="15" hidden="0" customHeight="1">
      <x:c r="A543" s="12" t="str">
        <x:f>IF(Leads!A543="","",Leads!A543)</x:f>
      </x:c>
      <x:c r="B543" s="12" t="str">
        <x:f>IF(Leads!F543="","",Leads!F543)</x:f>
      </x:c>
      <x:c r="C543" s="12" t="str">
        <x:f>IF(Leads!G543="","",Leads!G543)</x:f>
      </x:c>
      <x:c r="D543" s="12" t="str">
        <x:f>IF(Leads!O543="","",Leads!O543)</x:f>
      </x:c>
      <x:c r="E543" s="12" t="str">
        <x:f>IF(Leads!AV543="","",Leads!AV543)</x:f>
      </x:c>
      <x:c r="F543" s="12" t="str">
        <x:f>IF(Leads!AX543="","",Leads!AX543)</x:f>
      </x:c>
      <x:c r="G543" s="12" t="str">
        <x:f>IF(Leads!BC543="","",Leads!BC543)</x:f>
      </x:c>
      <x:c r="H543" s="12" t="str">
        <x:f>IF(Leads!BE543="","",Leads!BE543)</x:f>
      </x:c>
      <x:c r="I543" s="12" t="str">
        <x:f>IF(Leads!BG543="","",Leads!BG543)</x:f>
      </x:c>
      <x:c r="J543" s="12" t="str">
        <x:f>IF(Leads!BH543="","",Leads!BH543)</x:f>
      </x:c>
      <x:c r="K543" s="12" t="str">
        <x:f>IF(A543="","","مرحبًا "&amp;C543&amp;CHAR(10)&amp;CHAR(10)&amp;"شكرًا لإتمام تقييم DBD الخاص بعيادة "&amp;B543&amp;"."&amp;CHAR(10)&amp;"نتيجتكم الحالية: "&amp;E543&amp;"%."&amp;CHAR(10)&amp;"أولوية التحسين الأولى: "&amp;F543&amp;"."&amp;IF(J543&lt;&gt;"",CHAR(10)&amp;CHAR(10)&amp;"رابط التقرير: "&amp;J543,"")&amp;CHAR(10)&amp;CHAR(10)&amp;"إذا أحببت، يمكننا مساعدتك في فهم التقرير وتحديد أفضل خطوة تالية لعيادتكم.")</x:f>
      </x:c>
      <x:c r="L543" s="12" t="str">
        <x:f>IF(D543="","",HYPERLINK("https://wa.me/"&amp;REGEXREPLACE(D543,"[^\d]","")&amp;"?text="&amp;ENCODEURL(K543),"واتساب 1"))</x:f>
      </x:c>
      <x:c r="M543" s="12" t="str">
        <x:f>IF(A543="","","مرحبًا "&amp;C543&amp;CHAR(10)&amp;CHAR(10)&amp;"بناءً على نتيجة تقييم عيادة "&amp;B543&amp;"، فإن الترشيح الأقوى لكم الآن هو: "&amp;G543&amp;"."&amp;CHAR(10)&amp;"هذا الخيار يساعدكم في معالجة أكبر فجوة حالية بشكل عملي ومباشر."&amp;IF(J543&lt;&gt;"",CHAR(10)&amp;CHAR(10)&amp;"رابط التقرير: "&amp;J543,"")&amp;CHAR(10)&amp;CHAR(10)&amp;"إذا رغبت، يمكننا توضيح لماذا هذا الكورس هو الأنسب لكم الآن.")</x:f>
      </x:c>
      <x:c r="N543" s="12" t="str">
        <x:f>IF(D543="","",HYPERLINK("https://wa.me/"&amp;REGEXREPLACE(D543,"[^\d]","")&amp;"?text="&amp;ENCODEURL(M543),"واتساب 2"))</x:f>
      </x:c>
      <x:c r="O543" s="12" t="str">
        <x:f>IF(A543="","","مرحبًا "&amp;C543&amp;CHAR(10)&amp;CHAR(10)&amp;"إذا كانت التحديات لديكم تحتاج حلًا أشمل، فالبرنامج الكامل المناسب لكم هو: "&amp;H543&amp;"."&amp;IF(I543&lt;&gt;"",CHAR(10)&amp;"كما يمكنكم أيضًا حجز: "&amp;I543&amp;".","")&amp;IF(J543&lt;&gt;"",CHAR(10)&amp;CHAR(10)&amp;"رابط التقرير: "&amp;J543,"")&amp;CHAR(10)&amp;CHAR(10)&amp;"يسعدنا مساعدتكم في اختيار المسار الأنسب حسب وضع العيادة الحالي.")</x:f>
      </x:c>
      <x:c r="P543" s="12" t="str">
        <x:f>IF(D543="","",HYPERLINK("https://wa.me/"&amp;REGEXREPLACE(D543,"[^\d]","")&amp;"?text="&amp;ENCODEURL(O543),"واتساب 3"))</x:f>
      </x:c>
    </x:row>
    <x:row r="544" ht="15" hidden="0" customHeight="1">
      <x:c r="A544" s="12" t="str">
        <x:f>IF(Leads!A544="","",Leads!A544)</x:f>
      </x:c>
      <x:c r="B544" s="12" t="str">
        <x:f>IF(Leads!F544="","",Leads!F544)</x:f>
      </x:c>
      <x:c r="C544" s="12" t="str">
        <x:f>IF(Leads!G544="","",Leads!G544)</x:f>
      </x:c>
      <x:c r="D544" s="12" t="str">
        <x:f>IF(Leads!O544="","",Leads!O544)</x:f>
      </x:c>
      <x:c r="E544" s="12" t="str">
        <x:f>IF(Leads!AV544="","",Leads!AV544)</x:f>
      </x:c>
      <x:c r="F544" s="12" t="str">
        <x:f>IF(Leads!AX544="","",Leads!AX544)</x:f>
      </x:c>
      <x:c r="G544" s="12" t="str">
        <x:f>IF(Leads!BC544="","",Leads!BC544)</x:f>
      </x:c>
      <x:c r="H544" s="12" t="str">
        <x:f>IF(Leads!BE544="","",Leads!BE544)</x:f>
      </x:c>
      <x:c r="I544" s="12" t="str">
        <x:f>IF(Leads!BG544="","",Leads!BG544)</x:f>
      </x:c>
      <x:c r="J544" s="12" t="str">
        <x:f>IF(Leads!BH544="","",Leads!BH544)</x:f>
      </x:c>
      <x:c r="K544" s="12" t="str">
        <x:f>IF(A544="","","مرحبًا "&amp;C544&amp;CHAR(10)&amp;CHAR(10)&amp;"شكرًا لإتمام تقييم DBD الخاص بعيادة "&amp;B544&amp;"."&amp;CHAR(10)&amp;"نتيجتكم الحالية: "&amp;E544&amp;"%."&amp;CHAR(10)&amp;"أولوية التحسين الأولى: "&amp;F544&amp;"."&amp;IF(J544&lt;&gt;"",CHAR(10)&amp;CHAR(10)&amp;"رابط التقرير: "&amp;J544,"")&amp;CHAR(10)&amp;CHAR(10)&amp;"إذا أحببت، يمكننا مساعدتك في فهم التقرير وتحديد أفضل خطوة تالية لعيادتكم.")</x:f>
      </x:c>
      <x:c r="L544" s="12" t="str">
        <x:f>IF(D544="","",HYPERLINK("https://wa.me/"&amp;REGEXREPLACE(D544,"[^\d]","")&amp;"?text="&amp;ENCODEURL(K544),"واتساب 1"))</x:f>
      </x:c>
      <x:c r="M544" s="12" t="str">
        <x:f>IF(A544="","","مرحبًا "&amp;C544&amp;CHAR(10)&amp;CHAR(10)&amp;"بناءً على نتيجة تقييم عيادة "&amp;B544&amp;"، فإن الترشيح الأقوى لكم الآن هو: "&amp;G544&amp;"."&amp;CHAR(10)&amp;"هذا الخيار يساعدكم في معالجة أكبر فجوة حالية بشكل عملي ومباشر."&amp;IF(J544&lt;&gt;"",CHAR(10)&amp;CHAR(10)&amp;"رابط التقرير: "&amp;J544,"")&amp;CHAR(10)&amp;CHAR(10)&amp;"إذا رغبت، يمكننا توضيح لماذا هذا الكورس هو الأنسب لكم الآن.")</x:f>
      </x:c>
      <x:c r="N544" s="12" t="str">
        <x:f>IF(D544="","",HYPERLINK("https://wa.me/"&amp;REGEXREPLACE(D544,"[^\d]","")&amp;"?text="&amp;ENCODEURL(M544),"واتساب 2"))</x:f>
      </x:c>
      <x:c r="O544" s="12" t="str">
        <x:f>IF(A544="","","مرحبًا "&amp;C544&amp;CHAR(10)&amp;CHAR(10)&amp;"إذا كانت التحديات لديكم تحتاج حلًا أشمل، فالبرنامج الكامل المناسب لكم هو: "&amp;H544&amp;"."&amp;IF(I544&lt;&gt;"",CHAR(10)&amp;"كما يمكنكم أيضًا حجز: "&amp;I544&amp;".","")&amp;IF(J544&lt;&gt;"",CHAR(10)&amp;CHAR(10)&amp;"رابط التقرير: "&amp;J544,"")&amp;CHAR(10)&amp;CHAR(10)&amp;"يسعدنا مساعدتكم في اختيار المسار الأنسب حسب وضع العيادة الحالي.")</x:f>
      </x:c>
      <x:c r="P544" s="12" t="str">
        <x:f>IF(D544="","",HYPERLINK("https://wa.me/"&amp;REGEXREPLACE(D544,"[^\d]","")&amp;"?text="&amp;ENCODEURL(O544),"واتساب 3"))</x:f>
      </x:c>
    </x:row>
    <x:row r="545" ht="15" hidden="0" customHeight="1">
      <x:c r="A545" s="12" t="str">
        <x:f>IF(Leads!A545="","",Leads!A545)</x:f>
      </x:c>
      <x:c r="B545" s="12" t="str">
        <x:f>IF(Leads!F545="","",Leads!F545)</x:f>
      </x:c>
      <x:c r="C545" s="12" t="str">
        <x:f>IF(Leads!G545="","",Leads!G545)</x:f>
      </x:c>
      <x:c r="D545" s="12" t="str">
        <x:f>IF(Leads!O545="","",Leads!O545)</x:f>
      </x:c>
      <x:c r="E545" s="12" t="str">
        <x:f>IF(Leads!AV545="","",Leads!AV545)</x:f>
      </x:c>
      <x:c r="F545" s="12" t="str">
        <x:f>IF(Leads!AX545="","",Leads!AX545)</x:f>
      </x:c>
      <x:c r="G545" s="12" t="str">
        <x:f>IF(Leads!BC545="","",Leads!BC545)</x:f>
      </x:c>
      <x:c r="H545" s="12" t="str">
        <x:f>IF(Leads!BE545="","",Leads!BE545)</x:f>
      </x:c>
      <x:c r="I545" s="12" t="str">
        <x:f>IF(Leads!BG545="","",Leads!BG545)</x:f>
      </x:c>
      <x:c r="J545" s="12" t="str">
        <x:f>IF(Leads!BH545="","",Leads!BH545)</x:f>
      </x:c>
      <x:c r="K545" s="12" t="str">
        <x:f>IF(A545="","","مرحبًا "&amp;C545&amp;CHAR(10)&amp;CHAR(10)&amp;"شكرًا لإتمام تقييم DBD الخاص بعيادة "&amp;B545&amp;"."&amp;CHAR(10)&amp;"نتيجتكم الحالية: "&amp;E545&amp;"%."&amp;CHAR(10)&amp;"أولوية التحسين الأولى: "&amp;F545&amp;"."&amp;IF(J545&lt;&gt;"",CHAR(10)&amp;CHAR(10)&amp;"رابط التقرير: "&amp;J545,"")&amp;CHAR(10)&amp;CHAR(10)&amp;"إذا أحببت، يمكننا مساعدتك في فهم التقرير وتحديد أفضل خطوة تالية لعيادتكم.")</x:f>
      </x:c>
      <x:c r="L545" s="12" t="str">
        <x:f>IF(D545="","",HYPERLINK("https://wa.me/"&amp;REGEXREPLACE(D545,"[^\d]","")&amp;"?text="&amp;ENCODEURL(K545),"واتساب 1"))</x:f>
      </x:c>
      <x:c r="M545" s="12" t="str">
        <x:f>IF(A545="","","مرحبًا "&amp;C545&amp;CHAR(10)&amp;CHAR(10)&amp;"بناءً على نتيجة تقييم عيادة "&amp;B545&amp;"، فإن الترشيح الأقوى لكم الآن هو: "&amp;G545&amp;"."&amp;CHAR(10)&amp;"هذا الخيار يساعدكم في معالجة أكبر فجوة حالية بشكل عملي ومباشر."&amp;IF(J545&lt;&gt;"",CHAR(10)&amp;CHAR(10)&amp;"رابط التقرير: "&amp;J545,"")&amp;CHAR(10)&amp;CHAR(10)&amp;"إذا رغبت، يمكننا توضيح لماذا هذا الكورس هو الأنسب لكم الآن.")</x:f>
      </x:c>
      <x:c r="N545" s="12" t="str">
        <x:f>IF(D545="","",HYPERLINK("https://wa.me/"&amp;REGEXREPLACE(D545,"[^\d]","")&amp;"?text="&amp;ENCODEURL(M545),"واتساب 2"))</x:f>
      </x:c>
      <x:c r="O545" s="12" t="str">
        <x:f>IF(A545="","","مرحبًا "&amp;C545&amp;CHAR(10)&amp;CHAR(10)&amp;"إذا كانت التحديات لديكم تحتاج حلًا أشمل، فالبرنامج الكامل المناسب لكم هو: "&amp;H545&amp;"."&amp;IF(I545&lt;&gt;"",CHAR(10)&amp;"كما يمكنكم أيضًا حجز: "&amp;I545&amp;".","")&amp;IF(J545&lt;&gt;"",CHAR(10)&amp;CHAR(10)&amp;"رابط التقرير: "&amp;J545,"")&amp;CHAR(10)&amp;CHAR(10)&amp;"يسعدنا مساعدتكم في اختيار المسار الأنسب حسب وضع العيادة الحالي.")</x:f>
      </x:c>
      <x:c r="P545" s="12" t="str">
        <x:f>IF(D545="","",HYPERLINK("https://wa.me/"&amp;REGEXREPLACE(D545,"[^\d]","")&amp;"?text="&amp;ENCODEURL(O545),"واتساب 3"))</x:f>
      </x:c>
    </x:row>
    <x:row r="546" ht="15" hidden="0" customHeight="1">
      <x:c r="A546" s="12" t="str">
        <x:f>IF(Leads!A546="","",Leads!A546)</x:f>
      </x:c>
      <x:c r="B546" s="12" t="str">
        <x:f>IF(Leads!F546="","",Leads!F546)</x:f>
      </x:c>
      <x:c r="C546" s="12" t="str">
        <x:f>IF(Leads!G546="","",Leads!G546)</x:f>
      </x:c>
      <x:c r="D546" s="12" t="str">
        <x:f>IF(Leads!O546="","",Leads!O546)</x:f>
      </x:c>
      <x:c r="E546" s="12" t="str">
        <x:f>IF(Leads!AV546="","",Leads!AV546)</x:f>
      </x:c>
      <x:c r="F546" s="12" t="str">
        <x:f>IF(Leads!AX546="","",Leads!AX546)</x:f>
      </x:c>
      <x:c r="G546" s="12" t="str">
        <x:f>IF(Leads!BC546="","",Leads!BC546)</x:f>
      </x:c>
      <x:c r="H546" s="12" t="str">
        <x:f>IF(Leads!BE546="","",Leads!BE546)</x:f>
      </x:c>
      <x:c r="I546" s="12" t="str">
        <x:f>IF(Leads!BG546="","",Leads!BG546)</x:f>
      </x:c>
      <x:c r="J546" s="12" t="str">
        <x:f>IF(Leads!BH546="","",Leads!BH546)</x:f>
      </x:c>
      <x:c r="K546" s="12" t="str">
        <x:f>IF(A546="","","مرحبًا "&amp;C546&amp;CHAR(10)&amp;CHAR(10)&amp;"شكرًا لإتمام تقييم DBD الخاص بعيادة "&amp;B546&amp;"."&amp;CHAR(10)&amp;"نتيجتكم الحالية: "&amp;E546&amp;"%."&amp;CHAR(10)&amp;"أولوية التحسين الأولى: "&amp;F546&amp;"."&amp;IF(J546&lt;&gt;"",CHAR(10)&amp;CHAR(10)&amp;"رابط التقرير: "&amp;J546,"")&amp;CHAR(10)&amp;CHAR(10)&amp;"إذا أحببت، يمكننا مساعدتك في فهم التقرير وتحديد أفضل خطوة تالية لعيادتكم.")</x:f>
      </x:c>
      <x:c r="L546" s="12" t="str">
        <x:f>IF(D546="","",HYPERLINK("https://wa.me/"&amp;REGEXREPLACE(D546,"[^\d]","")&amp;"?text="&amp;ENCODEURL(K546),"واتساب 1"))</x:f>
      </x:c>
      <x:c r="M546" s="12" t="str">
        <x:f>IF(A546="","","مرحبًا "&amp;C546&amp;CHAR(10)&amp;CHAR(10)&amp;"بناءً على نتيجة تقييم عيادة "&amp;B546&amp;"، فإن الترشيح الأقوى لكم الآن هو: "&amp;G546&amp;"."&amp;CHAR(10)&amp;"هذا الخيار يساعدكم في معالجة أكبر فجوة حالية بشكل عملي ومباشر."&amp;IF(J546&lt;&gt;"",CHAR(10)&amp;CHAR(10)&amp;"رابط التقرير: "&amp;J546,"")&amp;CHAR(10)&amp;CHAR(10)&amp;"إذا رغبت، يمكننا توضيح لماذا هذا الكورس هو الأنسب لكم الآن.")</x:f>
      </x:c>
      <x:c r="N546" s="12" t="str">
        <x:f>IF(D546="","",HYPERLINK("https://wa.me/"&amp;REGEXREPLACE(D546,"[^\d]","")&amp;"?text="&amp;ENCODEURL(M546),"واتساب 2"))</x:f>
      </x:c>
      <x:c r="O546" s="12" t="str">
        <x:f>IF(A546="","","مرحبًا "&amp;C546&amp;CHAR(10)&amp;CHAR(10)&amp;"إذا كانت التحديات لديكم تحتاج حلًا أشمل، فالبرنامج الكامل المناسب لكم هو: "&amp;H546&amp;"."&amp;IF(I546&lt;&gt;"",CHAR(10)&amp;"كما يمكنكم أيضًا حجز: "&amp;I546&amp;".","")&amp;IF(J546&lt;&gt;"",CHAR(10)&amp;CHAR(10)&amp;"رابط التقرير: "&amp;J546,"")&amp;CHAR(10)&amp;CHAR(10)&amp;"يسعدنا مساعدتكم في اختيار المسار الأنسب حسب وضع العيادة الحالي.")</x:f>
      </x:c>
      <x:c r="P546" s="12" t="str">
        <x:f>IF(D546="","",HYPERLINK("https://wa.me/"&amp;REGEXREPLACE(D546,"[^\d]","")&amp;"?text="&amp;ENCODEURL(O546),"واتساب 3"))</x:f>
      </x:c>
    </x:row>
    <x:row r="547" ht="15" hidden="0" customHeight="1">
      <x:c r="A547" s="12" t="str">
        <x:f>IF(Leads!A547="","",Leads!A547)</x:f>
      </x:c>
      <x:c r="B547" s="12" t="str">
        <x:f>IF(Leads!F547="","",Leads!F547)</x:f>
      </x:c>
      <x:c r="C547" s="12" t="str">
        <x:f>IF(Leads!G547="","",Leads!G547)</x:f>
      </x:c>
      <x:c r="D547" s="12" t="str">
        <x:f>IF(Leads!O547="","",Leads!O547)</x:f>
      </x:c>
      <x:c r="E547" s="12" t="str">
        <x:f>IF(Leads!AV547="","",Leads!AV547)</x:f>
      </x:c>
      <x:c r="F547" s="12" t="str">
        <x:f>IF(Leads!AX547="","",Leads!AX547)</x:f>
      </x:c>
      <x:c r="G547" s="12" t="str">
        <x:f>IF(Leads!BC547="","",Leads!BC547)</x:f>
      </x:c>
      <x:c r="H547" s="12" t="str">
        <x:f>IF(Leads!BE547="","",Leads!BE547)</x:f>
      </x:c>
      <x:c r="I547" s="12" t="str">
        <x:f>IF(Leads!BG547="","",Leads!BG547)</x:f>
      </x:c>
      <x:c r="J547" s="12" t="str">
        <x:f>IF(Leads!BH547="","",Leads!BH547)</x:f>
      </x:c>
      <x:c r="K547" s="12" t="str">
        <x:f>IF(A547="","","مرحبًا "&amp;C547&amp;CHAR(10)&amp;CHAR(10)&amp;"شكرًا لإتمام تقييم DBD الخاص بعيادة "&amp;B547&amp;"."&amp;CHAR(10)&amp;"نتيجتكم الحالية: "&amp;E547&amp;"%."&amp;CHAR(10)&amp;"أولوية التحسين الأولى: "&amp;F547&amp;"."&amp;IF(J547&lt;&gt;"",CHAR(10)&amp;CHAR(10)&amp;"رابط التقرير: "&amp;J547,"")&amp;CHAR(10)&amp;CHAR(10)&amp;"إذا أحببت، يمكننا مساعدتك في فهم التقرير وتحديد أفضل خطوة تالية لعيادتكم.")</x:f>
      </x:c>
      <x:c r="L547" s="12" t="str">
        <x:f>IF(D547="","",HYPERLINK("https://wa.me/"&amp;REGEXREPLACE(D547,"[^\d]","")&amp;"?text="&amp;ENCODEURL(K547),"واتساب 1"))</x:f>
      </x:c>
      <x:c r="M547" s="12" t="str">
        <x:f>IF(A547="","","مرحبًا "&amp;C547&amp;CHAR(10)&amp;CHAR(10)&amp;"بناءً على نتيجة تقييم عيادة "&amp;B547&amp;"، فإن الترشيح الأقوى لكم الآن هو: "&amp;G547&amp;"."&amp;CHAR(10)&amp;"هذا الخيار يساعدكم في معالجة أكبر فجوة حالية بشكل عملي ومباشر."&amp;IF(J547&lt;&gt;"",CHAR(10)&amp;CHAR(10)&amp;"رابط التقرير: "&amp;J547,"")&amp;CHAR(10)&amp;CHAR(10)&amp;"إذا رغبت، يمكننا توضيح لماذا هذا الكورس هو الأنسب لكم الآن.")</x:f>
      </x:c>
      <x:c r="N547" s="12" t="str">
        <x:f>IF(D547="","",HYPERLINK("https://wa.me/"&amp;REGEXREPLACE(D547,"[^\d]","")&amp;"?text="&amp;ENCODEURL(M547),"واتساب 2"))</x:f>
      </x:c>
      <x:c r="O547" s="12" t="str">
        <x:f>IF(A547="","","مرحبًا "&amp;C547&amp;CHAR(10)&amp;CHAR(10)&amp;"إذا كانت التحديات لديكم تحتاج حلًا أشمل، فالبرنامج الكامل المناسب لكم هو: "&amp;H547&amp;"."&amp;IF(I547&lt;&gt;"",CHAR(10)&amp;"كما يمكنكم أيضًا حجز: "&amp;I547&amp;".","")&amp;IF(J547&lt;&gt;"",CHAR(10)&amp;CHAR(10)&amp;"رابط التقرير: "&amp;J547,"")&amp;CHAR(10)&amp;CHAR(10)&amp;"يسعدنا مساعدتكم في اختيار المسار الأنسب حسب وضع العيادة الحالي.")</x:f>
      </x:c>
      <x:c r="P547" s="12" t="str">
        <x:f>IF(D547="","",HYPERLINK("https://wa.me/"&amp;REGEXREPLACE(D547,"[^\d]","")&amp;"?text="&amp;ENCODEURL(O547),"واتساب 3"))</x:f>
      </x:c>
    </x:row>
    <x:row r="548" ht="15" hidden="0" customHeight="1">
      <x:c r="A548" s="12" t="str">
        <x:f>IF(Leads!A548="","",Leads!A548)</x:f>
      </x:c>
      <x:c r="B548" s="12" t="str">
        <x:f>IF(Leads!F548="","",Leads!F548)</x:f>
      </x:c>
      <x:c r="C548" s="12" t="str">
        <x:f>IF(Leads!G548="","",Leads!G548)</x:f>
      </x:c>
      <x:c r="D548" s="12" t="str">
        <x:f>IF(Leads!O548="","",Leads!O548)</x:f>
      </x:c>
      <x:c r="E548" s="12" t="str">
        <x:f>IF(Leads!AV548="","",Leads!AV548)</x:f>
      </x:c>
      <x:c r="F548" s="12" t="str">
        <x:f>IF(Leads!AX548="","",Leads!AX548)</x:f>
      </x:c>
      <x:c r="G548" s="12" t="str">
        <x:f>IF(Leads!BC548="","",Leads!BC548)</x:f>
      </x:c>
      <x:c r="H548" s="12" t="str">
        <x:f>IF(Leads!BE548="","",Leads!BE548)</x:f>
      </x:c>
      <x:c r="I548" s="12" t="str">
        <x:f>IF(Leads!BG548="","",Leads!BG548)</x:f>
      </x:c>
      <x:c r="J548" s="12" t="str">
        <x:f>IF(Leads!BH548="","",Leads!BH548)</x:f>
      </x:c>
      <x:c r="K548" s="12" t="str">
        <x:f>IF(A548="","","مرحبًا "&amp;C548&amp;CHAR(10)&amp;CHAR(10)&amp;"شكرًا لإتمام تقييم DBD الخاص بعيادة "&amp;B548&amp;"."&amp;CHAR(10)&amp;"نتيجتكم الحالية: "&amp;E548&amp;"%."&amp;CHAR(10)&amp;"أولوية التحسين الأولى: "&amp;F548&amp;"."&amp;IF(J548&lt;&gt;"",CHAR(10)&amp;CHAR(10)&amp;"رابط التقرير: "&amp;J548,"")&amp;CHAR(10)&amp;CHAR(10)&amp;"إذا أحببت، يمكننا مساعدتك في فهم التقرير وتحديد أفضل خطوة تالية لعيادتكم.")</x:f>
      </x:c>
      <x:c r="L548" s="12" t="str">
        <x:f>IF(D548="","",HYPERLINK("https://wa.me/"&amp;REGEXREPLACE(D548,"[^\d]","")&amp;"?text="&amp;ENCODEURL(K548),"واتساب 1"))</x:f>
      </x:c>
      <x:c r="M548" s="12" t="str">
        <x:f>IF(A548="","","مرحبًا "&amp;C548&amp;CHAR(10)&amp;CHAR(10)&amp;"بناءً على نتيجة تقييم عيادة "&amp;B548&amp;"، فإن الترشيح الأقوى لكم الآن هو: "&amp;G548&amp;"."&amp;CHAR(10)&amp;"هذا الخيار يساعدكم في معالجة أكبر فجوة حالية بشكل عملي ومباشر."&amp;IF(J548&lt;&gt;"",CHAR(10)&amp;CHAR(10)&amp;"رابط التقرير: "&amp;J548,"")&amp;CHAR(10)&amp;CHAR(10)&amp;"إذا رغبت، يمكننا توضيح لماذا هذا الكورس هو الأنسب لكم الآن.")</x:f>
      </x:c>
      <x:c r="N548" s="12" t="str">
        <x:f>IF(D548="","",HYPERLINK("https://wa.me/"&amp;REGEXREPLACE(D548,"[^\d]","")&amp;"?text="&amp;ENCODEURL(M548),"واتساب 2"))</x:f>
      </x:c>
      <x:c r="O548" s="12" t="str">
        <x:f>IF(A548="","","مرحبًا "&amp;C548&amp;CHAR(10)&amp;CHAR(10)&amp;"إذا كانت التحديات لديكم تحتاج حلًا أشمل، فالبرنامج الكامل المناسب لكم هو: "&amp;H548&amp;"."&amp;IF(I548&lt;&gt;"",CHAR(10)&amp;"كما يمكنكم أيضًا حجز: "&amp;I548&amp;".","")&amp;IF(J548&lt;&gt;"",CHAR(10)&amp;CHAR(10)&amp;"رابط التقرير: "&amp;J548,"")&amp;CHAR(10)&amp;CHAR(10)&amp;"يسعدنا مساعدتكم في اختيار المسار الأنسب حسب وضع العيادة الحالي.")</x:f>
      </x:c>
      <x:c r="P548" s="12" t="str">
        <x:f>IF(D548="","",HYPERLINK("https://wa.me/"&amp;REGEXREPLACE(D548,"[^\d]","")&amp;"?text="&amp;ENCODEURL(O548),"واتساب 3"))</x:f>
      </x:c>
    </x:row>
    <x:row r="549" ht="15" hidden="0" customHeight="1">
      <x:c r="A549" s="12" t="str">
        <x:f>IF(Leads!A549="","",Leads!A549)</x:f>
      </x:c>
      <x:c r="B549" s="12" t="str">
        <x:f>IF(Leads!F549="","",Leads!F549)</x:f>
      </x:c>
      <x:c r="C549" s="12" t="str">
        <x:f>IF(Leads!G549="","",Leads!G549)</x:f>
      </x:c>
      <x:c r="D549" s="12" t="str">
        <x:f>IF(Leads!O549="","",Leads!O549)</x:f>
      </x:c>
      <x:c r="E549" s="12" t="str">
        <x:f>IF(Leads!AV549="","",Leads!AV549)</x:f>
      </x:c>
      <x:c r="F549" s="12" t="str">
        <x:f>IF(Leads!AX549="","",Leads!AX549)</x:f>
      </x:c>
      <x:c r="G549" s="12" t="str">
        <x:f>IF(Leads!BC549="","",Leads!BC549)</x:f>
      </x:c>
      <x:c r="H549" s="12" t="str">
        <x:f>IF(Leads!BE549="","",Leads!BE549)</x:f>
      </x:c>
      <x:c r="I549" s="12" t="str">
        <x:f>IF(Leads!BG549="","",Leads!BG549)</x:f>
      </x:c>
      <x:c r="J549" s="12" t="str">
        <x:f>IF(Leads!BH549="","",Leads!BH549)</x:f>
      </x:c>
      <x:c r="K549" s="12" t="str">
        <x:f>IF(A549="","","مرحبًا "&amp;C549&amp;CHAR(10)&amp;CHAR(10)&amp;"شكرًا لإتمام تقييم DBD الخاص بعيادة "&amp;B549&amp;"."&amp;CHAR(10)&amp;"نتيجتكم الحالية: "&amp;E549&amp;"%."&amp;CHAR(10)&amp;"أولوية التحسين الأولى: "&amp;F549&amp;"."&amp;IF(J549&lt;&gt;"",CHAR(10)&amp;CHAR(10)&amp;"رابط التقرير: "&amp;J549,"")&amp;CHAR(10)&amp;CHAR(10)&amp;"إذا أحببت، يمكننا مساعدتك في فهم التقرير وتحديد أفضل خطوة تالية لعيادتكم.")</x:f>
      </x:c>
      <x:c r="L549" s="12" t="str">
        <x:f>IF(D549="","",HYPERLINK("https://wa.me/"&amp;REGEXREPLACE(D549,"[^\d]","")&amp;"?text="&amp;ENCODEURL(K549),"واتساب 1"))</x:f>
      </x:c>
      <x:c r="M549" s="12" t="str">
        <x:f>IF(A549="","","مرحبًا "&amp;C549&amp;CHAR(10)&amp;CHAR(10)&amp;"بناءً على نتيجة تقييم عيادة "&amp;B549&amp;"، فإن الترشيح الأقوى لكم الآن هو: "&amp;G549&amp;"."&amp;CHAR(10)&amp;"هذا الخيار يساعدكم في معالجة أكبر فجوة حالية بشكل عملي ومباشر."&amp;IF(J549&lt;&gt;"",CHAR(10)&amp;CHAR(10)&amp;"رابط التقرير: "&amp;J549,"")&amp;CHAR(10)&amp;CHAR(10)&amp;"إذا رغبت، يمكننا توضيح لماذا هذا الكورس هو الأنسب لكم الآن.")</x:f>
      </x:c>
      <x:c r="N549" s="12" t="str">
        <x:f>IF(D549="","",HYPERLINK("https://wa.me/"&amp;REGEXREPLACE(D549,"[^\d]","")&amp;"?text="&amp;ENCODEURL(M549),"واتساب 2"))</x:f>
      </x:c>
      <x:c r="O549" s="12" t="str">
        <x:f>IF(A549="","","مرحبًا "&amp;C549&amp;CHAR(10)&amp;CHAR(10)&amp;"إذا كانت التحديات لديكم تحتاج حلًا أشمل، فالبرنامج الكامل المناسب لكم هو: "&amp;H549&amp;"."&amp;IF(I549&lt;&gt;"",CHAR(10)&amp;"كما يمكنكم أيضًا حجز: "&amp;I549&amp;".","")&amp;IF(J549&lt;&gt;"",CHAR(10)&amp;CHAR(10)&amp;"رابط التقرير: "&amp;J549,"")&amp;CHAR(10)&amp;CHAR(10)&amp;"يسعدنا مساعدتكم في اختيار المسار الأنسب حسب وضع العيادة الحالي.")</x:f>
      </x:c>
      <x:c r="P549" s="12" t="str">
        <x:f>IF(D549="","",HYPERLINK("https://wa.me/"&amp;REGEXREPLACE(D549,"[^\d]","")&amp;"?text="&amp;ENCODEURL(O549),"واتساب 3"))</x:f>
      </x:c>
    </x:row>
    <x:row r="550" ht="15" hidden="0" customHeight="1">
      <x:c r="A550" s="12" t="str">
        <x:f>IF(Leads!A550="","",Leads!A550)</x:f>
      </x:c>
      <x:c r="B550" s="12" t="str">
        <x:f>IF(Leads!F550="","",Leads!F550)</x:f>
      </x:c>
      <x:c r="C550" s="12" t="str">
        <x:f>IF(Leads!G550="","",Leads!G550)</x:f>
      </x:c>
      <x:c r="D550" s="12" t="str">
        <x:f>IF(Leads!O550="","",Leads!O550)</x:f>
      </x:c>
      <x:c r="E550" s="12" t="str">
        <x:f>IF(Leads!AV550="","",Leads!AV550)</x:f>
      </x:c>
      <x:c r="F550" s="12" t="str">
        <x:f>IF(Leads!AX550="","",Leads!AX550)</x:f>
      </x:c>
      <x:c r="G550" s="12" t="str">
        <x:f>IF(Leads!BC550="","",Leads!BC550)</x:f>
      </x:c>
      <x:c r="H550" s="12" t="str">
        <x:f>IF(Leads!BE550="","",Leads!BE550)</x:f>
      </x:c>
      <x:c r="I550" s="12" t="str">
        <x:f>IF(Leads!BG550="","",Leads!BG550)</x:f>
      </x:c>
      <x:c r="J550" s="12" t="str">
        <x:f>IF(Leads!BH550="","",Leads!BH550)</x:f>
      </x:c>
      <x:c r="K550" s="12" t="str">
        <x:f>IF(A550="","","مرحبًا "&amp;C550&amp;CHAR(10)&amp;CHAR(10)&amp;"شكرًا لإتمام تقييم DBD الخاص بعيادة "&amp;B550&amp;"."&amp;CHAR(10)&amp;"نتيجتكم الحالية: "&amp;E550&amp;"%."&amp;CHAR(10)&amp;"أولوية التحسين الأولى: "&amp;F550&amp;"."&amp;IF(J550&lt;&gt;"",CHAR(10)&amp;CHAR(10)&amp;"رابط التقرير: "&amp;J550,"")&amp;CHAR(10)&amp;CHAR(10)&amp;"إذا أحببت، يمكننا مساعدتك في فهم التقرير وتحديد أفضل خطوة تالية لعيادتكم.")</x:f>
      </x:c>
      <x:c r="L550" s="12" t="str">
        <x:f>IF(D550="","",HYPERLINK("https://wa.me/"&amp;REGEXREPLACE(D550,"[^\d]","")&amp;"?text="&amp;ENCODEURL(K550),"واتساب 1"))</x:f>
      </x:c>
      <x:c r="M550" s="12" t="str">
        <x:f>IF(A550="","","مرحبًا "&amp;C550&amp;CHAR(10)&amp;CHAR(10)&amp;"بناءً على نتيجة تقييم عيادة "&amp;B550&amp;"، فإن الترشيح الأقوى لكم الآن هو: "&amp;G550&amp;"."&amp;CHAR(10)&amp;"هذا الخيار يساعدكم في معالجة أكبر فجوة حالية بشكل عملي ومباشر."&amp;IF(J550&lt;&gt;"",CHAR(10)&amp;CHAR(10)&amp;"رابط التقرير: "&amp;J550,"")&amp;CHAR(10)&amp;CHAR(10)&amp;"إذا رغبت، يمكننا توضيح لماذا هذا الكورس هو الأنسب لكم الآن.")</x:f>
      </x:c>
      <x:c r="N550" s="12" t="str">
        <x:f>IF(D550="","",HYPERLINK("https://wa.me/"&amp;REGEXREPLACE(D550,"[^\d]","")&amp;"?text="&amp;ENCODEURL(M550),"واتساب 2"))</x:f>
      </x:c>
      <x:c r="O550" s="12" t="str">
        <x:f>IF(A550="","","مرحبًا "&amp;C550&amp;CHAR(10)&amp;CHAR(10)&amp;"إذا كانت التحديات لديكم تحتاج حلًا أشمل، فالبرنامج الكامل المناسب لكم هو: "&amp;H550&amp;"."&amp;IF(I550&lt;&gt;"",CHAR(10)&amp;"كما يمكنكم أيضًا حجز: "&amp;I550&amp;".","")&amp;IF(J550&lt;&gt;"",CHAR(10)&amp;CHAR(10)&amp;"رابط التقرير: "&amp;J550,"")&amp;CHAR(10)&amp;CHAR(10)&amp;"يسعدنا مساعدتكم في اختيار المسار الأنسب حسب وضع العيادة الحالي.")</x:f>
      </x:c>
      <x:c r="P550" s="12" t="str">
        <x:f>IF(D550="","",HYPERLINK("https://wa.me/"&amp;REGEXREPLACE(D550,"[^\d]","")&amp;"?text="&amp;ENCODEURL(O550),"واتساب 3"))</x:f>
      </x:c>
    </x:row>
    <x:row r="551" ht="15" hidden="0" customHeight="1">
      <x:c r="A551" s="12" t="str">
        <x:f>IF(Leads!A551="","",Leads!A551)</x:f>
      </x:c>
      <x:c r="B551" s="12" t="str">
        <x:f>IF(Leads!F551="","",Leads!F551)</x:f>
      </x:c>
      <x:c r="C551" s="12" t="str">
        <x:f>IF(Leads!G551="","",Leads!G551)</x:f>
      </x:c>
      <x:c r="D551" s="12" t="str">
        <x:f>IF(Leads!O551="","",Leads!O551)</x:f>
      </x:c>
      <x:c r="E551" s="12" t="str">
        <x:f>IF(Leads!AV551="","",Leads!AV551)</x:f>
      </x:c>
      <x:c r="F551" s="12" t="str">
        <x:f>IF(Leads!AX551="","",Leads!AX551)</x:f>
      </x:c>
      <x:c r="G551" s="12" t="str">
        <x:f>IF(Leads!BC551="","",Leads!BC551)</x:f>
      </x:c>
      <x:c r="H551" s="12" t="str">
        <x:f>IF(Leads!BE551="","",Leads!BE551)</x:f>
      </x:c>
      <x:c r="I551" s="12" t="str">
        <x:f>IF(Leads!BG551="","",Leads!BG551)</x:f>
      </x:c>
      <x:c r="J551" s="12" t="str">
        <x:f>IF(Leads!BH551="","",Leads!BH551)</x:f>
      </x:c>
      <x:c r="K551" s="12" t="str">
        <x:f>IF(A551="","","مرحبًا "&amp;C551&amp;CHAR(10)&amp;CHAR(10)&amp;"شكرًا لإتمام تقييم DBD الخاص بعيادة "&amp;B551&amp;"."&amp;CHAR(10)&amp;"نتيجتكم الحالية: "&amp;E551&amp;"%."&amp;CHAR(10)&amp;"أولوية التحسين الأولى: "&amp;F551&amp;"."&amp;IF(J551&lt;&gt;"",CHAR(10)&amp;CHAR(10)&amp;"رابط التقرير: "&amp;J551,"")&amp;CHAR(10)&amp;CHAR(10)&amp;"إذا أحببت، يمكننا مساعدتك في فهم التقرير وتحديد أفضل خطوة تالية لعيادتكم.")</x:f>
      </x:c>
      <x:c r="L551" s="12" t="str">
        <x:f>IF(D551="","",HYPERLINK("https://wa.me/"&amp;REGEXREPLACE(D551,"[^\d]","")&amp;"?text="&amp;ENCODEURL(K551),"واتساب 1"))</x:f>
      </x:c>
      <x:c r="M551" s="12" t="str">
        <x:f>IF(A551="","","مرحبًا "&amp;C551&amp;CHAR(10)&amp;CHAR(10)&amp;"بناءً على نتيجة تقييم عيادة "&amp;B551&amp;"، فإن الترشيح الأقوى لكم الآن هو: "&amp;G551&amp;"."&amp;CHAR(10)&amp;"هذا الخيار يساعدكم في معالجة أكبر فجوة حالية بشكل عملي ومباشر."&amp;IF(J551&lt;&gt;"",CHAR(10)&amp;CHAR(10)&amp;"رابط التقرير: "&amp;J551,"")&amp;CHAR(10)&amp;CHAR(10)&amp;"إذا رغبت، يمكننا توضيح لماذا هذا الكورس هو الأنسب لكم الآن.")</x:f>
      </x:c>
      <x:c r="N551" s="12" t="str">
        <x:f>IF(D551="","",HYPERLINK("https://wa.me/"&amp;REGEXREPLACE(D551,"[^\d]","")&amp;"?text="&amp;ENCODEURL(M551),"واتساب 2"))</x:f>
      </x:c>
      <x:c r="O551" s="12" t="str">
        <x:f>IF(A551="","","مرحبًا "&amp;C551&amp;CHAR(10)&amp;CHAR(10)&amp;"إذا كانت التحديات لديكم تحتاج حلًا أشمل، فالبرنامج الكامل المناسب لكم هو: "&amp;H551&amp;"."&amp;IF(I551&lt;&gt;"",CHAR(10)&amp;"كما يمكنكم أيضًا حجز: "&amp;I551&amp;".","")&amp;IF(J551&lt;&gt;"",CHAR(10)&amp;CHAR(10)&amp;"رابط التقرير: "&amp;J551,"")&amp;CHAR(10)&amp;CHAR(10)&amp;"يسعدنا مساعدتكم في اختيار المسار الأنسب حسب وضع العيادة الحالي.")</x:f>
      </x:c>
      <x:c r="P551" s="12" t="str">
        <x:f>IF(D551="","",HYPERLINK("https://wa.me/"&amp;REGEXREPLACE(D551,"[^\d]","")&amp;"?text="&amp;ENCODEURL(O551),"واتساب 3"))</x:f>
      </x:c>
    </x:row>
    <x:row r="552" ht="15" hidden="0" customHeight="1">
      <x:c r="A552" s="12" t="str">
        <x:f>IF(Leads!A552="","",Leads!A552)</x:f>
      </x:c>
      <x:c r="B552" s="12" t="str">
        <x:f>IF(Leads!F552="","",Leads!F552)</x:f>
      </x:c>
      <x:c r="C552" s="12" t="str">
        <x:f>IF(Leads!G552="","",Leads!G552)</x:f>
      </x:c>
      <x:c r="D552" s="12" t="str">
        <x:f>IF(Leads!O552="","",Leads!O552)</x:f>
      </x:c>
      <x:c r="E552" s="12" t="str">
        <x:f>IF(Leads!AV552="","",Leads!AV552)</x:f>
      </x:c>
      <x:c r="F552" s="12" t="str">
        <x:f>IF(Leads!AX552="","",Leads!AX552)</x:f>
      </x:c>
      <x:c r="G552" s="12" t="str">
        <x:f>IF(Leads!BC552="","",Leads!BC552)</x:f>
      </x:c>
      <x:c r="H552" s="12" t="str">
        <x:f>IF(Leads!BE552="","",Leads!BE552)</x:f>
      </x:c>
      <x:c r="I552" s="12" t="str">
        <x:f>IF(Leads!BG552="","",Leads!BG552)</x:f>
      </x:c>
      <x:c r="J552" s="12" t="str">
        <x:f>IF(Leads!BH552="","",Leads!BH552)</x:f>
      </x:c>
      <x:c r="K552" s="12" t="str">
        <x:f>IF(A552="","","مرحبًا "&amp;C552&amp;CHAR(10)&amp;CHAR(10)&amp;"شكرًا لإتمام تقييم DBD الخاص بعيادة "&amp;B552&amp;"."&amp;CHAR(10)&amp;"نتيجتكم الحالية: "&amp;E552&amp;"%."&amp;CHAR(10)&amp;"أولوية التحسين الأولى: "&amp;F552&amp;"."&amp;IF(J552&lt;&gt;"",CHAR(10)&amp;CHAR(10)&amp;"رابط التقرير: "&amp;J552,"")&amp;CHAR(10)&amp;CHAR(10)&amp;"إذا أحببت، يمكننا مساعدتك في فهم التقرير وتحديد أفضل خطوة تالية لعيادتكم.")</x:f>
      </x:c>
      <x:c r="L552" s="12" t="str">
        <x:f>IF(D552="","",HYPERLINK("https://wa.me/"&amp;REGEXREPLACE(D552,"[^\d]","")&amp;"?text="&amp;ENCODEURL(K552),"واتساب 1"))</x:f>
      </x:c>
      <x:c r="M552" s="12" t="str">
        <x:f>IF(A552="","","مرحبًا "&amp;C552&amp;CHAR(10)&amp;CHAR(10)&amp;"بناءً على نتيجة تقييم عيادة "&amp;B552&amp;"، فإن الترشيح الأقوى لكم الآن هو: "&amp;G552&amp;"."&amp;CHAR(10)&amp;"هذا الخيار يساعدكم في معالجة أكبر فجوة حالية بشكل عملي ومباشر."&amp;IF(J552&lt;&gt;"",CHAR(10)&amp;CHAR(10)&amp;"رابط التقرير: "&amp;J552,"")&amp;CHAR(10)&amp;CHAR(10)&amp;"إذا رغبت، يمكننا توضيح لماذا هذا الكورس هو الأنسب لكم الآن.")</x:f>
      </x:c>
      <x:c r="N552" s="12" t="str">
        <x:f>IF(D552="","",HYPERLINK("https://wa.me/"&amp;REGEXREPLACE(D552,"[^\d]","")&amp;"?text="&amp;ENCODEURL(M552),"واتساب 2"))</x:f>
      </x:c>
      <x:c r="O552" s="12" t="str">
        <x:f>IF(A552="","","مرحبًا "&amp;C552&amp;CHAR(10)&amp;CHAR(10)&amp;"إذا كانت التحديات لديكم تحتاج حلًا أشمل، فالبرنامج الكامل المناسب لكم هو: "&amp;H552&amp;"."&amp;IF(I552&lt;&gt;"",CHAR(10)&amp;"كما يمكنكم أيضًا حجز: "&amp;I552&amp;".","")&amp;IF(J552&lt;&gt;"",CHAR(10)&amp;CHAR(10)&amp;"رابط التقرير: "&amp;J552,"")&amp;CHAR(10)&amp;CHAR(10)&amp;"يسعدنا مساعدتكم في اختيار المسار الأنسب حسب وضع العيادة الحالي.")</x:f>
      </x:c>
      <x:c r="P552" s="12" t="str">
        <x:f>IF(D552="","",HYPERLINK("https://wa.me/"&amp;REGEXREPLACE(D552,"[^\d]","")&amp;"?text="&amp;ENCODEURL(O552),"واتساب 3"))</x:f>
      </x:c>
    </x:row>
    <x:row r="553" ht="15" hidden="0" customHeight="1">
      <x:c r="A553" s="12" t="str">
        <x:f>IF(Leads!A553="","",Leads!A553)</x:f>
      </x:c>
      <x:c r="B553" s="12" t="str">
        <x:f>IF(Leads!F553="","",Leads!F553)</x:f>
      </x:c>
      <x:c r="C553" s="12" t="str">
        <x:f>IF(Leads!G553="","",Leads!G553)</x:f>
      </x:c>
      <x:c r="D553" s="12" t="str">
        <x:f>IF(Leads!O553="","",Leads!O553)</x:f>
      </x:c>
      <x:c r="E553" s="12" t="str">
        <x:f>IF(Leads!AV553="","",Leads!AV553)</x:f>
      </x:c>
      <x:c r="F553" s="12" t="str">
        <x:f>IF(Leads!AX553="","",Leads!AX553)</x:f>
      </x:c>
      <x:c r="G553" s="12" t="str">
        <x:f>IF(Leads!BC553="","",Leads!BC553)</x:f>
      </x:c>
      <x:c r="H553" s="12" t="str">
        <x:f>IF(Leads!BE553="","",Leads!BE553)</x:f>
      </x:c>
      <x:c r="I553" s="12" t="str">
        <x:f>IF(Leads!BG553="","",Leads!BG553)</x:f>
      </x:c>
      <x:c r="J553" s="12" t="str">
        <x:f>IF(Leads!BH553="","",Leads!BH553)</x:f>
      </x:c>
      <x:c r="K553" s="12" t="str">
        <x:f>IF(A553="","","مرحبًا "&amp;C553&amp;CHAR(10)&amp;CHAR(10)&amp;"شكرًا لإتمام تقييم DBD الخاص بعيادة "&amp;B553&amp;"."&amp;CHAR(10)&amp;"نتيجتكم الحالية: "&amp;E553&amp;"%."&amp;CHAR(10)&amp;"أولوية التحسين الأولى: "&amp;F553&amp;"."&amp;IF(J553&lt;&gt;"",CHAR(10)&amp;CHAR(10)&amp;"رابط التقرير: "&amp;J553,"")&amp;CHAR(10)&amp;CHAR(10)&amp;"إذا أحببت، يمكننا مساعدتك في فهم التقرير وتحديد أفضل خطوة تالية لعيادتكم.")</x:f>
      </x:c>
      <x:c r="L553" s="12" t="str">
        <x:f>IF(D553="","",HYPERLINK("https://wa.me/"&amp;REGEXREPLACE(D553,"[^\d]","")&amp;"?text="&amp;ENCODEURL(K553),"واتساب 1"))</x:f>
      </x:c>
      <x:c r="M553" s="12" t="str">
        <x:f>IF(A553="","","مرحبًا "&amp;C553&amp;CHAR(10)&amp;CHAR(10)&amp;"بناءً على نتيجة تقييم عيادة "&amp;B553&amp;"، فإن الترشيح الأقوى لكم الآن هو: "&amp;G553&amp;"."&amp;CHAR(10)&amp;"هذا الخيار يساعدكم في معالجة أكبر فجوة حالية بشكل عملي ومباشر."&amp;IF(J553&lt;&gt;"",CHAR(10)&amp;CHAR(10)&amp;"رابط التقرير: "&amp;J553,"")&amp;CHAR(10)&amp;CHAR(10)&amp;"إذا رغبت، يمكننا توضيح لماذا هذا الكورس هو الأنسب لكم الآن.")</x:f>
      </x:c>
      <x:c r="N553" s="12" t="str">
        <x:f>IF(D553="","",HYPERLINK("https://wa.me/"&amp;REGEXREPLACE(D553,"[^\d]","")&amp;"?text="&amp;ENCODEURL(M553),"واتساب 2"))</x:f>
      </x:c>
      <x:c r="O553" s="12" t="str">
        <x:f>IF(A553="","","مرحبًا "&amp;C553&amp;CHAR(10)&amp;CHAR(10)&amp;"إذا كانت التحديات لديكم تحتاج حلًا أشمل، فالبرنامج الكامل المناسب لكم هو: "&amp;H553&amp;"."&amp;IF(I553&lt;&gt;"",CHAR(10)&amp;"كما يمكنكم أيضًا حجز: "&amp;I553&amp;".","")&amp;IF(J553&lt;&gt;"",CHAR(10)&amp;CHAR(10)&amp;"رابط التقرير: "&amp;J553,"")&amp;CHAR(10)&amp;CHAR(10)&amp;"يسعدنا مساعدتكم في اختيار المسار الأنسب حسب وضع العيادة الحالي.")</x:f>
      </x:c>
      <x:c r="P553" s="12" t="str">
        <x:f>IF(D553="","",HYPERLINK("https://wa.me/"&amp;REGEXREPLACE(D553,"[^\d]","")&amp;"?text="&amp;ENCODEURL(O553),"واتساب 3"))</x:f>
      </x:c>
    </x:row>
    <x:row r="554" ht="15" hidden="0" customHeight="1">
      <x:c r="A554" s="12" t="str">
        <x:f>IF(Leads!A554="","",Leads!A554)</x:f>
      </x:c>
      <x:c r="B554" s="12" t="str">
        <x:f>IF(Leads!F554="","",Leads!F554)</x:f>
      </x:c>
      <x:c r="C554" s="12" t="str">
        <x:f>IF(Leads!G554="","",Leads!G554)</x:f>
      </x:c>
      <x:c r="D554" s="12" t="str">
        <x:f>IF(Leads!O554="","",Leads!O554)</x:f>
      </x:c>
      <x:c r="E554" s="12" t="str">
        <x:f>IF(Leads!AV554="","",Leads!AV554)</x:f>
      </x:c>
      <x:c r="F554" s="12" t="str">
        <x:f>IF(Leads!AX554="","",Leads!AX554)</x:f>
      </x:c>
      <x:c r="G554" s="12" t="str">
        <x:f>IF(Leads!BC554="","",Leads!BC554)</x:f>
      </x:c>
      <x:c r="H554" s="12" t="str">
        <x:f>IF(Leads!BE554="","",Leads!BE554)</x:f>
      </x:c>
      <x:c r="I554" s="12" t="str">
        <x:f>IF(Leads!BG554="","",Leads!BG554)</x:f>
      </x:c>
      <x:c r="J554" s="12" t="str">
        <x:f>IF(Leads!BH554="","",Leads!BH554)</x:f>
      </x:c>
      <x:c r="K554" s="12" t="str">
        <x:f>IF(A554="","","مرحبًا "&amp;C554&amp;CHAR(10)&amp;CHAR(10)&amp;"شكرًا لإتمام تقييم DBD الخاص بعيادة "&amp;B554&amp;"."&amp;CHAR(10)&amp;"نتيجتكم الحالية: "&amp;E554&amp;"%."&amp;CHAR(10)&amp;"أولوية التحسين الأولى: "&amp;F554&amp;"."&amp;IF(J554&lt;&gt;"",CHAR(10)&amp;CHAR(10)&amp;"رابط التقرير: "&amp;J554,"")&amp;CHAR(10)&amp;CHAR(10)&amp;"إذا أحببت، يمكننا مساعدتك في فهم التقرير وتحديد أفضل خطوة تالية لعيادتكم.")</x:f>
      </x:c>
      <x:c r="L554" s="12" t="str">
        <x:f>IF(D554="","",HYPERLINK("https://wa.me/"&amp;REGEXREPLACE(D554,"[^\d]","")&amp;"?text="&amp;ENCODEURL(K554),"واتساب 1"))</x:f>
      </x:c>
      <x:c r="M554" s="12" t="str">
        <x:f>IF(A554="","","مرحبًا "&amp;C554&amp;CHAR(10)&amp;CHAR(10)&amp;"بناءً على نتيجة تقييم عيادة "&amp;B554&amp;"، فإن الترشيح الأقوى لكم الآن هو: "&amp;G554&amp;"."&amp;CHAR(10)&amp;"هذا الخيار يساعدكم في معالجة أكبر فجوة حالية بشكل عملي ومباشر."&amp;IF(J554&lt;&gt;"",CHAR(10)&amp;CHAR(10)&amp;"رابط التقرير: "&amp;J554,"")&amp;CHAR(10)&amp;CHAR(10)&amp;"إذا رغبت، يمكننا توضيح لماذا هذا الكورس هو الأنسب لكم الآن.")</x:f>
      </x:c>
      <x:c r="N554" s="12" t="str">
        <x:f>IF(D554="","",HYPERLINK("https://wa.me/"&amp;REGEXREPLACE(D554,"[^\d]","")&amp;"?text="&amp;ENCODEURL(M554),"واتساب 2"))</x:f>
      </x:c>
      <x:c r="O554" s="12" t="str">
        <x:f>IF(A554="","","مرحبًا "&amp;C554&amp;CHAR(10)&amp;CHAR(10)&amp;"إذا كانت التحديات لديكم تحتاج حلًا أشمل، فالبرنامج الكامل المناسب لكم هو: "&amp;H554&amp;"."&amp;IF(I554&lt;&gt;"",CHAR(10)&amp;"كما يمكنكم أيضًا حجز: "&amp;I554&amp;".","")&amp;IF(J554&lt;&gt;"",CHAR(10)&amp;CHAR(10)&amp;"رابط التقرير: "&amp;J554,"")&amp;CHAR(10)&amp;CHAR(10)&amp;"يسعدنا مساعدتكم في اختيار المسار الأنسب حسب وضع العيادة الحالي.")</x:f>
      </x:c>
      <x:c r="P554" s="12" t="str">
        <x:f>IF(D554="","",HYPERLINK("https://wa.me/"&amp;REGEXREPLACE(D554,"[^\d]","")&amp;"?text="&amp;ENCODEURL(O554),"واتساب 3"))</x:f>
      </x:c>
    </x:row>
    <x:row r="555" ht="15" hidden="0" customHeight="1">
      <x:c r="A555" s="12" t="str">
        <x:f>IF(Leads!A555="","",Leads!A555)</x:f>
      </x:c>
      <x:c r="B555" s="12" t="str">
        <x:f>IF(Leads!F555="","",Leads!F555)</x:f>
      </x:c>
      <x:c r="C555" s="12" t="str">
        <x:f>IF(Leads!G555="","",Leads!G555)</x:f>
      </x:c>
      <x:c r="D555" s="12" t="str">
        <x:f>IF(Leads!O555="","",Leads!O555)</x:f>
      </x:c>
      <x:c r="E555" s="12" t="str">
        <x:f>IF(Leads!AV555="","",Leads!AV555)</x:f>
      </x:c>
      <x:c r="F555" s="12" t="str">
        <x:f>IF(Leads!AX555="","",Leads!AX555)</x:f>
      </x:c>
      <x:c r="G555" s="12" t="str">
        <x:f>IF(Leads!BC555="","",Leads!BC555)</x:f>
      </x:c>
      <x:c r="H555" s="12" t="str">
        <x:f>IF(Leads!BE555="","",Leads!BE555)</x:f>
      </x:c>
      <x:c r="I555" s="12" t="str">
        <x:f>IF(Leads!BG555="","",Leads!BG555)</x:f>
      </x:c>
      <x:c r="J555" s="12" t="str">
        <x:f>IF(Leads!BH555="","",Leads!BH555)</x:f>
      </x:c>
      <x:c r="K555" s="12" t="str">
        <x:f>IF(A555="","","مرحبًا "&amp;C555&amp;CHAR(10)&amp;CHAR(10)&amp;"شكرًا لإتمام تقييم DBD الخاص بعيادة "&amp;B555&amp;"."&amp;CHAR(10)&amp;"نتيجتكم الحالية: "&amp;E555&amp;"%."&amp;CHAR(10)&amp;"أولوية التحسين الأولى: "&amp;F555&amp;"."&amp;IF(J555&lt;&gt;"",CHAR(10)&amp;CHAR(10)&amp;"رابط التقرير: "&amp;J555,"")&amp;CHAR(10)&amp;CHAR(10)&amp;"إذا أحببت، يمكننا مساعدتك في فهم التقرير وتحديد أفضل خطوة تالية لعيادتكم.")</x:f>
      </x:c>
      <x:c r="L555" s="12" t="str">
        <x:f>IF(D555="","",HYPERLINK("https://wa.me/"&amp;REGEXREPLACE(D555,"[^\d]","")&amp;"?text="&amp;ENCODEURL(K555),"واتساب 1"))</x:f>
      </x:c>
      <x:c r="M555" s="12" t="str">
        <x:f>IF(A555="","","مرحبًا "&amp;C555&amp;CHAR(10)&amp;CHAR(10)&amp;"بناءً على نتيجة تقييم عيادة "&amp;B555&amp;"، فإن الترشيح الأقوى لكم الآن هو: "&amp;G555&amp;"."&amp;CHAR(10)&amp;"هذا الخيار يساعدكم في معالجة أكبر فجوة حالية بشكل عملي ومباشر."&amp;IF(J555&lt;&gt;"",CHAR(10)&amp;CHAR(10)&amp;"رابط التقرير: "&amp;J555,"")&amp;CHAR(10)&amp;CHAR(10)&amp;"إذا رغبت، يمكننا توضيح لماذا هذا الكورس هو الأنسب لكم الآن.")</x:f>
      </x:c>
      <x:c r="N555" s="12" t="str">
        <x:f>IF(D555="","",HYPERLINK("https://wa.me/"&amp;REGEXREPLACE(D555,"[^\d]","")&amp;"?text="&amp;ENCODEURL(M555),"واتساب 2"))</x:f>
      </x:c>
      <x:c r="O555" s="12" t="str">
        <x:f>IF(A555="","","مرحبًا "&amp;C555&amp;CHAR(10)&amp;CHAR(10)&amp;"إذا كانت التحديات لديكم تحتاج حلًا أشمل، فالبرنامج الكامل المناسب لكم هو: "&amp;H555&amp;"."&amp;IF(I555&lt;&gt;"",CHAR(10)&amp;"كما يمكنكم أيضًا حجز: "&amp;I555&amp;".","")&amp;IF(J555&lt;&gt;"",CHAR(10)&amp;CHAR(10)&amp;"رابط التقرير: "&amp;J555,"")&amp;CHAR(10)&amp;CHAR(10)&amp;"يسعدنا مساعدتكم في اختيار المسار الأنسب حسب وضع العيادة الحالي.")</x:f>
      </x:c>
      <x:c r="P555" s="12" t="str">
        <x:f>IF(D555="","",HYPERLINK("https://wa.me/"&amp;REGEXREPLACE(D555,"[^\d]","")&amp;"?text="&amp;ENCODEURL(O555),"واتساب 3"))</x:f>
      </x:c>
    </x:row>
    <x:row r="556" ht="15" hidden="0" customHeight="1">
      <x:c r="A556" s="12" t="str">
        <x:f>IF(Leads!A556="","",Leads!A556)</x:f>
      </x:c>
      <x:c r="B556" s="12" t="str">
        <x:f>IF(Leads!F556="","",Leads!F556)</x:f>
      </x:c>
      <x:c r="C556" s="12" t="str">
        <x:f>IF(Leads!G556="","",Leads!G556)</x:f>
      </x:c>
      <x:c r="D556" s="12" t="str">
        <x:f>IF(Leads!O556="","",Leads!O556)</x:f>
      </x:c>
      <x:c r="E556" s="12" t="str">
        <x:f>IF(Leads!AV556="","",Leads!AV556)</x:f>
      </x:c>
      <x:c r="F556" s="12" t="str">
        <x:f>IF(Leads!AX556="","",Leads!AX556)</x:f>
      </x:c>
      <x:c r="G556" s="12" t="str">
        <x:f>IF(Leads!BC556="","",Leads!BC556)</x:f>
      </x:c>
      <x:c r="H556" s="12" t="str">
        <x:f>IF(Leads!BE556="","",Leads!BE556)</x:f>
      </x:c>
      <x:c r="I556" s="12" t="str">
        <x:f>IF(Leads!BG556="","",Leads!BG556)</x:f>
      </x:c>
      <x:c r="J556" s="12" t="str">
        <x:f>IF(Leads!BH556="","",Leads!BH556)</x:f>
      </x:c>
      <x:c r="K556" s="12" t="str">
        <x:f>IF(A556="","","مرحبًا "&amp;C556&amp;CHAR(10)&amp;CHAR(10)&amp;"شكرًا لإتمام تقييم DBD الخاص بعيادة "&amp;B556&amp;"."&amp;CHAR(10)&amp;"نتيجتكم الحالية: "&amp;E556&amp;"%."&amp;CHAR(10)&amp;"أولوية التحسين الأولى: "&amp;F556&amp;"."&amp;IF(J556&lt;&gt;"",CHAR(10)&amp;CHAR(10)&amp;"رابط التقرير: "&amp;J556,"")&amp;CHAR(10)&amp;CHAR(10)&amp;"إذا أحببت، يمكننا مساعدتك في فهم التقرير وتحديد أفضل خطوة تالية لعيادتكم.")</x:f>
      </x:c>
      <x:c r="L556" s="12" t="str">
        <x:f>IF(D556="","",HYPERLINK("https://wa.me/"&amp;REGEXREPLACE(D556,"[^\d]","")&amp;"?text="&amp;ENCODEURL(K556),"واتساب 1"))</x:f>
      </x:c>
      <x:c r="M556" s="12" t="str">
        <x:f>IF(A556="","","مرحبًا "&amp;C556&amp;CHAR(10)&amp;CHAR(10)&amp;"بناءً على نتيجة تقييم عيادة "&amp;B556&amp;"، فإن الترشيح الأقوى لكم الآن هو: "&amp;G556&amp;"."&amp;CHAR(10)&amp;"هذا الخيار يساعدكم في معالجة أكبر فجوة حالية بشكل عملي ومباشر."&amp;IF(J556&lt;&gt;"",CHAR(10)&amp;CHAR(10)&amp;"رابط التقرير: "&amp;J556,"")&amp;CHAR(10)&amp;CHAR(10)&amp;"إذا رغبت، يمكننا توضيح لماذا هذا الكورس هو الأنسب لكم الآن.")</x:f>
      </x:c>
      <x:c r="N556" s="12" t="str">
        <x:f>IF(D556="","",HYPERLINK("https://wa.me/"&amp;REGEXREPLACE(D556,"[^\d]","")&amp;"?text="&amp;ENCODEURL(M556),"واتساب 2"))</x:f>
      </x:c>
      <x:c r="O556" s="12" t="str">
        <x:f>IF(A556="","","مرحبًا "&amp;C556&amp;CHAR(10)&amp;CHAR(10)&amp;"إذا كانت التحديات لديكم تحتاج حلًا أشمل، فالبرنامج الكامل المناسب لكم هو: "&amp;H556&amp;"."&amp;IF(I556&lt;&gt;"",CHAR(10)&amp;"كما يمكنكم أيضًا حجز: "&amp;I556&amp;".","")&amp;IF(J556&lt;&gt;"",CHAR(10)&amp;CHAR(10)&amp;"رابط التقرير: "&amp;J556,"")&amp;CHAR(10)&amp;CHAR(10)&amp;"يسعدنا مساعدتكم في اختيار المسار الأنسب حسب وضع العيادة الحالي.")</x:f>
      </x:c>
      <x:c r="P556" s="12" t="str">
        <x:f>IF(D556="","",HYPERLINK("https://wa.me/"&amp;REGEXREPLACE(D556,"[^\d]","")&amp;"?text="&amp;ENCODEURL(O556),"واتساب 3"))</x:f>
      </x:c>
    </x:row>
    <x:row r="557" ht="15" hidden="0" customHeight="1">
      <x:c r="A557" s="12" t="str">
        <x:f>IF(Leads!A557="","",Leads!A557)</x:f>
      </x:c>
      <x:c r="B557" s="12" t="str">
        <x:f>IF(Leads!F557="","",Leads!F557)</x:f>
      </x:c>
      <x:c r="C557" s="12" t="str">
        <x:f>IF(Leads!G557="","",Leads!G557)</x:f>
      </x:c>
      <x:c r="D557" s="12" t="str">
        <x:f>IF(Leads!O557="","",Leads!O557)</x:f>
      </x:c>
      <x:c r="E557" s="12" t="str">
        <x:f>IF(Leads!AV557="","",Leads!AV557)</x:f>
      </x:c>
      <x:c r="F557" s="12" t="str">
        <x:f>IF(Leads!AX557="","",Leads!AX557)</x:f>
      </x:c>
      <x:c r="G557" s="12" t="str">
        <x:f>IF(Leads!BC557="","",Leads!BC557)</x:f>
      </x:c>
      <x:c r="H557" s="12" t="str">
        <x:f>IF(Leads!BE557="","",Leads!BE557)</x:f>
      </x:c>
      <x:c r="I557" s="12" t="str">
        <x:f>IF(Leads!BG557="","",Leads!BG557)</x:f>
      </x:c>
      <x:c r="J557" s="12" t="str">
        <x:f>IF(Leads!BH557="","",Leads!BH557)</x:f>
      </x:c>
      <x:c r="K557" s="12" t="str">
        <x:f>IF(A557="","","مرحبًا "&amp;C557&amp;CHAR(10)&amp;CHAR(10)&amp;"شكرًا لإتمام تقييم DBD الخاص بعيادة "&amp;B557&amp;"."&amp;CHAR(10)&amp;"نتيجتكم الحالية: "&amp;E557&amp;"%."&amp;CHAR(10)&amp;"أولوية التحسين الأولى: "&amp;F557&amp;"."&amp;IF(J557&lt;&gt;"",CHAR(10)&amp;CHAR(10)&amp;"رابط التقرير: "&amp;J557,"")&amp;CHAR(10)&amp;CHAR(10)&amp;"إذا أحببت، يمكننا مساعدتك في فهم التقرير وتحديد أفضل خطوة تالية لعيادتكم.")</x:f>
      </x:c>
      <x:c r="L557" s="12" t="str">
        <x:f>IF(D557="","",HYPERLINK("https://wa.me/"&amp;REGEXREPLACE(D557,"[^\d]","")&amp;"?text="&amp;ENCODEURL(K557),"واتساب 1"))</x:f>
      </x:c>
      <x:c r="M557" s="12" t="str">
        <x:f>IF(A557="","","مرحبًا "&amp;C557&amp;CHAR(10)&amp;CHAR(10)&amp;"بناءً على نتيجة تقييم عيادة "&amp;B557&amp;"، فإن الترشيح الأقوى لكم الآن هو: "&amp;G557&amp;"."&amp;CHAR(10)&amp;"هذا الخيار يساعدكم في معالجة أكبر فجوة حالية بشكل عملي ومباشر."&amp;IF(J557&lt;&gt;"",CHAR(10)&amp;CHAR(10)&amp;"رابط التقرير: "&amp;J557,"")&amp;CHAR(10)&amp;CHAR(10)&amp;"إذا رغبت، يمكننا توضيح لماذا هذا الكورس هو الأنسب لكم الآن.")</x:f>
      </x:c>
      <x:c r="N557" s="12" t="str">
        <x:f>IF(D557="","",HYPERLINK("https://wa.me/"&amp;REGEXREPLACE(D557,"[^\d]","")&amp;"?text="&amp;ENCODEURL(M557),"واتساب 2"))</x:f>
      </x:c>
      <x:c r="O557" s="12" t="str">
        <x:f>IF(A557="","","مرحبًا "&amp;C557&amp;CHAR(10)&amp;CHAR(10)&amp;"إذا كانت التحديات لديكم تحتاج حلًا أشمل، فالبرنامج الكامل المناسب لكم هو: "&amp;H557&amp;"."&amp;IF(I557&lt;&gt;"",CHAR(10)&amp;"كما يمكنكم أيضًا حجز: "&amp;I557&amp;".","")&amp;IF(J557&lt;&gt;"",CHAR(10)&amp;CHAR(10)&amp;"رابط التقرير: "&amp;J557,"")&amp;CHAR(10)&amp;CHAR(10)&amp;"يسعدنا مساعدتكم في اختيار المسار الأنسب حسب وضع العيادة الحالي.")</x:f>
      </x:c>
      <x:c r="P557" s="12" t="str">
        <x:f>IF(D557="","",HYPERLINK("https://wa.me/"&amp;REGEXREPLACE(D557,"[^\d]","")&amp;"?text="&amp;ENCODEURL(O557),"واتساب 3"))</x:f>
      </x:c>
    </x:row>
    <x:row r="558" ht="15" hidden="0" customHeight="1">
      <x:c r="A558" s="12" t="str">
        <x:f>IF(Leads!A558="","",Leads!A558)</x:f>
      </x:c>
      <x:c r="B558" s="12" t="str">
        <x:f>IF(Leads!F558="","",Leads!F558)</x:f>
      </x:c>
      <x:c r="C558" s="12" t="str">
        <x:f>IF(Leads!G558="","",Leads!G558)</x:f>
      </x:c>
      <x:c r="D558" s="12" t="str">
        <x:f>IF(Leads!O558="","",Leads!O558)</x:f>
      </x:c>
      <x:c r="E558" s="12" t="str">
        <x:f>IF(Leads!AV558="","",Leads!AV558)</x:f>
      </x:c>
      <x:c r="F558" s="12" t="str">
        <x:f>IF(Leads!AX558="","",Leads!AX558)</x:f>
      </x:c>
      <x:c r="G558" s="12" t="str">
        <x:f>IF(Leads!BC558="","",Leads!BC558)</x:f>
      </x:c>
      <x:c r="H558" s="12" t="str">
        <x:f>IF(Leads!BE558="","",Leads!BE558)</x:f>
      </x:c>
      <x:c r="I558" s="12" t="str">
        <x:f>IF(Leads!BG558="","",Leads!BG558)</x:f>
      </x:c>
      <x:c r="J558" s="12" t="str">
        <x:f>IF(Leads!BH558="","",Leads!BH558)</x:f>
      </x:c>
      <x:c r="K558" s="12" t="str">
        <x:f>IF(A558="","","مرحبًا "&amp;C558&amp;CHAR(10)&amp;CHAR(10)&amp;"شكرًا لإتمام تقييم DBD الخاص بعيادة "&amp;B558&amp;"."&amp;CHAR(10)&amp;"نتيجتكم الحالية: "&amp;E558&amp;"%."&amp;CHAR(10)&amp;"أولوية التحسين الأولى: "&amp;F558&amp;"."&amp;IF(J558&lt;&gt;"",CHAR(10)&amp;CHAR(10)&amp;"رابط التقرير: "&amp;J558,"")&amp;CHAR(10)&amp;CHAR(10)&amp;"إذا أحببت، يمكننا مساعدتك في فهم التقرير وتحديد أفضل خطوة تالية لعيادتكم.")</x:f>
      </x:c>
      <x:c r="L558" s="12" t="str">
        <x:f>IF(D558="","",HYPERLINK("https://wa.me/"&amp;REGEXREPLACE(D558,"[^\d]","")&amp;"?text="&amp;ENCODEURL(K558),"واتساب 1"))</x:f>
      </x:c>
      <x:c r="M558" s="12" t="str">
        <x:f>IF(A558="","","مرحبًا "&amp;C558&amp;CHAR(10)&amp;CHAR(10)&amp;"بناءً على نتيجة تقييم عيادة "&amp;B558&amp;"، فإن الترشيح الأقوى لكم الآن هو: "&amp;G558&amp;"."&amp;CHAR(10)&amp;"هذا الخيار يساعدكم في معالجة أكبر فجوة حالية بشكل عملي ومباشر."&amp;IF(J558&lt;&gt;"",CHAR(10)&amp;CHAR(10)&amp;"رابط التقرير: "&amp;J558,"")&amp;CHAR(10)&amp;CHAR(10)&amp;"إذا رغبت، يمكننا توضيح لماذا هذا الكورس هو الأنسب لكم الآن.")</x:f>
      </x:c>
      <x:c r="N558" s="12" t="str">
        <x:f>IF(D558="","",HYPERLINK("https://wa.me/"&amp;REGEXREPLACE(D558,"[^\d]","")&amp;"?text="&amp;ENCODEURL(M558),"واتساب 2"))</x:f>
      </x:c>
      <x:c r="O558" s="12" t="str">
        <x:f>IF(A558="","","مرحبًا "&amp;C558&amp;CHAR(10)&amp;CHAR(10)&amp;"إذا كانت التحديات لديكم تحتاج حلًا أشمل، فالبرنامج الكامل المناسب لكم هو: "&amp;H558&amp;"."&amp;IF(I558&lt;&gt;"",CHAR(10)&amp;"كما يمكنكم أيضًا حجز: "&amp;I558&amp;".","")&amp;IF(J558&lt;&gt;"",CHAR(10)&amp;CHAR(10)&amp;"رابط التقرير: "&amp;J558,"")&amp;CHAR(10)&amp;CHAR(10)&amp;"يسعدنا مساعدتكم في اختيار المسار الأنسب حسب وضع العيادة الحالي.")</x:f>
      </x:c>
      <x:c r="P558" s="12" t="str">
        <x:f>IF(D558="","",HYPERLINK("https://wa.me/"&amp;REGEXREPLACE(D558,"[^\d]","")&amp;"?text="&amp;ENCODEURL(O558),"واتساب 3"))</x:f>
      </x:c>
    </x:row>
    <x:row r="559" ht="15" hidden="0" customHeight="1">
      <x:c r="A559" s="12" t="str">
        <x:f>IF(Leads!A559="","",Leads!A559)</x:f>
      </x:c>
      <x:c r="B559" s="12" t="str">
        <x:f>IF(Leads!F559="","",Leads!F559)</x:f>
      </x:c>
      <x:c r="C559" s="12" t="str">
        <x:f>IF(Leads!G559="","",Leads!G559)</x:f>
      </x:c>
      <x:c r="D559" s="12" t="str">
        <x:f>IF(Leads!O559="","",Leads!O559)</x:f>
      </x:c>
      <x:c r="E559" s="12" t="str">
        <x:f>IF(Leads!AV559="","",Leads!AV559)</x:f>
      </x:c>
      <x:c r="F559" s="12" t="str">
        <x:f>IF(Leads!AX559="","",Leads!AX559)</x:f>
      </x:c>
      <x:c r="G559" s="12" t="str">
        <x:f>IF(Leads!BC559="","",Leads!BC559)</x:f>
      </x:c>
      <x:c r="H559" s="12" t="str">
        <x:f>IF(Leads!BE559="","",Leads!BE559)</x:f>
      </x:c>
      <x:c r="I559" s="12" t="str">
        <x:f>IF(Leads!BG559="","",Leads!BG559)</x:f>
      </x:c>
      <x:c r="J559" s="12" t="str">
        <x:f>IF(Leads!BH559="","",Leads!BH559)</x:f>
      </x:c>
      <x:c r="K559" s="12" t="str">
        <x:f>IF(A559="","","مرحبًا "&amp;C559&amp;CHAR(10)&amp;CHAR(10)&amp;"شكرًا لإتمام تقييم DBD الخاص بعيادة "&amp;B559&amp;"."&amp;CHAR(10)&amp;"نتيجتكم الحالية: "&amp;E559&amp;"%."&amp;CHAR(10)&amp;"أولوية التحسين الأولى: "&amp;F559&amp;"."&amp;IF(J559&lt;&gt;"",CHAR(10)&amp;CHAR(10)&amp;"رابط التقرير: "&amp;J559,"")&amp;CHAR(10)&amp;CHAR(10)&amp;"إذا أحببت، يمكننا مساعدتك في فهم التقرير وتحديد أفضل خطوة تالية لعيادتكم.")</x:f>
      </x:c>
      <x:c r="L559" s="12" t="str">
        <x:f>IF(D559="","",HYPERLINK("https://wa.me/"&amp;REGEXREPLACE(D559,"[^\d]","")&amp;"?text="&amp;ENCODEURL(K559),"واتساب 1"))</x:f>
      </x:c>
      <x:c r="M559" s="12" t="str">
        <x:f>IF(A559="","","مرحبًا "&amp;C559&amp;CHAR(10)&amp;CHAR(10)&amp;"بناءً على نتيجة تقييم عيادة "&amp;B559&amp;"، فإن الترشيح الأقوى لكم الآن هو: "&amp;G559&amp;"."&amp;CHAR(10)&amp;"هذا الخيار يساعدكم في معالجة أكبر فجوة حالية بشكل عملي ومباشر."&amp;IF(J559&lt;&gt;"",CHAR(10)&amp;CHAR(10)&amp;"رابط التقرير: "&amp;J559,"")&amp;CHAR(10)&amp;CHAR(10)&amp;"إذا رغبت، يمكننا توضيح لماذا هذا الكورس هو الأنسب لكم الآن.")</x:f>
      </x:c>
      <x:c r="N559" s="12" t="str">
        <x:f>IF(D559="","",HYPERLINK("https://wa.me/"&amp;REGEXREPLACE(D559,"[^\d]","")&amp;"?text="&amp;ENCODEURL(M559),"واتساب 2"))</x:f>
      </x:c>
      <x:c r="O559" s="12" t="str">
        <x:f>IF(A559="","","مرحبًا "&amp;C559&amp;CHAR(10)&amp;CHAR(10)&amp;"إذا كانت التحديات لديكم تحتاج حلًا أشمل، فالبرنامج الكامل المناسب لكم هو: "&amp;H559&amp;"."&amp;IF(I559&lt;&gt;"",CHAR(10)&amp;"كما يمكنكم أيضًا حجز: "&amp;I559&amp;".","")&amp;IF(J559&lt;&gt;"",CHAR(10)&amp;CHAR(10)&amp;"رابط التقرير: "&amp;J559,"")&amp;CHAR(10)&amp;CHAR(10)&amp;"يسعدنا مساعدتكم في اختيار المسار الأنسب حسب وضع العيادة الحالي.")</x:f>
      </x:c>
      <x:c r="P559" s="12" t="str">
        <x:f>IF(D559="","",HYPERLINK("https://wa.me/"&amp;REGEXREPLACE(D559,"[^\d]","")&amp;"?text="&amp;ENCODEURL(O559),"واتساب 3"))</x:f>
      </x:c>
    </x:row>
    <x:row r="560" ht="15" hidden="0" customHeight="1">
      <x:c r="A560" s="12" t="str">
        <x:f>IF(Leads!A560="","",Leads!A560)</x:f>
      </x:c>
      <x:c r="B560" s="12" t="str">
        <x:f>IF(Leads!F560="","",Leads!F560)</x:f>
      </x:c>
      <x:c r="C560" s="12" t="str">
        <x:f>IF(Leads!G560="","",Leads!G560)</x:f>
      </x:c>
      <x:c r="D560" s="12" t="str">
        <x:f>IF(Leads!O560="","",Leads!O560)</x:f>
      </x:c>
      <x:c r="E560" s="12" t="str">
        <x:f>IF(Leads!AV560="","",Leads!AV560)</x:f>
      </x:c>
      <x:c r="F560" s="12" t="str">
        <x:f>IF(Leads!AX560="","",Leads!AX560)</x:f>
      </x:c>
      <x:c r="G560" s="12" t="str">
        <x:f>IF(Leads!BC560="","",Leads!BC560)</x:f>
      </x:c>
      <x:c r="H560" s="12" t="str">
        <x:f>IF(Leads!BE560="","",Leads!BE560)</x:f>
      </x:c>
      <x:c r="I560" s="12" t="str">
        <x:f>IF(Leads!BG560="","",Leads!BG560)</x:f>
      </x:c>
      <x:c r="J560" s="12" t="str">
        <x:f>IF(Leads!BH560="","",Leads!BH560)</x:f>
      </x:c>
      <x:c r="K560" s="12" t="str">
        <x:f>IF(A560="","","مرحبًا "&amp;C560&amp;CHAR(10)&amp;CHAR(10)&amp;"شكرًا لإتمام تقييم DBD الخاص بعيادة "&amp;B560&amp;"."&amp;CHAR(10)&amp;"نتيجتكم الحالية: "&amp;E560&amp;"%."&amp;CHAR(10)&amp;"أولوية التحسين الأولى: "&amp;F560&amp;"."&amp;IF(J560&lt;&gt;"",CHAR(10)&amp;CHAR(10)&amp;"رابط التقرير: "&amp;J560,"")&amp;CHAR(10)&amp;CHAR(10)&amp;"إذا أحببت، يمكننا مساعدتك في فهم التقرير وتحديد أفضل خطوة تالية لعيادتكم.")</x:f>
      </x:c>
      <x:c r="L560" s="12" t="str">
        <x:f>IF(D560="","",HYPERLINK("https://wa.me/"&amp;REGEXREPLACE(D560,"[^\d]","")&amp;"?text="&amp;ENCODEURL(K560),"واتساب 1"))</x:f>
      </x:c>
      <x:c r="M560" s="12" t="str">
        <x:f>IF(A560="","","مرحبًا "&amp;C560&amp;CHAR(10)&amp;CHAR(10)&amp;"بناءً على نتيجة تقييم عيادة "&amp;B560&amp;"، فإن الترشيح الأقوى لكم الآن هو: "&amp;G560&amp;"."&amp;CHAR(10)&amp;"هذا الخيار يساعدكم في معالجة أكبر فجوة حالية بشكل عملي ومباشر."&amp;IF(J560&lt;&gt;"",CHAR(10)&amp;CHAR(10)&amp;"رابط التقرير: "&amp;J560,"")&amp;CHAR(10)&amp;CHAR(10)&amp;"إذا رغبت، يمكننا توضيح لماذا هذا الكورس هو الأنسب لكم الآن.")</x:f>
      </x:c>
      <x:c r="N560" s="12" t="str">
        <x:f>IF(D560="","",HYPERLINK("https://wa.me/"&amp;REGEXREPLACE(D560,"[^\d]","")&amp;"?text="&amp;ENCODEURL(M560),"واتساب 2"))</x:f>
      </x:c>
      <x:c r="O560" s="12" t="str">
        <x:f>IF(A560="","","مرحبًا "&amp;C560&amp;CHAR(10)&amp;CHAR(10)&amp;"إذا كانت التحديات لديكم تحتاج حلًا أشمل، فالبرنامج الكامل المناسب لكم هو: "&amp;H560&amp;"."&amp;IF(I560&lt;&gt;"",CHAR(10)&amp;"كما يمكنكم أيضًا حجز: "&amp;I560&amp;".","")&amp;IF(J560&lt;&gt;"",CHAR(10)&amp;CHAR(10)&amp;"رابط التقرير: "&amp;J560,"")&amp;CHAR(10)&amp;CHAR(10)&amp;"يسعدنا مساعدتكم في اختيار المسار الأنسب حسب وضع العيادة الحالي.")</x:f>
      </x:c>
      <x:c r="P560" s="12" t="str">
        <x:f>IF(D560="","",HYPERLINK("https://wa.me/"&amp;REGEXREPLACE(D560,"[^\d]","")&amp;"?text="&amp;ENCODEURL(O560),"واتساب 3"))</x:f>
      </x:c>
    </x:row>
    <x:row r="561" ht="15" hidden="0" customHeight="1">
      <x:c r="A561" s="12" t="str">
        <x:f>IF(Leads!A561="","",Leads!A561)</x:f>
      </x:c>
      <x:c r="B561" s="12" t="str">
        <x:f>IF(Leads!F561="","",Leads!F561)</x:f>
      </x:c>
      <x:c r="C561" s="12" t="str">
        <x:f>IF(Leads!G561="","",Leads!G561)</x:f>
      </x:c>
      <x:c r="D561" s="12" t="str">
        <x:f>IF(Leads!O561="","",Leads!O561)</x:f>
      </x:c>
      <x:c r="E561" s="12" t="str">
        <x:f>IF(Leads!AV561="","",Leads!AV561)</x:f>
      </x:c>
      <x:c r="F561" s="12" t="str">
        <x:f>IF(Leads!AX561="","",Leads!AX561)</x:f>
      </x:c>
      <x:c r="G561" s="12" t="str">
        <x:f>IF(Leads!BC561="","",Leads!BC561)</x:f>
      </x:c>
      <x:c r="H561" s="12" t="str">
        <x:f>IF(Leads!BE561="","",Leads!BE561)</x:f>
      </x:c>
      <x:c r="I561" s="12" t="str">
        <x:f>IF(Leads!BG561="","",Leads!BG561)</x:f>
      </x:c>
      <x:c r="J561" s="12" t="str">
        <x:f>IF(Leads!BH561="","",Leads!BH561)</x:f>
      </x:c>
      <x:c r="K561" s="12" t="str">
        <x:f>IF(A561="","","مرحبًا "&amp;C561&amp;CHAR(10)&amp;CHAR(10)&amp;"شكرًا لإتمام تقييم DBD الخاص بعيادة "&amp;B561&amp;"."&amp;CHAR(10)&amp;"نتيجتكم الحالية: "&amp;E561&amp;"%."&amp;CHAR(10)&amp;"أولوية التحسين الأولى: "&amp;F561&amp;"."&amp;IF(J561&lt;&gt;"",CHAR(10)&amp;CHAR(10)&amp;"رابط التقرير: "&amp;J561,"")&amp;CHAR(10)&amp;CHAR(10)&amp;"إذا أحببت، يمكننا مساعدتك في فهم التقرير وتحديد أفضل خطوة تالية لعيادتكم.")</x:f>
      </x:c>
      <x:c r="L561" s="12" t="str">
        <x:f>IF(D561="","",HYPERLINK("https://wa.me/"&amp;REGEXREPLACE(D561,"[^\d]","")&amp;"?text="&amp;ENCODEURL(K561),"واتساب 1"))</x:f>
      </x:c>
      <x:c r="M561" s="12" t="str">
        <x:f>IF(A561="","","مرحبًا "&amp;C561&amp;CHAR(10)&amp;CHAR(10)&amp;"بناءً على نتيجة تقييم عيادة "&amp;B561&amp;"، فإن الترشيح الأقوى لكم الآن هو: "&amp;G561&amp;"."&amp;CHAR(10)&amp;"هذا الخيار يساعدكم في معالجة أكبر فجوة حالية بشكل عملي ومباشر."&amp;IF(J561&lt;&gt;"",CHAR(10)&amp;CHAR(10)&amp;"رابط التقرير: "&amp;J561,"")&amp;CHAR(10)&amp;CHAR(10)&amp;"إذا رغبت، يمكننا توضيح لماذا هذا الكورس هو الأنسب لكم الآن.")</x:f>
      </x:c>
      <x:c r="N561" s="12" t="str">
        <x:f>IF(D561="","",HYPERLINK("https://wa.me/"&amp;REGEXREPLACE(D561,"[^\d]","")&amp;"?text="&amp;ENCODEURL(M561),"واتساب 2"))</x:f>
      </x:c>
      <x:c r="O561" s="12" t="str">
        <x:f>IF(A561="","","مرحبًا "&amp;C561&amp;CHAR(10)&amp;CHAR(10)&amp;"إذا كانت التحديات لديكم تحتاج حلًا أشمل، فالبرنامج الكامل المناسب لكم هو: "&amp;H561&amp;"."&amp;IF(I561&lt;&gt;"",CHAR(10)&amp;"كما يمكنكم أيضًا حجز: "&amp;I561&amp;".","")&amp;IF(J561&lt;&gt;"",CHAR(10)&amp;CHAR(10)&amp;"رابط التقرير: "&amp;J561,"")&amp;CHAR(10)&amp;CHAR(10)&amp;"يسعدنا مساعدتكم في اختيار المسار الأنسب حسب وضع العيادة الحالي.")</x:f>
      </x:c>
      <x:c r="P561" s="12" t="str">
        <x:f>IF(D561="","",HYPERLINK("https://wa.me/"&amp;REGEXREPLACE(D561,"[^\d]","")&amp;"?text="&amp;ENCODEURL(O561),"واتساب 3"))</x:f>
      </x:c>
    </x:row>
    <x:row r="562" ht="15" hidden="0" customHeight="1">
      <x:c r="A562" s="12" t="str">
        <x:f>IF(Leads!A562="","",Leads!A562)</x:f>
      </x:c>
      <x:c r="B562" s="12" t="str">
        <x:f>IF(Leads!F562="","",Leads!F562)</x:f>
      </x:c>
      <x:c r="C562" s="12" t="str">
        <x:f>IF(Leads!G562="","",Leads!G562)</x:f>
      </x:c>
      <x:c r="D562" s="12" t="str">
        <x:f>IF(Leads!O562="","",Leads!O562)</x:f>
      </x:c>
      <x:c r="E562" s="12" t="str">
        <x:f>IF(Leads!AV562="","",Leads!AV562)</x:f>
      </x:c>
      <x:c r="F562" s="12" t="str">
        <x:f>IF(Leads!AX562="","",Leads!AX562)</x:f>
      </x:c>
      <x:c r="G562" s="12" t="str">
        <x:f>IF(Leads!BC562="","",Leads!BC562)</x:f>
      </x:c>
      <x:c r="H562" s="12" t="str">
        <x:f>IF(Leads!BE562="","",Leads!BE562)</x:f>
      </x:c>
      <x:c r="I562" s="12" t="str">
        <x:f>IF(Leads!BG562="","",Leads!BG562)</x:f>
      </x:c>
      <x:c r="J562" s="12" t="str">
        <x:f>IF(Leads!BH562="","",Leads!BH562)</x:f>
      </x:c>
      <x:c r="K562" s="12" t="str">
        <x:f>IF(A562="","","مرحبًا "&amp;C562&amp;CHAR(10)&amp;CHAR(10)&amp;"شكرًا لإتمام تقييم DBD الخاص بعيادة "&amp;B562&amp;"."&amp;CHAR(10)&amp;"نتيجتكم الحالية: "&amp;E562&amp;"%."&amp;CHAR(10)&amp;"أولوية التحسين الأولى: "&amp;F562&amp;"."&amp;IF(J562&lt;&gt;"",CHAR(10)&amp;CHAR(10)&amp;"رابط التقرير: "&amp;J562,"")&amp;CHAR(10)&amp;CHAR(10)&amp;"إذا أحببت، يمكننا مساعدتك في فهم التقرير وتحديد أفضل خطوة تالية لعيادتكم.")</x:f>
      </x:c>
      <x:c r="L562" s="12" t="str">
        <x:f>IF(D562="","",HYPERLINK("https://wa.me/"&amp;REGEXREPLACE(D562,"[^\d]","")&amp;"?text="&amp;ENCODEURL(K562),"واتساب 1"))</x:f>
      </x:c>
      <x:c r="M562" s="12" t="str">
        <x:f>IF(A562="","","مرحبًا "&amp;C562&amp;CHAR(10)&amp;CHAR(10)&amp;"بناءً على نتيجة تقييم عيادة "&amp;B562&amp;"، فإن الترشيح الأقوى لكم الآن هو: "&amp;G562&amp;"."&amp;CHAR(10)&amp;"هذا الخيار يساعدكم في معالجة أكبر فجوة حالية بشكل عملي ومباشر."&amp;IF(J562&lt;&gt;"",CHAR(10)&amp;CHAR(10)&amp;"رابط التقرير: "&amp;J562,"")&amp;CHAR(10)&amp;CHAR(10)&amp;"إذا رغبت، يمكننا توضيح لماذا هذا الكورس هو الأنسب لكم الآن.")</x:f>
      </x:c>
      <x:c r="N562" s="12" t="str">
        <x:f>IF(D562="","",HYPERLINK("https://wa.me/"&amp;REGEXREPLACE(D562,"[^\d]","")&amp;"?text="&amp;ENCODEURL(M562),"واتساب 2"))</x:f>
      </x:c>
      <x:c r="O562" s="12" t="str">
        <x:f>IF(A562="","","مرحبًا "&amp;C562&amp;CHAR(10)&amp;CHAR(10)&amp;"إذا كانت التحديات لديكم تحتاج حلًا أشمل، فالبرنامج الكامل المناسب لكم هو: "&amp;H562&amp;"."&amp;IF(I562&lt;&gt;"",CHAR(10)&amp;"كما يمكنكم أيضًا حجز: "&amp;I562&amp;".","")&amp;IF(J562&lt;&gt;"",CHAR(10)&amp;CHAR(10)&amp;"رابط التقرير: "&amp;J562,"")&amp;CHAR(10)&amp;CHAR(10)&amp;"يسعدنا مساعدتكم في اختيار المسار الأنسب حسب وضع العيادة الحالي.")</x:f>
      </x:c>
      <x:c r="P562" s="12" t="str">
        <x:f>IF(D562="","",HYPERLINK("https://wa.me/"&amp;REGEXREPLACE(D562,"[^\d]","")&amp;"?text="&amp;ENCODEURL(O562),"واتساب 3"))</x:f>
      </x:c>
    </x:row>
    <x:row r="563" ht="15" hidden="0" customHeight="1">
      <x:c r="A563" s="12" t="str">
        <x:f>IF(Leads!A563="","",Leads!A563)</x:f>
      </x:c>
      <x:c r="B563" s="12" t="str">
        <x:f>IF(Leads!F563="","",Leads!F563)</x:f>
      </x:c>
      <x:c r="C563" s="12" t="str">
        <x:f>IF(Leads!G563="","",Leads!G563)</x:f>
      </x:c>
      <x:c r="D563" s="12" t="str">
        <x:f>IF(Leads!O563="","",Leads!O563)</x:f>
      </x:c>
      <x:c r="E563" s="12" t="str">
        <x:f>IF(Leads!AV563="","",Leads!AV563)</x:f>
      </x:c>
      <x:c r="F563" s="12" t="str">
        <x:f>IF(Leads!AX563="","",Leads!AX563)</x:f>
      </x:c>
      <x:c r="G563" s="12" t="str">
        <x:f>IF(Leads!BC563="","",Leads!BC563)</x:f>
      </x:c>
      <x:c r="H563" s="12" t="str">
        <x:f>IF(Leads!BE563="","",Leads!BE563)</x:f>
      </x:c>
      <x:c r="I563" s="12" t="str">
        <x:f>IF(Leads!BG563="","",Leads!BG563)</x:f>
      </x:c>
      <x:c r="J563" s="12" t="str">
        <x:f>IF(Leads!BH563="","",Leads!BH563)</x:f>
      </x:c>
      <x:c r="K563" s="12" t="str">
        <x:f>IF(A563="","","مرحبًا "&amp;C563&amp;CHAR(10)&amp;CHAR(10)&amp;"شكرًا لإتمام تقييم DBD الخاص بعيادة "&amp;B563&amp;"."&amp;CHAR(10)&amp;"نتيجتكم الحالية: "&amp;E563&amp;"%."&amp;CHAR(10)&amp;"أولوية التحسين الأولى: "&amp;F563&amp;"."&amp;IF(J563&lt;&gt;"",CHAR(10)&amp;CHAR(10)&amp;"رابط التقرير: "&amp;J563,"")&amp;CHAR(10)&amp;CHAR(10)&amp;"إذا أحببت، يمكننا مساعدتك في فهم التقرير وتحديد أفضل خطوة تالية لعيادتكم.")</x:f>
      </x:c>
      <x:c r="L563" s="12" t="str">
        <x:f>IF(D563="","",HYPERLINK("https://wa.me/"&amp;REGEXREPLACE(D563,"[^\d]","")&amp;"?text="&amp;ENCODEURL(K563),"واتساب 1"))</x:f>
      </x:c>
      <x:c r="M563" s="12" t="str">
        <x:f>IF(A563="","","مرحبًا "&amp;C563&amp;CHAR(10)&amp;CHAR(10)&amp;"بناءً على نتيجة تقييم عيادة "&amp;B563&amp;"، فإن الترشيح الأقوى لكم الآن هو: "&amp;G563&amp;"."&amp;CHAR(10)&amp;"هذا الخيار يساعدكم في معالجة أكبر فجوة حالية بشكل عملي ومباشر."&amp;IF(J563&lt;&gt;"",CHAR(10)&amp;CHAR(10)&amp;"رابط التقرير: "&amp;J563,"")&amp;CHAR(10)&amp;CHAR(10)&amp;"إذا رغبت، يمكننا توضيح لماذا هذا الكورس هو الأنسب لكم الآن.")</x:f>
      </x:c>
      <x:c r="N563" s="12" t="str">
        <x:f>IF(D563="","",HYPERLINK("https://wa.me/"&amp;REGEXREPLACE(D563,"[^\d]","")&amp;"?text="&amp;ENCODEURL(M563),"واتساب 2"))</x:f>
      </x:c>
      <x:c r="O563" s="12" t="str">
        <x:f>IF(A563="","","مرحبًا "&amp;C563&amp;CHAR(10)&amp;CHAR(10)&amp;"إذا كانت التحديات لديكم تحتاج حلًا أشمل، فالبرنامج الكامل المناسب لكم هو: "&amp;H563&amp;"."&amp;IF(I563&lt;&gt;"",CHAR(10)&amp;"كما يمكنكم أيضًا حجز: "&amp;I563&amp;".","")&amp;IF(J563&lt;&gt;"",CHAR(10)&amp;CHAR(10)&amp;"رابط التقرير: "&amp;J563,"")&amp;CHAR(10)&amp;CHAR(10)&amp;"يسعدنا مساعدتكم في اختيار المسار الأنسب حسب وضع العيادة الحالي.")</x:f>
      </x:c>
      <x:c r="P563" s="12" t="str">
        <x:f>IF(D563="","",HYPERLINK("https://wa.me/"&amp;REGEXREPLACE(D563,"[^\d]","")&amp;"?text="&amp;ENCODEURL(O563),"واتساب 3"))</x:f>
      </x:c>
    </x:row>
    <x:row r="564" ht="15" hidden="0" customHeight="1">
      <x:c r="A564" s="12" t="str">
        <x:f>IF(Leads!A564="","",Leads!A564)</x:f>
      </x:c>
      <x:c r="B564" s="12" t="str">
        <x:f>IF(Leads!F564="","",Leads!F564)</x:f>
      </x:c>
      <x:c r="C564" s="12" t="str">
        <x:f>IF(Leads!G564="","",Leads!G564)</x:f>
      </x:c>
      <x:c r="D564" s="12" t="str">
        <x:f>IF(Leads!O564="","",Leads!O564)</x:f>
      </x:c>
      <x:c r="E564" s="12" t="str">
        <x:f>IF(Leads!AV564="","",Leads!AV564)</x:f>
      </x:c>
      <x:c r="F564" s="12" t="str">
        <x:f>IF(Leads!AX564="","",Leads!AX564)</x:f>
      </x:c>
      <x:c r="G564" s="12" t="str">
        <x:f>IF(Leads!BC564="","",Leads!BC564)</x:f>
      </x:c>
      <x:c r="H564" s="12" t="str">
        <x:f>IF(Leads!BE564="","",Leads!BE564)</x:f>
      </x:c>
      <x:c r="I564" s="12" t="str">
        <x:f>IF(Leads!BG564="","",Leads!BG564)</x:f>
      </x:c>
      <x:c r="J564" s="12" t="str">
        <x:f>IF(Leads!BH564="","",Leads!BH564)</x:f>
      </x:c>
      <x:c r="K564" s="12" t="str">
        <x:f>IF(A564="","","مرحبًا "&amp;C564&amp;CHAR(10)&amp;CHAR(10)&amp;"شكرًا لإتمام تقييم DBD الخاص بعيادة "&amp;B564&amp;"."&amp;CHAR(10)&amp;"نتيجتكم الحالية: "&amp;E564&amp;"%."&amp;CHAR(10)&amp;"أولوية التحسين الأولى: "&amp;F564&amp;"."&amp;IF(J564&lt;&gt;"",CHAR(10)&amp;CHAR(10)&amp;"رابط التقرير: "&amp;J564,"")&amp;CHAR(10)&amp;CHAR(10)&amp;"إذا أحببت، يمكننا مساعدتك في فهم التقرير وتحديد أفضل خطوة تالية لعيادتكم.")</x:f>
      </x:c>
      <x:c r="L564" s="12" t="str">
        <x:f>IF(D564="","",HYPERLINK("https://wa.me/"&amp;REGEXREPLACE(D564,"[^\d]","")&amp;"?text="&amp;ENCODEURL(K564),"واتساب 1"))</x:f>
      </x:c>
      <x:c r="M564" s="12" t="str">
        <x:f>IF(A564="","","مرحبًا "&amp;C564&amp;CHAR(10)&amp;CHAR(10)&amp;"بناءً على نتيجة تقييم عيادة "&amp;B564&amp;"، فإن الترشيح الأقوى لكم الآن هو: "&amp;G564&amp;"."&amp;CHAR(10)&amp;"هذا الخيار يساعدكم في معالجة أكبر فجوة حالية بشكل عملي ومباشر."&amp;IF(J564&lt;&gt;"",CHAR(10)&amp;CHAR(10)&amp;"رابط التقرير: "&amp;J564,"")&amp;CHAR(10)&amp;CHAR(10)&amp;"إذا رغبت، يمكننا توضيح لماذا هذا الكورس هو الأنسب لكم الآن.")</x:f>
      </x:c>
      <x:c r="N564" s="12" t="str">
        <x:f>IF(D564="","",HYPERLINK("https://wa.me/"&amp;REGEXREPLACE(D564,"[^\d]","")&amp;"?text="&amp;ENCODEURL(M564),"واتساب 2"))</x:f>
      </x:c>
      <x:c r="O564" s="12" t="str">
        <x:f>IF(A564="","","مرحبًا "&amp;C564&amp;CHAR(10)&amp;CHAR(10)&amp;"إذا كانت التحديات لديكم تحتاج حلًا أشمل، فالبرنامج الكامل المناسب لكم هو: "&amp;H564&amp;"."&amp;IF(I564&lt;&gt;"",CHAR(10)&amp;"كما يمكنكم أيضًا حجز: "&amp;I564&amp;".","")&amp;IF(J564&lt;&gt;"",CHAR(10)&amp;CHAR(10)&amp;"رابط التقرير: "&amp;J564,"")&amp;CHAR(10)&amp;CHAR(10)&amp;"يسعدنا مساعدتكم في اختيار المسار الأنسب حسب وضع العيادة الحالي.")</x:f>
      </x:c>
      <x:c r="P564" s="12" t="str">
        <x:f>IF(D564="","",HYPERLINK("https://wa.me/"&amp;REGEXREPLACE(D564,"[^\d]","")&amp;"?text="&amp;ENCODEURL(O564),"واتساب 3"))</x:f>
      </x:c>
    </x:row>
    <x:row r="565" ht="15" hidden="0" customHeight="1">
      <x:c r="A565" s="12" t="str">
        <x:f>IF(Leads!A565="","",Leads!A565)</x:f>
      </x:c>
      <x:c r="B565" s="12" t="str">
        <x:f>IF(Leads!F565="","",Leads!F565)</x:f>
      </x:c>
      <x:c r="C565" s="12" t="str">
        <x:f>IF(Leads!G565="","",Leads!G565)</x:f>
      </x:c>
      <x:c r="D565" s="12" t="str">
        <x:f>IF(Leads!O565="","",Leads!O565)</x:f>
      </x:c>
      <x:c r="E565" s="12" t="str">
        <x:f>IF(Leads!AV565="","",Leads!AV565)</x:f>
      </x:c>
      <x:c r="F565" s="12" t="str">
        <x:f>IF(Leads!AX565="","",Leads!AX565)</x:f>
      </x:c>
      <x:c r="G565" s="12" t="str">
        <x:f>IF(Leads!BC565="","",Leads!BC565)</x:f>
      </x:c>
      <x:c r="H565" s="12" t="str">
        <x:f>IF(Leads!BE565="","",Leads!BE565)</x:f>
      </x:c>
      <x:c r="I565" s="12" t="str">
        <x:f>IF(Leads!BG565="","",Leads!BG565)</x:f>
      </x:c>
      <x:c r="J565" s="12" t="str">
        <x:f>IF(Leads!BH565="","",Leads!BH565)</x:f>
      </x:c>
      <x:c r="K565" s="12" t="str">
        <x:f>IF(A565="","","مرحبًا "&amp;C565&amp;CHAR(10)&amp;CHAR(10)&amp;"شكرًا لإتمام تقييم DBD الخاص بعيادة "&amp;B565&amp;"."&amp;CHAR(10)&amp;"نتيجتكم الحالية: "&amp;E565&amp;"%."&amp;CHAR(10)&amp;"أولوية التحسين الأولى: "&amp;F565&amp;"."&amp;IF(J565&lt;&gt;"",CHAR(10)&amp;CHAR(10)&amp;"رابط التقرير: "&amp;J565,"")&amp;CHAR(10)&amp;CHAR(10)&amp;"إذا أحببت، يمكننا مساعدتك في فهم التقرير وتحديد أفضل خطوة تالية لعيادتكم.")</x:f>
      </x:c>
      <x:c r="L565" s="12" t="str">
        <x:f>IF(D565="","",HYPERLINK("https://wa.me/"&amp;REGEXREPLACE(D565,"[^\d]","")&amp;"?text="&amp;ENCODEURL(K565),"واتساب 1"))</x:f>
      </x:c>
      <x:c r="M565" s="12" t="str">
        <x:f>IF(A565="","","مرحبًا "&amp;C565&amp;CHAR(10)&amp;CHAR(10)&amp;"بناءً على نتيجة تقييم عيادة "&amp;B565&amp;"، فإن الترشيح الأقوى لكم الآن هو: "&amp;G565&amp;"."&amp;CHAR(10)&amp;"هذا الخيار يساعدكم في معالجة أكبر فجوة حالية بشكل عملي ومباشر."&amp;IF(J565&lt;&gt;"",CHAR(10)&amp;CHAR(10)&amp;"رابط التقرير: "&amp;J565,"")&amp;CHAR(10)&amp;CHAR(10)&amp;"إذا رغبت، يمكننا توضيح لماذا هذا الكورس هو الأنسب لكم الآن.")</x:f>
      </x:c>
      <x:c r="N565" s="12" t="str">
        <x:f>IF(D565="","",HYPERLINK("https://wa.me/"&amp;REGEXREPLACE(D565,"[^\d]","")&amp;"?text="&amp;ENCODEURL(M565),"واتساب 2"))</x:f>
      </x:c>
      <x:c r="O565" s="12" t="str">
        <x:f>IF(A565="","","مرحبًا "&amp;C565&amp;CHAR(10)&amp;CHAR(10)&amp;"إذا كانت التحديات لديكم تحتاج حلًا أشمل، فالبرنامج الكامل المناسب لكم هو: "&amp;H565&amp;"."&amp;IF(I565&lt;&gt;"",CHAR(10)&amp;"كما يمكنكم أيضًا حجز: "&amp;I565&amp;".","")&amp;IF(J565&lt;&gt;"",CHAR(10)&amp;CHAR(10)&amp;"رابط التقرير: "&amp;J565,"")&amp;CHAR(10)&amp;CHAR(10)&amp;"يسعدنا مساعدتكم في اختيار المسار الأنسب حسب وضع العيادة الحالي.")</x:f>
      </x:c>
      <x:c r="P565" s="12" t="str">
        <x:f>IF(D565="","",HYPERLINK("https://wa.me/"&amp;REGEXREPLACE(D565,"[^\d]","")&amp;"?text="&amp;ENCODEURL(O565),"واتساب 3"))</x:f>
      </x:c>
    </x:row>
    <x:row r="566" ht="15" hidden="0" customHeight="1">
      <x:c r="A566" s="12" t="str">
        <x:f>IF(Leads!A566="","",Leads!A566)</x:f>
      </x:c>
      <x:c r="B566" s="12" t="str">
        <x:f>IF(Leads!F566="","",Leads!F566)</x:f>
      </x:c>
      <x:c r="C566" s="12" t="str">
        <x:f>IF(Leads!G566="","",Leads!G566)</x:f>
      </x:c>
      <x:c r="D566" s="12" t="str">
        <x:f>IF(Leads!O566="","",Leads!O566)</x:f>
      </x:c>
      <x:c r="E566" s="12" t="str">
        <x:f>IF(Leads!AV566="","",Leads!AV566)</x:f>
      </x:c>
      <x:c r="F566" s="12" t="str">
        <x:f>IF(Leads!AX566="","",Leads!AX566)</x:f>
      </x:c>
      <x:c r="G566" s="12" t="str">
        <x:f>IF(Leads!BC566="","",Leads!BC566)</x:f>
      </x:c>
      <x:c r="H566" s="12" t="str">
        <x:f>IF(Leads!BE566="","",Leads!BE566)</x:f>
      </x:c>
      <x:c r="I566" s="12" t="str">
        <x:f>IF(Leads!BG566="","",Leads!BG566)</x:f>
      </x:c>
      <x:c r="J566" s="12" t="str">
        <x:f>IF(Leads!BH566="","",Leads!BH566)</x:f>
      </x:c>
      <x:c r="K566" s="12" t="str">
        <x:f>IF(A566="","","مرحبًا "&amp;C566&amp;CHAR(10)&amp;CHAR(10)&amp;"شكرًا لإتمام تقييم DBD الخاص بعيادة "&amp;B566&amp;"."&amp;CHAR(10)&amp;"نتيجتكم الحالية: "&amp;E566&amp;"%."&amp;CHAR(10)&amp;"أولوية التحسين الأولى: "&amp;F566&amp;"."&amp;IF(J566&lt;&gt;"",CHAR(10)&amp;CHAR(10)&amp;"رابط التقرير: "&amp;J566,"")&amp;CHAR(10)&amp;CHAR(10)&amp;"إذا أحببت، يمكننا مساعدتك في فهم التقرير وتحديد أفضل خطوة تالية لعيادتكم.")</x:f>
      </x:c>
      <x:c r="L566" s="12" t="str">
        <x:f>IF(D566="","",HYPERLINK("https://wa.me/"&amp;REGEXREPLACE(D566,"[^\d]","")&amp;"?text="&amp;ENCODEURL(K566),"واتساب 1"))</x:f>
      </x:c>
      <x:c r="M566" s="12" t="str">
        <x:f>IF(A566="","","مرحبًا "&amp;C566&amp;CHAR(10)&amp;CHAR(10)&amp;"بناءً على نتيجة تقييم عيادة "&amp;B566&amp;"، فإن الترشيح الأقوى لكم الآن هو: "&amp;G566&amp;"."&amp;CHAR(10)&amp;"هذا الخيار يساعدكم في معالجة أكبر فجوة حالية بشكل عملي ومباشر."&amp;IF(J566&lt;&gt;"",CHAR(10)&amp;CHAR(10)&amp;"رابط التقرير: "&amp;J566,"")&amp;CHAR(10)&amp;CHAR(10)&amp;"إذا رغبت، يمكننا توضيح لماذا هذا الكورس هو الأنسب لكم الآن.")</x:f>
      </x:c>
      <x:c r="N566" s="12" t="str">
        <x:f>IF(D566="","",HYPERLINK("https://wa.me/"&amp;REGEXREPLACE(D566,"[^\d]","")&amp;"?text="&amp;ENCODEURL(M566),"واتساب 2"))</x:f>
      </x:c>
      <x:c r="O566" s="12" t="str">
        <x:f>IF(A566="","","مرحبًا "&amp;C566&amp;CHAR(10)&amp;CHAR(10)&amp;"إذا كانت التحديات لديكم تحتاج حلًا أشمل، فالبرنامج الكامل المناسب لكم هو: "&amp;H566&amp;"."&amp;IF(I566&lt;&gt;"",CHAR(10)&amp;"كما يمكنكم أيضًا حجز: "&amp;I566&amp;".","")&amp;IF(J566&lt;&gt;"",CHAR(10)&amp;CHAR(10)&amp;"رابط التقرير: "&amp;J566,"")&amp;CHAR(10)&amp;CHAR(10)&amp;"يسعدنا مساعدتكم في اختيار المسار الأنسب حسب وضع العيادة الحالي.")</x:f>
      </x:c>
      <x:c r="P566" s="12" t="str">
        <x:f>IF(D566="","",HYPERLINK("https://wa.me/"&amp;REGEXREPLACE(D566,"[^\d]","")&amp;"?text="&amp;ENCODEURL(O566),"واتساب 3"))</x:f>
      </x:c>
    </x:row>
    <x:row r="567" ht="15" hidden="0" customHeight="1">
      <x:c r="A567" s="12" t="str">
        <x:f>IF(Leads!A567="","",Leads!A567)</x:f>
      </x:c>
      <x:c r="B567" s="12" t="str">
        <x:f>IF(Leads!F567="","",Leads!F567)</x:f>
      </x:c>
      <x:c r="C567" s="12" t="str">
        <x:f>IF(Leads!G567="","",Leads!G567)</x:f>
      </x:c>
      <x:c r="D567" s="12" t="str">
        <x:f>IF(Leads!O567="","",Leads!O567)</x:f>
      </x:c>
      <x:c r="E567" s="12" t="str">
        <x:f>IF(Leads!AV567="","",Leads!AV567)</x:f>
      </x:c>
      <x:c r="F567" s="12" t="str">
        <x:f>IF(Leads!AX567="","",Leads!AX567)</x:f>
      </x:c>
      <x:c r="G567" s="12" t="str">
        <x:f>IF(Leads!BC567="","",Leads!BC567)</x:f>
      </x:c>
      <x:c r="H567" s="12" t="str">
        <x:f>IF(Leads!BE567="","",Leads!BE567)</x:f>
      </x:c>
      <x:c r="I567" s="12" t="str">
        <x:f>IF(Leads!BG567="","",Leads!BG567)</x:f>
      </x:c>
      <x:c r="J567" s="12" t="str">
        <x:f>IF(Leads!BH567="","",Leads!BH567)</x:f>
      </x:c>
      <x:c r="K567" s="12" t="str">
        <x:f>IF(A567="","","مرحبًا "&amp;C567&amp;CHAR(10)&amp;CHAR(10)&amp;"شكرًا لإتمام تقييم DBD الخاص بعيادة "&amp;B567&amp;"."&amp;CHAR(10)&amp;"نتيجتكم الحالية: "&amp;E567&amp;"%."&amp;CHAR(10)&amp;"أولوية التحسين الأولى: "&amp;F567&amp;"."&amp;IF(J567&lt;&gt;"",CHAR(10)&amp;CHAR(10)&amp;"رابط التقرير: "&amp;J567,"")&amp;CHAR(10)&amp;CHAR(10)&amp;"إذا أحببت، يمكننا مساعدتك في فهم التقرير وتحديد أفضل خطوة تالية لعيادتكم.")</x:f>
      </x:c>
      <x:c r="L567" s="12" t="str">
        <x:f>IF(D567="","",HYPERLINK("https://wa.me/"&amp;REGEXREPLACE(D567,"[^\d]","")&amp;"?text="&amp;ENCODEURL(K567),"واتساب 1"))</x:f>
      </x:c>
      <x:c r="M567" s="12" t="str">
        <x:f>IF(A567="","","مرحبًا "&amp;C567&amp;CHAR(10)&amp;CHAR(10)&amp;"بناءً على نتيجة تقييم عيادة "&amp;B567&amp;"، فإن الترشيح الأقوى لكم الآن هو: "&amp;G567&amp;"."&amp;CHAR(10)&amp;"هذا الخيار يساعدكم في معالجة أكبر فجوة حالية بشكل عملي ومباشر."&amp;IF(J567&lt;&gt;"",CHAR(10)&amp;CHAR(10)&amp;"رابط التقرير: "&amp;J567,"")&amp;CHAR(10)&amp;CHAR(10)&amp;"إذا رغبت، يمكننا توضيح لماذا هذا الكورس هو الأنسب لكم الآن.")</x:f>
      </x:c>
      <x:c r="N567" s="12" t="str">
        <x:f>IF(D567="","",HYPERLINK("https://wa.me/"&amp;REGEXREPLACE(D567,"[^\d]","")&amp;"?text="&amp;ENCODEURL(M567),"واتساب 2"))</x:f>
      </x:c>
      <x:c r="O567" s="12" t="str">
        <x:f>IF(A567="","","مرحبًا "&amp;C567&amp;CHAR(10)&amp;CHAR(10)&amp;"إذا كانت التحديات لديكم تحتاج حلًا أشمل، فالبرنامج الكامل المناسب لكم هو: "&amp;H567&amp;"."&amp;IF(I567&lt;&gt;"",CHAR(10)&amp;"كما يمكنكم أيضًا حجز: "&amp;I567&amp;".","")&amp;IF(J567&lt;&gt;"",CHAR(10)&amp;CHAR(10)&amp;"رابط التقرير: "&amp;J567,"")&amp;CHAR(10)&amp;CHAR(10)&amp;"يسعدنا مساعدتكم في اختيار المسار الأنسب حسب وضع العيادة الحالي.")</x:f>
      </x:c>
      <x:c r="P567" s="12" t="str">
        <x:f>IF(D567="","",HYPERLINK("https://wa.me/"&amp;REGEXREPLACE(D567,"[^\d]","")&amp;"?text="&amp;ENCODEURL(O567),"واتساب 3"))</x:f>
      </x:c>
    </x:row>
    <x:row r="568" ht="15" hidden="0" customHeight="1">
      <x:c r="A568" s="12" t="str">
        <x:f>IF(Leads!A568="","",Leads!A568)</x:f>
      </x:c>
      <x:c r="B568" s="12" t="str">
        <x:f>IF(Leads!F568="","",Leads!F568)</x:f>
      </x:c>
      <x:c r="C568" s="12" t="str">
        <x:f>IF(Leads!G568="","",Leads!G568)</x:f>
      </x:c>
      <x:c r="D568" s="12" t="str">
        <x:f>IF(Leads!O568="","",Leads!O568)</x:f>
      </x:c>
      <x:c r="E568" s="12" t="str">
        <x:f>IF(Leads!AV568="","",Leads!AV568)</x:f>
      </x:c>
      <x:c r="F568" s="12" t="str">
        <x:f>IF(Leads!AX568="","",Leads!AX568)</x:f>
      </x:c>
      <x:c r="G568" s="12" t="str">
        <x:f>IF(Leads!BC568="","",Leads!BC568)</x:f>
      </x:c>
      <x:c r="H568" s="12" t="str">
        <x:f>IF(Leads!BE568="","",Leads!BE568)</x:f>
      </x:c>
      <x:c r="I568" s="12" t="str">
        <x:f>IF(Leads!BG568="","",Leads!BG568)</x:f>
      </x:c>
      <x:c r="J568" s="12" t="str">
        <x:f>IF(Leads!BH568="","",Leads!BH568)</x:f>
      </x:c>
      <x:c r="K568" s="12" t="str">
        <x:f>IF(A568="","","مرحبًا "&amp;C568&amp;CHAR(10)&amp;CHAR(10)&amp;"شكرًا لإتمام تقييم DBD الخاص بعيادة "&amp;B568&amp;"."&amp;CHAR(10)&amp;"نتيجتكم الحالية: "&amp;E568&amp;"%."&amp;CHAR(10)&amp;"أولوية التحسين الأولى: "&amp;F568&amp;"."&amp;IF(J568&lt;&gt;"",CHAR(10)&amp;CHAR(10)&amp;"رابط التقرير: "&amp;J568,"")&amp;CHAR(10)&amp;CHAR(10)&amp;"إذا أحببت، يمكننا مساعدتك في فهم التقرير وتحديد أفضل خطوة تالية لعيادتكم.")</x:f>
      </x:c>
      <x:c r="L568" s="12" t="str">
        <x:f>IF(D568="","",HYPERLINK("https://wa.me/"&amp;REGEXREPLACE(D568,"[^\d]","")&amp;"?text="&amp;ENCODEURL(K568),"واتساب 1"))</x:f>
      </x:c>
      <x:c r="M568" s="12" t="str">
        <x:f>IF(A568="","","مرحبًا "&amp;C568&amp;CHAR(10)&amp;CHAR(10)&amp;"بناءً على نتيجة تقييم عيادة "&amp;B568&amp;"، فإن الترشيح الأقوى لكم الآن هو: "&amp;G568&amp;"."&amp;CHAR(10)&amp;"هذا الخيار يساعدكم في معالجة أكبر فجوة حالية بشكل عملي ومباشر."&amp;IF(J568&lt;&gt;"",CHAR(10)&amp;CHAR(10)&amp;"رابط التقرير: "&amp;J568,"")&amp;CHAR(10)&amp;CHAR(10)&amp;"إذا رغبت، يمكننا توضيح لماذا هذا الكورس هو الأنسب لكم الآن.")</x:f>
      </x:c>
      <x:c r="N568" s="12" t="str">
        <x:f>IF(D568="","",HYPERLINK("https://wa.me/"&amp;REGEXREPLACE(D568,"[^\d]","")&amp;"?text="&amp;ENCODEURL(M568),"واتساب 2"))</x:f>
      </x:c>
      <x:c r="O568" s="12" t="str">
        <x:f>IF(A568="","","مرحبًا "&amp;C568&amp;CHAR(10)&amp;CHAR(10)&amp;"إذا كانت التحديات لديكم تحتاج حلًا أشمل، فالبرنامج الكامل المناسب لكم هو: "&amp;H568&amp;"."&amp;IF(I568&lt;&gt;"",CHAR(10)&amp;"كما يمكنكم أيضًا حجز: "&amp;I568&amp;".","")&amp;IF(J568&lt;&gt;"",CHAR(10)&amp;CHAR(10)&amp;"رابط التقرير: "&amp;J568,"")&amp;CHAR(10)&amp;CHAR(10)&amp;"يسعدنا مساعدتكم في اختيار المسار الأنسب حسب وضع العيادة الحالي.")</x:f>
      </x:c>
      <x:c r="P568" s="12" t="str">
        <x:f>IF(D568="","",HYPERLINK("https://wa.me/"&amp;REGEXREPLACE(D568,"[^\d]","")&amp;"?text="&amp;ENCODEURL(O568),"واتساب 3"))</x:f>
      </x:c>
    </x:row>
    <x:row r="569" ht="15" hidden="0" customHeight="1">
      <x:c r="A569" s="12" t="str">
        <x:f>IF(Leads!A569="","",Leads!A569)</x:f>
      </x:c>
      <x:c r="B569" s="12" t="str">
        <x:f>IF(Leads!F569="","",Leads!F569)</x:f>
      </x:c>
      <x:c r="C569" s="12" t="str">
        <x:f>IF(Leads!G569="","",Leads!G569)</x:f>
      </x:c>
      <x:c r="D569" s="12" t="str">
        <x:f>IF(Leads!O569="","",Leads!O569)</x:f>
      </x:c>
      <x:c r="E569" s="12" t="str">
        <x:f>IF(Leads!AV569="","",Leads!AV569)</x:f>
      </x:c>
      <x:c r="F569" s="12" t="str">
        <x:f>IF(Leads!AX569="","",Leads!AX569)</x:f>
      </x:c>
      <x:c r="G569" s="12" t="str">
        <x:f>IF(Leads!BC569="","",Leads!BC569)</x:f>
      </x:c>
      <x:c r="H569" s="12" t="str">
        <x:f>IF(Leads!BE569="","",Leads!BE569)</x:f>
      </x:c>
      <x:c r="I569" s="12" t="str">
        <x:f>IF(Leads!BG569="","",Leads!BG569)</x:f>
      </x:c>
      <x:c r="J569" s="12" t="str">
        <x:f>IF(Leads!BH569="","",Leads!BH569)</x:f>
      </x:c>
      <x:c r="K569" s="12" t="str">
        <x:f>IF(A569="","","مرحبًا "&amp;C569&amp;CHAR(10)&amp;CHAR(10)&amp;"شكرًا لإتمام تقييم DBD الخاص بعيادة "&amp;B569&amp;"."&amp;CHAR(10)&amp;"نتيجتكم الحالية: "&amp;E569&amp;"%."&amp;CHAR(10)&amp;"أولوية التحسين الأولى: "&amp;F569&amp;"."&amp;IF(J569&lt;&gt;"",CHAR(10)&amp;CHAR(10)&amp;"رابط التقرير: "&amp;J569,"")&amp;CHAR(10)&amp;CHAR(10)&amp;"إذا أحببت، يمكننا مساعدتك في فهم التقرير وتحديد أفضل خطوة تالية لعيادتكم.")</x:f>
      </x:c>
      <x:c r="L569" s="12" t="str">
        <x:f>IF(D569="","",HYPERLINK("https://wa.me/"&amp;REGEXREPLACE(D569,"[^\d]","")&amp;"?text="&amp;ENCODEURL(K569),"واتساب 1"))</x:f>
      </x:c>
      <x:c r="M569" s="12" t="str">
        <x:f>IF(A569="","","مرحبًا "&amp;C569&amp;CHAR(10)&amp;CHAR(10)&amp;"بناءً على نتيجة تقييم عيادة "&amp;B569&amp;"، فإن الترشيح الأقوى لكم الآن هو: "&amp;G569&amp;"."&amp;CHAR(10)&amp;"هذا الخيار يساعدكم في معالجة أكبر فجوة حالية بشكل عملي ومباشر."&amp;IF(J569&lt;&gt;"",CHAR(10)&amp;CHAR(10)&amp;"رابط التقرير: "&amp;J569,"")&amp;CHAR(10)&amp;CHAR(10)&amp;"إذا رغبت، يمكننا توضيح لماذا هذا الكورس هو الأنسب لكم الآن.")</x:f>
      </x:c>
      <x:c r="N569" s="12" t="str">
        <x:f>IF(D569="","",HYPERLINK("https://wa.me/"&amp;REGEXREPLACE(D569,"[^\d]","")&amp;"?text="&amp;ENCODEURL(M569),"واتساب 2"))</x:f>
      </x:c>
      <x:c r="O569" s="12" t="str">
        <x:f>IF(A569="","","مرحبًا "&amp;C569&amp;CHAR(10)&amp;CHAR(10)&amp;"إذا كانت التحديات لديكم تحتاج حلًا أشمل، فالبرنامج الكامل المناسب لكم هو: "&amp;H569&amp;"."&amp;IF(I569&lt;&gt;"",CHAR(10)&amp;"كما يمكنكم أيضًا حجز: "&amp;I569&amp;".","")&amp;IF(J569&lt;&gt;"",CHAR(10)&amp;CHAR(10)&amp;"رابط التقرير: "&amp;J569,"")&amp;CHAR(10)&amp;CHAR(10)&amp;"يسعدنا مساعدتكم في اختيار المسار الأنسب حسب وضع العيادة الحالي.")</x:f>
      </x:c>
      <x:c r="P569" s="12" t="str">
        <x:f>IF(D569="","",HYPERLINK("https://wa.me/"&amp;REGEXREPLACE(D569,"[^\d]","")&amp;"?text="&amp;ENCODEURL(O569),"واتساب 3"))</x:f>
      </x:c>
    </x:row>
    <x:row r="570" ht="15" hidden="0" customHeight="1">
      <x:c r="A570" s="12" t="str">
        <x:f>IF(Leads!A570="","",Leads!A570)</x:f>
      </x:c>
      <x:c r="B570" s="12" t="str">
        <x:f>IF(Leads!F570="","",Leads!F570)</x:f>
      </x:c>
      <x:c r="C570" s="12" t="str">
        <x:f>IF(Leads!G570="","",Leads!G570)</x:f>
      </x:c>
      <x:c r="D570" s="12" t="str">
        <x:f>IF(Leads!O570="","",Leads!O570)</x:f>
      </x:c>
      <x:c r="E570" s="12" t="str">
        <x:f>IF(Leads!AV570="","",Leads!AV570)</x:f>
      </x:c>
      <x:c r="F570" s="12" t="str">
        <x:f>IF(Leads!AX570="","",Leads!AX570)</x:f>
      </x:c>
      <x:c r="G570" s="12" t="str">
        <x:f>IF(Leads!BC570="","",Leads!BC570)</x:f>
      </x:c>
      <x:c r="H570" s="12" t="str">
        <x:f>IF(Leads!BE570="","",Leads!BE570)</x:f>
      </x:c>
      <x:c r="I570" s="12" t="str">
        <x:f>IF(Leads!BG570="","",Leads!BG570)</x:f>
      </x:c>
      <x:c r="J570" s="12" t="str">
        <x:f>IF(Leads!BH570="","",Leads!BH570)</x:f>
      </x:c>
      <x:c r="K570" s="12" t="str">
        <x:f>IF(A570="","","مرحبًا "&amp;C570&amp;CHAR(10)&amp;CHAR(10)&amp;"شكرًا لإتمام تقييم DBD الخاص بعيادة "&amp;B570&amp;"."&amp;CHAR(10)&amp;"نتيجتكم الحالية: "&amp;E570&amp;"%."&amp;CHAR(10)&amp;"أولوية التحسين الأولى: "&amp;F570&amp;"."&amp;IF(J570&lt;&gt;"",CHAR(10)&amp;CHAR(10)&amp;"رابط التقرير: "&amp;J570,"")&amp;CHAR(10)&amp;CHAR(10)&amp;"إذا أحببت، يمكننا مساعدتك في فهم التقرير وتحديد أفضل خطوة تالية لعيادتكم.")</x:f>
      </x:c>
      <x:c r="L570" s="12" t="str">
        <x:f>IF(D570="","",HYPERLINK("https://wa.me/"&amp;REGEXREPLACE(D570,"[^\d]","")&amp;"?text="&amp;ENCODEURL(K570),"واتساب 1"))</x:f>
      </x:c>
      <x:c r="M570" s="12" t="str">
        <x:f>IF(A570="","","مرحبًا "&amp;C570&amp;CHAR(10)&amp;CHAR(10)&amp;"بناءً على نتيجة تقييم عيادة "&amp;B570&amp;"، فإن الترشيح الأقوى لكم الآن هو: "&amp;G570&amp;"."&amp;CHAR(10)&amp;"هذا الخيار يساعدكم في معالجة أكبر فجوة حالية بشكل عملي ومباشر."&amp;IF(J570&lt;&gt;"",CHAR(10)&amp;CHAR(10)&amp;"رابط التقرير: "&amp;J570,"")&amp;CHAR(10)&amp;CHAR(10)&amp;"إذا رغبت، يمكننا توضيح لماذا هذا الكورس هو الأنسب لكم الآن.")</x:f>
      </x:c>
      <x:c r="N570" s="12" t="str">
        <x:f>IF(D570="","",HYPERLINK("https://wa.me/"&amp;REGEXREPLACE(D570,"[^\d]","")&amp;"?text="&amp;ENCODEURL(M570),"واتساب 2"))</x:f>
      </x:c>
      <x:c r="O570" s="12" t="str">
        <x:f>IF(A570="","","مرحبًا "&amp;C570&amp;CHAR(10)&amp;CHAR(10)&amp;"إذا كانت التحديات لديكم تحتاج حلًا أشمل، فالبرنامج الكامل المناسب لكم هو: "&amp;H570&amp;"."&amp;IF(I570&lt;&gt;"",CHAR(10)&amp;"كما يمكنكم أيضًا حجز: "&amp;I570&amp;".","")&amp;IF(J570&lt;&gt;"",CHAR(10)&amp;CHAR(10)&amp;"رابط التقرير: "&amp;J570,"")&amp;CHAR(10)&amp;CHAR(10)&amp;"يسعدنا مساعدتكم في اختيار المسار الأنسب حسب وضع العيادة الحالي.")</x:f>
      </x:c>
      <x:c r="P570" s="12" t="str">
        <x:f>IF(D570="","",HYPERLINK("https://wa.me/"&amp;REGEXREPLACE(D570,"[^\d]","")&amp;"?text="&amp;ENCODEURL(O570),"واتساب 3"))</x:f>
      </x:c>
    </x:row>
    <x:row r="571" ht="15" hidden="0" customHeight="1">
      <x:c r="A571" s="12" t="str">
        <x:f>IF(Leads!A571="","",Leads!A571)</x:f>
      </x:c>
      <x:c r="B571" s="12" t="str">
        <x:f>IF(Leads!F571="","",Leads!F571)</x:f>
      </x:c>
      <x:c r="C571" s="12" t="str">
        <x:f>IF(Leads!G571="","",Leads!G571)</x:f>
      </x:c>
      <x:c r="D571" s="12" t="str">
        <x:f>IF(Leads!O571="","",Leads!O571)</x:f>
      </x:c>
      <x:c r="E571" s="12" t="str">
        <x:f>IF(Leads!AV571="","",Leads!AV571)</x:f>
      </x:c>
      <x:c r="F571" s="12" t="str">
        <x:f>IF(Leads!AX571="","",Leads!AX571)</x:f>
      </x:c>
      <x:c r="G571" s="12" t="str">
        <x:f>IF(Leads!BC571="","",Leads!BC571)</x:f>
      </x:c>
      <x:c r="H571" s="12" t="str">
        <x:f>IF(Leads!BE571="","",Leads!BE571)</x:f>
      </x:c>
      <x:c r="I571" s="12" t="str">
        <x:f>IF(Leads!BG571="","",Leads!BG571)</x:f>
      </x:c>
      <x:c r="J571" s="12" t="str">
        <x:f>IF(Leads!BH571="","",Leads!BH571)</x:f>
      </x:c>
      <x:c r="K571" s="12" t="str">
        <x:f>IF(A571="","","مرحبًا "&amp;C571&amp;CHAR(10)&amp;CHAR(10)&amp;"شكرًا لإتمام تقييم DBD الخاص بعيادة "&amp;B571&amp;"."&amp;CHAR(10)&amp;"نتيجتكم الحالية: "&amp;E571&amp;"%."&amp;CHAR(10)&amp;"أولوية التحسين الأولى: "&amp;F571&amp;"."&amp;IF(J571&lt;&gt;"",CHAR(10)&amp;CHAR(10)&amp;"رابط التقرير: "&amp;J571,"")&amp;CHAR(10)&amp;CHAR(10)&amp;"إذا أحببت، يمكننا مساعدتك في فهم التقرير وتحديد أفضل خطوة تالية لعيادتكم.")</x:f>
      </x:c>
      <x:c r="L571" s="12" t="str">
        <x:f>IF(D571="","",HYPERLINK("https://wa.me/"&amp;REGEXREPLACE(D571,"[^\d]","")&amp;"?text="&amp;ENCODEURL(K571),"واتساب 1"))</x:f>
      </x:c>
      <x:c r="M571" s="12" t="str">
        <x:f>IF(A571="","","مرحبًا "&amp;C571&amp;CHAR(10)&amp;CHAR(10)&amp;"بناءً على نتيجة تقييم عيادة "&amp;B571&amp;"، فإن الترشيح الأقوى لكم الآن هو: "&amp;G571&amp;"."&amp;CHAR(10)&amp;"هذا الخيار يساعدكم في معالجة أكبر فجوة حالية بشكل عملي ومباشر."&amp;IF(J571&lt;&gt;"",CHAR(10)&amp;CHAR(10)&amp;"رابط التقرير: "&amp;J571,"")&amp;CHAR(10)&amp;CHAR(10)&amp;"إذا رغبت، يمكننا توضيح لماذا هذا الكورس هو الأنسب لكم الآن.")</x:f>
      </x:c>
      <x:c r="N571" s="12" t="str">
        <x:f>IF(D571="","",HYPERLINK("https://wa.me/"&amp;REGEXREPLACE(D571,"[^\d]","")&amp;"?text="&amp;ENCODEURL(M571),"واتساب 2"))</x:f>
      </x:c>
      <x:c r="O571" s="12" t="str">
        <x:f>IF(A571="","","مرحبًا "&amp;C571&amp;CHAR(10)&amp;CHAR(10)&amp;"إذا كانت التحديات لديكم تحتاج حلًا أشمل، فالبرنامج الكامل المناسب لكم هو: "&amp;H571&amp;"."&amp;IF(I571&lt;&gt;"",CHAR(10)&amp;"كما يمكنكم أيضًا حجز: "&amp;I571&amp;".","")&amp;IF(J571&lt;&gt;"",CHAR(10)&amp;CHAR(10)&amp;"رابط التقرير: "&amp;J571,"")&amp;CHAR(10)&amp;CHAR(10)&amp;"يسعدنا مساعدتكم في اختيار المسار الأنسب حسب وضع العيادة الحالي.")</x:f>
      </x:c>
      <x:c r="P571" s="12" t="str">
        <x:f>IF(D571="","",HYPERLINK("https://wa.me/"&amp;REGEXREPLACE(D571,"[^\d]","")&amp;"?text="&amp;ENCODEURL(O571),"واتساب 3"))</x:f>
      </x:c>
    </x:row>
    <x:row r="572" ht="15" hidden="0" customHeight="1">
      <x:c r="A572" s="12" t="str">
        <x:f>IF(Leads!A572="","",Leads!A572)</x:f>
      </x:c>
      <x:c r="B572" s="12" t="str">
        <x:f>IF(Leads!F572="","",Leads!F572)</x:f>
      </x:c>
      <x:c r="C572" s="12" t="str">
        <x:f>IF(Leads!G572="","",Leads!G572)</x:f>
      </x:c>
      <x:c r="D572" s="12" t="str">
        <x:f>IF(Leads!O572="","",Leads!O572)</x:f>
      </x:c>
      <x:c r="E572" s="12" t="str">
        <x:f>IF(Leads!AV572="","",Leads!AV572)</x:f>
      </x:c>
      <x:c r="F572" s="12" t="str">
        <x:f>IF(Leads!AX572="","",Leads!AX572)</x:f>
      </x:c>
      <x:c r="G572" s="12" t="str">
        <x:f>IF(Leads!BC572="","",Leads!BC572)</x:f>
      </x:c>
      <x:c r="H572" s="12" t="str">
        <x:f>IF(Leads!BE572="","",Leads!BE572)</x:f>
      </x:c>
      <x:c r="I572" s="12" t="str">
        <x:f>IF(Leads!BG572="","",Leads!BG572)</x:f>
      </x:c>
      <x:c r="J572" s="12" t="str">
        <x:f>IF(Leads!BH572="","",Leads!BH572)</x:f>
      </x:c>
      <x:c r="K572" s="12" t="str">
        <x:f>IF(A572="","","مرحبًا "&amp;C572&amp;CHAR(10)&amp;CHAR(10)&amp;"شكرًا لإتمام تقييم DBD الخاص بعيادة "&amp;B572&amp;"."&amp;CHAR(10)&amp;"نتيجتكم الحالية: "&amp;E572&amp;"%."&amp;CHAR(10)&amp;"أولوية التحسين الأولى: "&amp;F572&amp;"."&amp;IF(J572&lt;&gt;"",CHAR(10)&amp;CHAR(10)&amp;"رابط التقرير: "&amp;J572,"")&amp;CHAR(10)&amp;CHAR(10)&amp;"إذا أحببت، يمكننا مساعدتك في فهم التقرير وتحديد أفضل خطوة تالية لعيادتكم.")</x:f>
      </x:c>
      <x:c r="L572" s="12" t="str">
        <x:f>IF(D572="","",HYPERLINK("https://wa.me/"&amp;REGEXREPLACE(D572,"[^\d]","")&amp;"?text="&amp;ENCODEURL(K572),"واتساب 1"))</x:f>
      </x:c>
      <x:c r="M572" s="12" t="str">
        <x:f>IF(A572="","","مرحبًا "&amp;C572&amp;CHAR(10)&amp;CHAR(10)&amp;"بناءً على نتيجة تقييم عيادة "&amp;B572&amp;"، فإن الترشيح الأقوى لكم الآن هو: "&amp;G572&amp;"."&amp;CHAR(10)&amp;"هذا الخيار يساعدكم في معالجة أكبر فجوة حالية بشكل عملي ومباشر."&amp;IF(J572&lt;&gt;"",CHAR(10)&amp;CHAR(10)&amp;"رابط التقرير: "&amp;J572,"")&amp;CHAR(10)&amp;CHAR(10)&amp;"إذا رغبت، يمكننا توضيح لماذا هذا الكورس هو الأنسب لكم الآن.")</x:f>
      </x:c>
      <x:c r="N572" s="12" t="str">
        <x:f>IF(D572="","",HYPERLINK("https://wa.me/"&amp;REGEXREPLACE(D572,"[^\d]","")&amp;"?text="&amp;ENCODEURL(M572),"واتساب 2"))</x:f>
      </x:c>
      <x:c r="O572" s="12" t="str">
        <x:f>IF(A572="","","مرحبًا "&amp;C572&amp;CHAR(10)&amp;CHAR(10)&amp;"إذا كانت التحديات لديكم تحتاج حلًا أشمل، فالبرنامج الكامل المناسب لكم هو: "&amp;H572&amp;"."&amp;IF(I572&lt;&gt;"",CHAR(10)&amp;"كما يمكنكم أيضًا حجز: "&amp;I572&amp;".","")&amp;IF(J572&lt;&gt;"",CHAR(10)&amp;CHAR(10)&amp;"رابط التقرير: "&amp;J572,"")&amp;CHAR(10)&amp;CHAR(10)&amp;"يسعدنا مساعدتكم في اختيار المسار الأنسب حسب وضع العيادة الحالي.")</x:f>
      </x:c>
      <x:c r="P572" s="12" t="str">
        <x:f>IF(D572="","",HYPERLINK("https://wa.me/"&amp;REGEXREPLACE(D572,"[^\d]","")&amp;"?text="&amp;ENCODEURL(O572),"واتساب 3"))</x:f>
      </x:c>
    </x:row>
    <x:row r="573" ht="15" hidden="0" customHeight="1">
      <x:c r="A573" s="12" t="str">
        <x:f>IF(Leads!A573="","",Leads!A573)</x:f>
      </x:c>
      <x:c r="B573" s="12" t="str">
        <x:f>IF(Leads!F573="","",Leads!F573)</x:f>
      </x:c>
      <x:c r="C573" s="12" t="str">
        <x:f>IF(Leads!G573="","",Leads!G573)</x:f>
      </x:c>
      <x:c r="D573" s="12" t="str">
        <x:f>IF(Leads!O573="","",Leads!O573)</x:f>
      </x:c>
      <x:c r="E573" s="12" t="str">
        <x:f>IF(Leads!AV573="","",Leads!AV573)</x:f>
      </x:c>
      <x:c r="F573" s="12" t="str">
        <x:f>IF(Leads!AX573="","",Leads!AX573)</x:f>
      </x:c>
      <x:c r="G573" s="12" t="str">
        <x:f>IF(Leads!BC573="","",Leads!BC573)</x:f>
      </x:c>
      <x:c r="H573" s="12" t="str">
        <x:f>IF(Leads!BE573="","",Leads!BE573)</x:f>
      </x:c>
      <x:c r="I573" s="12" t="str">
        <x:f>IF(Leads!BG573="","",Leads!BG573)</x:f>
      </x:c>
      <x:c r="J573" s="12" t="str">
        <x:f>IF(Leads!BH573="","",Leads!BH573)</x:f>
      </x:c>
      <x:c r="K573" s="12" t="str">
        <x:f>IF(A573="","","مرحبًا "&amp;C573&amp;CHAR(10)&amp;CHAR(10)&amp;"شكرًا لإتمام تقييم DBD الخاص بعيادة "&amp;B573&amp;"."&amp;CHAR(10)&amp;"نتيجتكم الحالية: "&amp;E573&amp;"%."&amp;CHAR(10)&amp;"أولوية التحسين الأولى: "&amp;F573&amp;"."&amp;IF(J573&lt;&gt;"",CHAR(10)&amp;CHAR(10)&amp;"رابط التقرير: "&amp;J573,"")&amp;CHAR(10)&amp;CHAR(10)&amp;"إذا أحببت، يمكننا مساعدتك في فهم التقرير وتحديد أفضل خطوة تالية لعيادتكم.")</x:f>
      </x:c>
      <x:c r="L573" s="12" t="str">
        <x:f>IF(D573="","",HYPERLINK("https://wa.me/"&amp;REGEXREPLACE(D573,"[^\d]","")&amp;"?text="&amp;ENCODEURL(K573),"واتساب 1"))</x:f>
      </x:c>
      <x:c r="M573" s="12" t="str">
        <x:f>IF(A573="","","مرحبًا "&amp;C573&amp;CHAR(10)&amp;CHAR(10)&amp;"بناءً على نتيجة تقييم عيادة "&amp;B573&amp;"، فإن الترشيح الأقوى لكم الآن هو: "&amp;G573&amp;"."&amp;CHAR(10)&amp;"هذا الخيار يساعدكم في معالجة أكبر فجوة حالية بشكل عملي ومباشر."&amp;IF(J573&lt;&gt;"",CHAR(10)&amp;CHAR(10)&amp;"رابط التقرير: "&amp;J573,"")&amp;CHAR(10)&amp;CHAR(10)&amp;"إذا رغبت، يمكننا توضيح لماذا هذا الكورس هو الأنسب لكم الآن.")</x:f>
      </x:c>
      <x:c r="N573" s="12" t="str">
        <x:f>IF(D573="","",HYPERLINK("https://wa.me/"&amp;REGEXREPLACE(D573,"[^\d]","")&amp;"?text="&amp;ENCODEURL(M573),"واتساب 2"))</x:f>
      </x:c>
      <x:c r="O573" s="12" t="str">
        <x:f>IF(A573="","","مرحبًا "&amp;C573&amp;CHAR(10)&amp;CHAR(10)&amp;"إذا كانت التحديات لديكم تحتاج حلًا أشمل، فالبرنامج الكامل المناسب لكم هو: "&amp;H573&amp;"."&amp;IF(I573&lt;&gt;"",CHAR(10)&amp;"كما يمكنكم أيضًا حجز: "&amp;I573&amp;".","")&amp;IF(J573&lt;&gt;"",CHAR(10)&amp;CHAR(10)&amp;"رابط التقرير: "&amp;J573,"")&amp;CHAR(10)&amp;CHAR(10)&amp;"يسعدنا مساعدتكم في اختيار المسار الأنسب حسب وضع العيادة الحالي.")</x:f>
      </x:c>
      <x:c r="P573" s="12" t="str">
        <x:f>IF(D573="","",HYPERLINK("https://wa.me/"&amp;REGEXREPLACE(D573,"[^\d]","")&amp;"?text="&amp;ENCODEURL(O573),"واتساب 3"))</x:f>
      </x:c>
    </x:row>
    <x:row r="574" ht="15" hidden="0" customHeight="1">
      <x:c r="A574" s="12" t="str">
        <x:f>IF(Leads!A574="","",Leads!A574)</x:f>
      </x:c>
      <x:c r="B574" s="12" t="str">
        <x:f>IF(Leads!F574="","",Leads!F574)</x:f>
      </x:c>
      <x:c r="C574" s="12" t="str">
        <x:f>IF(Leads!G574="","",Leads!G574)</x:f>
      </x:c>
      <x:c r="D574" s="12" t="str">
        <x:f>IF(Leads!O574="","",Leads!O574)</x:f>
      </x:c>
      <x:c r="E574" s="12" t="str">
        <x:f>IF(Leads!AV574="","",Leads!AV574)</x:f>
      </x:c>
      <x:c r="F574" s="12" t="str">
        <x:f>IF(Leads!AX574="","",Leads!AX574)</x:f>
      </x:c>
      <x:c r="G574" s="12" t="str">
        <x:f>IF(Leads!BC574="","",Leads!BC574)</x:f>
      </x:c>
      <x:c r="H574" s="12" t="str">
        <x:f>IF(Leads!BE574="","",Leads!BE574)</x:f>
      </x:c>
      <x:c r="I574" s="12" t="str">
        <x:f>IF(Leads!BG574="","",Leads!BG574)</x:f>
      </x:c>
      <x:c r="J574" s="12" t="str">
        <x:f>IF(Leads!BH574="","",Leads!BH574)</x:f>
      </x:c>
      <x:c r="K574" s="12" t="str">
        <x:f>IF(A574="","","مرحبًا "&amp;C574&amp;CHAR(10)&amp;CHAR(10)&amp;"شكرًا لإتمام تقييم DBD الخاص بعيادة "&amp;B574&amp;"."&amp;CHAR(10)&amp;"نتيجتكم الحالية: "&amp;E574&amp;"%."&amp;CHAR(10)&amp;"أولوية التحسين الأولى: "&amp;F574&amp;"."&amp;IF(J574&lt;&gt;"",CHAR(10)&amp;CHAR(10)&amp;"رابط التقرير: "&amp;J574,"")&amp;CHAR(10)&amp;CHAR(10)&amp;"إذا أحببت، يمكننا مساعدتك في فهم التقرير وتحديد أفضل خطوة تالية لعيادتكم.")</x:f>
      </x:c>
      <x:c r="L574" s="12" t="str">
        <x:f>IF(D574="","",HYPERLINK("https://wa.me/"&amp;REGEXREPLACE(D574,"[^\d]","")&amp;"?text="&amp;ENCODEURL(K574),"واتساب 1"))</x:f>
      </x:c>
      <x:c r="M574" s="12" t="str">
        <x:f>IF(A574="","","مرحبًا "&amp;C574&amp;CHAR(10)&amp;CHAR(10)&amp;"بناءً على نتيجة تقييم عيادة "&amp;B574&amp;"، فإن الترشيح الأقوى لكم الآن هو: "&amp;G574&amp;"."&amp;CHAR(10)&amp;"هذا الخيار يساعدكم في معالجة أكبر فجوة حالية بشكل عملي ومباشر."&amp;IF(J574&lt;&gt;"",CHAR(10)&amp;CHAR(10)&amp;"رابط التقرير: "&amp;J574,"")&amp;CHAR(10)&amp;CHAR(10)&amp;"إذا رغبت، يمكننا توضيح لماذا هذا الكورس هو الأنسب لكم الآن.")</x:f>
      </x:c>
      <x:c r="N574" s="12" t="str">
        <x:f>IF(D574="","",HYPERLINK("https://wa.me/"&amp;REGEXREPLACE(D574,"[^\d]","")&amp;"?text="&amp;ENCODEURL(M574),"واتساب 2"))</x:f>
      </x:c>
      <x:c r="O574" s="12" t="str">
        <x:f>IF(A574="","","مرحبًا "&amp;C574&amp;CHAR(10)&amp;CHAR(10)&amp;"إذا كانت التحديات لديكم تحتاج حلًا أشمل، فالبرنامج الكامل المناسب لكم هو: "&amp;H574&amp;"."&amp;IF(I574&lt;&gt;"",CHAR(10)&amp;"كما يمكنكم أيضًا حجز: "&amp;I574&amp;".","")&amp;IF(J574&lt;&gt;"",CHAR(10)&amp;CHAR(10)&amp;"رابط التقرير: "&amp;J574,"")&amp;CHAR(10)&amp;CHAR(10)&amp;"يسعدنا مساعدتكم في اختيار المسار الأنسب حسب وضع العيادة الحالي.")</x:f>
      </x:c>
      <x:c r="P574" s="12" t="str">
        <x:f>IF(D574="","",HYPERLINK("https://wa.me/"&amp;REGEXREPLACE(D574,"[^\d]","")&amp;"?text="&amp;ENCODEURL(O574),"واتساب 3"))</x:f>
      </x:c>
    </x:row>
    <x:row r="575" ht="15" hidden="0" customHeight="1">
      <x:c r="A575" s="12" t="str">
        <x:f>IF(Leads!A575="","",Leads!A575)</x:f>
      </x:c>
      <x:c r="B575" s="12" t="str">
        <x:f>IF(Leads!F575="","",Leads!F575)</x:f>
      </x:c>
      <x:c r="C575" s="12" t="str">
        <x:f>IF(Leads!G575="","",Leads!G575)</x:f>
      </x:c>
      <x:c r="D575" s="12" t="str">
        <x:f>IF(Leads!O575="","",Leads!O575)</x:f>
      </x:c>
      <x:c r="E575" s="12" t="str">
        <x:f>IF(Leads!AV575="","",Leads!AV575)</x:f>
      </x:c>
      <x:c r="F575" s="12" t="str">
        <x:f>IF(Leads!AX575="","",Leads!AX575)</x:f>
      </x:c>
      <x:c r="G575" s="12" t="str">
        <x:f>IF(Leads!BC575="","",Leads!BC575)</x:f>
      </x:c>
      <x:c r="H575" s="12" t="str">
        <x:f>IF(Leads!BE575="","",Leads!BE575)</x:f>
      </x:c>
      <x:c r="I575" s="12" t="str">
        <x:f>IF(Leads!BG575="","",Leads!BG575)</x:f>
      </x:c>
      <x:c r="J575" s="12" t="str">
        <x:f>IF(Leads!BH575="","",Leads!BH575)</x:f>
      </x:c>
      <x:c r="K575" s="12" t="str">
        <x:f>IF(A575="","","مرحبًا "&amp;C575&amp;CHAR(10)&amp;CHAR(10)&amp;"شكرًا لإتمام تقييم DBD الخاص بعيادة "&amp;B575&amp;"."&amp;CHAR(10)&amp;"نتيجتكم الحالية: "&amp;E575&amp;"%."&amp;CHAR(10)&amp;"أولوية التحسين الأولى: "&amp;F575&amp;"."&amp;IF(J575&lt;&gt;"",CHAR(10)&amp;CHAR(10)&amp;"رابط التقرير: "&amp;J575,"")&amp;CHAR(10)&amp;CHAR(10)&amp;"إذا أحببت، يمكننا مساعدتك في فهم التقرير وتحديد أفضل خطوة تالية لعيادتكم.")</x:f>
      </x:c>
      <x:c r="L575" s="12" t="str">
        <x:f>IF(D575="","",HYPERLINK("https://wa.me/"&amp;REGEXREPLACE(D575,"[^\d]","")&amp;"?text="&amp;ENCODEURL(K575),"واتساب 1"))</x:f>
      </x:c>
      <x:c r="M575" s="12" t="str">
        <x:f>IF(A575="","","مرحبًا "&amp;C575&amp;CHAR(10)&amp;CHAR(10)&amp;"بناءً على نتيجة تقييم عيادة "&amp;B575&amp;"، فإن الترشيح الأقوى لكم الآن هو: "&amp;G575&amp;"."&amp;CHAR(10)&amp;"هذا الخيار يساعدكم في معالجة أكبر فجوة حالية بشكل عملي ومباشر."&amp;IF(J575&lt;&gt;"",CHAR(10)&amp;CHAR(10)&amp;"رابط التقرير: "&amp;J575,"")&amp;CHAR(10)&amp;CHAR(10)&amp;"إذا رغبت، يمكننا توضيح لماذا هذا الكورس هو الأنسب لكم الآن.")</x:f>
      </x:c>
      <x:c r="N575" s="12" t="str">
        <x:f>IF(D575="","",HYPERLINK("https://wa.me/"&amp;REGEXREPLACE(D575,"[^\d]","")&amp;"?text="&amp;ENCODEURL(M575),"واتساب 2"))</x:f>
      </x:c>
      <x:c r="O575" s="12" t="str">
        <x:f>IF(A575="","","مرحبًا "&amp;C575&amp;CHAR(10)&amp;CHAR(10)&amp;"إذا كانت التحديات لديكم تحتاج حلًا أشمل، فالبرنامج الكامل المناسب لكم هو: "&amp;H575&amp;"."&amp;IF(I575&lt;&gt;"",CHAR(10)&amp;"كما يمكنكم أيضًا حجز: "&amp;I575&amp;".","")&amp;IF(J575&lt;&gt;"",CHAR(10)&amp;CHAR(10)&amp;"رابط التقرير: "&amp;J575,"")&amp;CHAR(10)&amp;CHAR(10)&amp;"يسعدنا مساعدتكم في اختيار المسار الأنسب حسب وضع العيادة الحالي.")</x:f>
      </x:c>
      <x:c r="P575" s="12" t="str">
        <x:f>IF(D575="","",HYPERLINK("https://wa.me/"&amp;REGEXREPLACE(D575,"[^\d]","")&amp;"?text="&amp;ENCODEURL(O575),"واتساب 3"))</x:f>
      </x:c>
    </x:row>
    <x:row r="576" ht="15" hidden="0" customHeight="1">
      <x:c r="A576" s="12" t="str">
        <x:f>IF(Leads!A576="","",Leads!A576)</x:f>
      </x:c>
      <x:c r="B576" s="12" t="str">
        <x:f>IF(Leads!F576="","",Leads!F576)</x:f>
      </x:c>
      <x:c r="C576" s="12" t="str">
        <x:f>IF(Leads!G576="","",Leads!G576)</x:f>
      </x:c>
      <x:c r="D576" s="12" t="str">
        <x:f>IF(Leads!O576="","",Leads!O576)</x:f>
      </x:c>
      <x:c r="E576" s="12" t="str">
        <x:f>IF(Leads!AV576="","",Leads!AV576)</x:f>
      </x:c>
      <x:c r="F576" s="12" t="str">
        <x:f>IF(Leads!AX576="","",Leads!AX576)</x:f>
      </x:c>
      <x:c r="G576" s="12" t="str">
        <x:f>IF(Leads!BC576="","",Leads!BC576)</x:f>
      </x:c>
      <x:c r="H576" s="12" t="str">
        <x:f>IF(Leads!BE576="","",Leads!BE576)</x:f>
      </x:c>
      <x:c r="I576" s="12" t="str">
        <x:f>IF(Leads!BG576="","",Leads!BG576)</x:f>
      </x:c>
      <x:c r="J576" s="12" t="str">
        <x:f>IF(Leads!BH576="","",Leads!BH576)</x:f>
      </x:c>
      <x:c r="K576" s="12" t="str">
        <x:f>IF(A576="","","مرحبًا "&amp;C576&amp;CHAR(10)&amp;CHAR(10)&amp;"شكرًا لإتمام تقييم DBD الخاص بعيادة "&amp;B576&amp;"."&amp;CHAR(10)&amp;"نتيجتكم الحالية: "&amp;E576&amp;"%."&amp;CHAR(10)&amp;"أولوية التحسين الأولى: "&amp;F576&amp;"."&amp;IF(J576&lt;&gt;"",CHAR(10)&amp;CHAR(10)&amp;"رابط التقرير: "&amp;J576,"")&amp;CHAR(10)&amp;CHAR(10)&amp;"إذا أحببت، يمكننا مساعدتك في فهم التقرير وتحديد أفضل خطوة تالية لعيادتكم.")</x:f>
      </x:c>
      <x:c r="L576" s="12" t="str">
        <x:f>IF(D576="","",HYPERLINK("https://wa.me/"&amp;REGEXREPLACE(D576,"[^\d]","")&amp;"?text="&amp;ENCODEURL(K576),"واتساب 1"))</x:f>
      </x:c>
      <x:c r="M576" s="12" t="str">
        <x:f>IF(A576="","","مرحبًا "&amp;C576&amp;CHAR(10)&amp;CHAR(10)&amp;"بناءً على نتيجة تقييم عيادة "&amp;B576&amp;"، فإن الترشيح الأقوى لكم الآن هو: "&amp;G576&amp;"."&amp;CHAR(10)&amp;"هذا الخيار يساعدكم في معالجة أكبر فجوة حالية بشكل عملي ومباشر."&amp;IF(J576&lt;&gt;"",CHAR(10)&amp;CHAR(10)&amp;"رابط التقرير: "&amp;J576,"")&amp;CHAR(10)&amp;CHAR(10)&amp;"إذا رغبت، يمكننا توضيح لماذا هذا الكورس هو الأنسب لكم الآن.")</x:f>
      </x:c>
      <x:c r="N576" s="12" t="str">
        <x:f>IF(D576="","",HYPERLINK("https://wa.me/"&amp;REGEXREPLACE(D576,"[^\d]","")&amp;"?text="&amp;ENCODEURL(M576),"واتساب 2"))</x:f>
      </x:c>
      <x:c r="O576" s="12" t="str">
        <x:f>IF(A576="","","مرحبًا "&amp;C576&amp;CHAR(10)&amp;CHAR(10)&amp;"إذا كانت التحديات لديكم تحتاج حلًا أشمل، فالبرنامج الكامل المناسب لكم هو: "&amp;H576&amp;"."&amp;IF(I576&lt;&gt;"",CHAR(10)&amp;"كما يمكنكم أيضًا حجز: "&amp;I576&amp;".","")&amp;IF(J576&lt;&gt;"",CHAR(10)&amp;CHAR(10)&amp;"رابط التقرير: "&amp;J576,"")&amp;CHAR(10)&amp;CHAR(10)&amp;"يسعدنا مساعدتكم في اختيار المسار الأنسب حسب وضع العيادة الحالي.")</x:f>
      </x:c>
      <x:c r="P576" s="12" t="str">
        <x:f>IF(D576="","",HYPERLINK("https://wa.me/"&amp;REGEXREPLACE(D576,"[^\d]","")&amp;"?text="&amp;ENCODEURL(O576),"واتساب 3"))</x:f>
      </x:c>
    </x:row>
    <x:row r="577" ht="15" hidden="0" customHeight="1">
      <x:c r="A577" s="12" t="str">
        <x:f>IF(Leads!A577="","",Leads!A577)</x:f>
      </x:c>
      <x:c r="B577" s="12" t="str">
        <x:f>IF(Leads!F577="","",Leads!F577)</x:f>
      </x:c>
      <x:c r="C577" s="12" t="str">
        <x:f>IF(Leads!G577="","",Leads!G577)</x:f>
      </x:c>
      <x:c r="D577" s="12" t="str">
        <x:f>IF(Leads!O577="","",Leads!O577)</x:f>
      </x:c>
      <x:c r="E577" s="12" t="str">
        <x:f>IF(Leads!AV577="","",Leads!AV577)</x:f>
      </x:c>
      <x:c r="F577" s="12" t="str">
        <x:f>IF(Leads!AX577="","",Leads!AX577)</x:f>
      </x:c>
      <x:c r="G577" s="12" t="str">
        <x:f>IF(Leads!BC577="","",Leads!BC577)</x:f>
      </x:c>
      <x:c r="H577" s="12" t="str">
        <x:f>IF(Leads!BE577="","",Leads!BE577)</x:f>
      </x:c>
      <x:c r="I577" s="12" t="str">
        <x:f>IF(Leads!BG577="","",Leads!BG577)</x:f>
      </x:c>
      <x:c r="J577" s="12" t="str">
        <x:f>IF(Leads!BH577="","",Leads!BH577)</x:f>
      </x:c>
      <x:c r="K577" s="12" t="str">
        <x:f>IF(A577="","","مرحبًا "&amp;C577&amp;CHAR(10)&amp;CHAR(10)&amp;"شكرًا لإتمام تقييم DBD الخاص بعيادة "&amp;B577&amp;"."&amp;CHAR(10)&amp;"نتيجتكم الحالية: "&amp;E577&amp;"%."&amp;CHAR(10)&amp;"أولوية التحسين الأولى: "&amp;F577&amp;"."&amp;IF(J577&lt;&gt;"",CHAR(10)&amp;CHAR(10)&amp;"رابط التقرير: "&amp;J577,"")&amp;CHAR(10)&amp;CHAR(10)&amp;"إذا أحببت، يمكننا مساعدتك في فهم التقرير وتحديد أفضل خطوة تالية لعيادتكم.")</x:f>
      </x:c>
      <x:c r="L577" s="12" t="str">
        <x:f>IF(D577="","",HYPERLINK("https://wa.me/"&amp;REGEXREPLACE(D577,"[^\d]","")&amp;"?text="&amp;ENCODEURL(K577),"واتساب 1"))</x:f>
      </x:c>
      <x:c r="M577" s="12" t="str">
        <x:f>IF(A577="","","مرحبًا "&amp;C577&amp;CHAR(10)&amp;CHAR(10)&amp;"بناءً على نتيجة تقييم عيادة "&amp;B577&amp;"، فإن الترشيح الأقوى لكم الآن هو: "&amp;G577&amp;"."&amp;CHAR(10)&amp;"هذا الخيار يساعدكم في معالجة أكبر فجوة حالية بشكل عملي ومباشر."&amp;IF(J577&lt;&gt;"",CHAR(10)&amp;CHAR(10)&amp;"رابط التقرير: "&amp;J577,"")&amp;CHAR(10)&amp;CHAR(10)&amp;"إذا رغبت، يمكننا توضيح لماذا هذا الكورس هو الأنسب لكم الآن.")</x:f>
      </x:c>
      <x:c r="N577" s="12" t="str">
        <x:f>IF(D577="","",HYPERLINK("https://wa.me/"&amp;REGEXREPLACE(D577,"[^\d]","")&amp;"?text="&amp;ENCODEURL(M577),"واتساب 2"))</x:f>
      </x:c>
      <x:c r="O577" s="12" t="str">
        <x:f>IF(A577="","","مرحبًا "&amp;C577&amp;CHAR(10)&amp;CHAR(10)&amp;"إذا كانت التحديات لديكم تحتاج حلًا أشمل، فالبرنامج الكامل المناسب لكم هو: "&amp;H577&amp;"."&amp;IF(I577&lt;&gt;"",CHAR(10)&amp;"كما يمكنكم أيضًا حجز: "&amp;I577&amp;".","")&amp;IF(J577&lt;&gt;"",CHAR(10)&amp;CHAR(10)&amp;"رابط التقرير: "&amp;J577,"")&amp;CHAR(10)&amp;CHAR(10)&amp;"يسعدنا مساعدتكم في اختيار المسار الأنسب حسب وضع العيادة الحالي.")</x:f>
      </x:c>
      <x:c r="P577" s="12" t="str">
        <x:f>IF(D577="","",HYPERLINK("https://wa.me/"&amp;REGEXREPLACE(D577,"[^\d]","")&amp;"?text="&amp;ENCODEURL(O577),"واتساب 3"))</x:f>
      </x:c>
    </x:row>
    <x:row r="578" ht="15" hidden="0" customHeight="1">
      <x:c r="A578" s="12" t="str">
        <x:f>IF(Leads!A578="","",Leads!A578)</x:f>
      </x:c>
      <x:c r="B578" s="12" t="str">
        <x:f>IF(Leads!F578="","",Leads!F578)</x:f>
      </x:c>
      <x:c r="C578" s="12" t="str">
        <x:f>IF(Leads!G578="","",Leads!G578)</x:f>
      </x:c>
      <x:c r="D578" s="12" t="str">
        <x:f>IF(Leads!O578="","",Leads!O578)</x:f>
      </x:c>
      <x:c r="E578" s="12" t="str">
        <x:f>IF(Leads!AV578="","",Leads!AV578)</x:f>
      </x:c>
      <x:c r="F578" s="12" t="str">
        <x:f>IF(Leads!AX578="","",Leads!AX578)</x:f>
      </x:c>
      <x:c r="G578" s="12" t="str">
        <x:f>IF(Leads!BC578="","",Leads!BC578)</x:f>
      </x:c>
      <x:c r="H578" s="12" t="str">
        <x:f>IF(Leads!BE578="","",Leads!BE578)</x:f>
      </x:c>
      <x:c r="I578" s="12" t="str">
        <x:f>IF(Leads!BG578="","",Leads!BG578)</x:f>
      </x:c>
      <x:c r="J578" s="12" t="str">
        <x:f>IF(Leads!BH578="","",Leads!BH578)</x:f>
      </x:c>
      <x:c r="K578" s="12" t="str">
        <x:f>IF(A578="","","مرحبًا "&amp;C578&amp;CHAR(10)&amp;CHAR(10)&amp;"شكرًا لإتمام تقييم DBD الخاص بعيادة "&amp;B578&amp;"."&amp;CHAR(10)&amp;"نتيجتكم الحالية: "&amp;E578&amp;"%."&amp;CHAR(10)&amp;"أولوية التحسين الأولى: "&amp;F578&amp;"."&amp;IF(J578&lt;&gt;"",CHAR(10)&amp;CHAR(10)&amp;"رابط التقرير: "&amp;J578,"")&amp;CHAR(10)&amp;CHAR(10)&amp;"إذا أحببت، يمكننا مساعدتك في فهم التقرير وتحديد أفضل خطوة تالية لعيادتكم.")</x:f>
      </x:c>
      <x:c r="L578" s="12" t="str">
        <x:f>IF(D578="","",HYPERLINK("https://wa.me/"&amp;REGEXREPLACE(D578,"[^\d]","")&amp;"?text="&amp;ENCODEURL(K578),"واتساب 1"))</x:f>
      </x:c>
      <x:c r="M578" s="12" t="str">
        <x:f>IF(A578="","","مرحبًا "&amp;C578&amp;CHAR(10)&amp;CHAR(10)&amp;"بناءً على نتيجة تقييم عيادة "&amp;B578&amp;"، فإن الترشيح الأقوى لكم الآن هو: "&amp;G578&amp;"."&amp;CHAR(10)&amp;"هذا الخيار يساعدكم في معالجة أكبر فجوة حالية بشكل عملي ومباشر."&amp;IF(J578&lt;&gt;"",CHAR(10)&amp;CHAR(10)&amp;"رابط التقرير: "&amp;J578,"")&amp;CHAR(10)&amp;CHAR(10)&amp;"إذا رغبت، يمكننا توضيح لماذا هذا الكورس هو الأنسب لكم الآن.")</x:f>
      </x:c>
      <x:c r="N578" s="12" t="str">
        <x:f>IF(D578="","",HYPERLINK("https://wa.me/"&amp;REGEXREPLACE(D578,"[^\d]","")&amp;"?text="&amp;ENCODEURL(M578),"واتساب 2"))</x:f>
      </x:c>
      <x:c r="O578" s="12" t="str">
        <x:f>IF(A578="","","مرحبًا "&amp;C578&amp;CHAR(10)&amp;CHAR(10)&amp;"إذا كانت التحديات لديكم تحتاج حلًا أشمل، فالبرنامج الكامل المناسب لكم هو: "&amp;H578&amp;"."&amp;IF(I578&lt;&gt;"",CHAR(10)&amp;"كما يمكنكم أيضًا حجز: "&amp;I578&amp;".","")&amp;IF(J578&lt;&gt;"",CHAR(10)&amp;CHAR(10)&amp;"رابط التقرير: "&amp;J578,"")&amp;CHAR(10)&amp;CHAR(10)&amp;"يسعدنا مساعدتكم في اختيار المسار الأنسب حسب وضع العيادة الحالي.")</x:f>
      </x:c>
      <x:c r="P578" s="12" t="str">
        <x:f>IF(D578="","",HYPERLINK("https://wa.me/"&amp;REGEXREPLACE(D578,"[^\d]","")&amp;"?text="&amp;ENCODEURL(O578),"واتساب 3"))</x:f>
      </x:c>
    </x:row>
    <x:row r="579" ht="15" hidden="0" customHeight="1">
      <x:c r="A579" s="12" t="str">
        <x:f>IF(Leads!A579="","",Leads!A579)</x:f>
      </x:c>
      <x:c r="B579" s="12" t="str">
        <x:f>IF(Leads!F579="","",Leads!F579)</x:f>
      </x:c>
      <x:c r="C579" s="12" t="str">
        <x:f>IF(Leads!G579="","",Leads!G579)</x:f>
      </x:c>
      <x:c r="D579" s="12" t="str">
        <x:f>IF(Leads!O579="","",Leads!O579)</x:f>
      </x:c>
      <x:c r="E579" s="12" t="str">
        <x:f>IF(Leads!AV579="","",Leads!AV579)</x:f>
      </x:c>
      <x:c r="F579" s="12" t="str">
        <x:f>IF(Leads!AX579="","",Leads!AX579)</x:f>
      </x:c>
      <x:c r="G579" s="12" t="str">
        <x:f>IF(Leads!BC579="","",Leads!BC579)</x:f>
      </x:c>
      <x:c r="H579" s="12" t="str">
        <x:f>IF(Leads!BE579="","",Leads!BE579)</x:f>
      </x:c>
      <x:c r="I579" s="12" t="str">
        <x:f>IF(Leads!BG579="","",Leads!BG579)</x:f>
      </x:c>
      <x:c r="J579" s="12" t="str">
        <x:f>IF(Leads!BH579="","",Leads!BH579)</x:f>
      </x:c>
      <x:c r="K579" s="12" t="str">
        <x:f>IF(A579="","","مرحبًا "&amp;C579&amp;CHAR(10)&amp;CHAR(10)&amp;"شكرًا لإتمام تقييم DBD الخاص بعيادة "&amp;B579&amp;"."&amp;CHAR(10)&amp;"نتيجتكم الحالية: "&amp;E579&amp;"%."&amp;CHAR(10)&amp;"أولوية التحسين الأولى: "&amp;F579&amp;"."&amp;IF(J579&lt;&gt;"",CHAR(10)&amp;CHAR(10)&amp;"رابط التقرير: "&amp;J579,"")&amp;CHAR(10)&amp;CHAR(10)&amp;"إذا أحببت، يمكننا مساعدتك في فهم التقرير وتحديد أفضل خطوة تالية لعيادتكم.")</x:f>
      </x:c>
      <x:c r="L579" s="12" t="str">
        <x:f>IF(D579="","",HYPERLINK("https://wa.me/"&amp;REGEXREPLACE(D579,"[^\d]","")&amp;"?text="&amp;ENCODEURL(K579),"واتساب 1"))</x:f>
      </x:c>
      <x:c r="M579" s="12" t="str">
        <x:f>IF(A579="","","مرحبًا "&amp;C579&amp;CHAR(10)&amp;CHAR(10)&amp;"بناءً على نتيجة تقييم عيادة "&amp;B579&amp;"، فإن الترشيح الأقوى لكم الآن هو: "&amp;G579&amp;"."&amp;CHAR(10)&amp;"هذا الخيار يساعدكم في معالجة أكبر فجوة حالية بشكل عملي ومباشر."&amp;IF(J579&lt;&gt;"",CHAR(10)&amp;CHAR(10)&amp;"رابط التقرير: "&amp;J579,"")&amp;CHAR(10)&amp;CHAR(10)&amp;"إذا رغبت، يمكننا توضيح لماذا هذا الكورس هو الأنسب لكم الآن.")</x:f>
      </x:c>
      <x:c r="N579" s="12" t="str">
        <x:f>IF(D579="","",HYPERLINK("https://wa.me/"&amp;REGEXREPLACE(D579,"[^\d]","")&amp;"?text="&amp;ENCODEURL(M579),"واتساب 2"))</x:f>
      </x:c>
      <x:c r="O579" s="12" t="str">
        <x:f>IF(A579="","","مرحبًا "&amp;C579&amp;CHAR(10)&amp;CHAR(10)&amp;"إذا كانت التحديات لديكم تحتاج حلًا أشمل، فالبرنامج الكامل المناسب لكم هو: "&amp;H579&amp;"."&amp;IF(I579&lt;&gt;"",CHAR(10)&amp;"كما يمكنكم أيضًا حجز: "&amp;I579&amp;".","")&amp;IF(J579&lt;&gt;"",CHAR(10)&amp;CHAR(10)&amp;"رابط التقرير: "&amp;J579,"")&amp;CHAR(10)&amp;CHAR(10)&amp;"يسعدنا مساعدتكم في اختيار المسار الأنسب حسب وضع العيادة الحالي.")</x:f>
      </x:c>
      <x:c r="P579" s="12" t="str">
        <x:f>IF(D579="","",HYPERLINK("https://wa.me/"&amp;REGEXREPLACE(D579,"[^\d]","")&amp;"?text="&amp;ENCODEURL(O579),"واتساب 3"))</x:f>
      </x:c>
    </x:row>
    <x:row r="580" ht="15" hidden="0" customHeight="1">
      <x:c r="A580" s="12" t="str">
        <x:f>IF(Leads!A580="","",Leads!A580)</x:f>
      </x:c>
      <x:c r="B580" s="12" t="str">
        <x:f>IF(Leads!F580="","",Leads!F580)</x:f>
      </x:c>
      <x:c r="C580" s="12" t="str">
        <x:f>IF(Leads!G580="","",Leads!G580)</x:f>
      </x:c>
      <x:c r="D580" s="12" t="str">
        <x:f>IF(Leads!O580="","",Leads!O580)</x:f>
      </x:c>
      <x:c r="E580" s="12" t="str">
        <x:f>IF(Leads!AV580="","",Leads!AV580)</x:f>
      </x:c>
      <x:c r="F580" s="12" t="str">
        <x:f>IF(Leads!AX580="","",Leads!AX580)</x:f>
      </x:c>
      <x:c r="G580" s="12" t="str">
        <x:f>IF(Leads!BC580="","",Leads!BC580)</x:f>
      </x:c>
      <x:c r="H580" s="12" t="str">
        <x:f>IF(Leads!BE580="","",Leads!BE580)</x:f>
      </x:c>
      <x:c r="I580" s="12" t="str">
        <x:f>IF(Leads!BG580="","",Leads!BG580)</x:f>
      </x:c>
      <x:c r="J580" s="12" t="str">
        <x:f>IF(Leads!BH580="","",Leads!BH580)</x:f>
      </x:c>
      <x:c r="K580" s="12" t="str">
        <x:f>IF(A580="","","مرحبًا "&amp;C580&amp;CHAR(10)&amp;CHAR(10)&amp;"شكرًا لإتمام تقييم DBD الخاص بعيادة "&amp;B580&amp;"."&amp;CHAR(10)&amp;"نتيجتكم الحالية: "&amp;E580&amp;"%."&amp;CHAR(10)&amp;"أولوية التحسين الأولى: "&amp;F580&amp;"."&amp;IF(J580&lt;&gt;"",CHAR(10)&amp;CHAR(10)&amp;"رابط التقرير: "&amp;J580,"")&amp;CHAR(10)&amp;CHAR(10)&amp;"إذا أحببت، يمكننا مساعدتك في فهم التقرير وتحديد أفضل خطوة تالية لعيادتكم.")</x:f>
      </x:c>
      <x:c r="L580" s="12" t="str">
        <x:f>IF(D580="","",HYPERLINK("https://wa.me/"&amp;REGEXREPLACE(D580,"[^\d]","")&amp;"?text="&amp;ENCODEURL(K580),"واتساب 1"))</x:f>
      </x:c>
      <x:c r="M580" s="12" t="str">
        <x:f>IF(A580="","","مرحبًا "&amp;C580&amp;CHAR(10)&amp;CHAR(10)&amp;"بناءً على نتيجة تقييم عيادة "&amp;B580&amp;"، فإن الترشيح الأقوى لكم الآن هو: "&amp;G580&amp;"."&amp;CHAR(10)&amp;"هذا الخيار يساعدكم في معالجة أكبر فجوة حالية بشكل عملي ومباشر."&amp;IF(J580&lt;&gt;"",CHAR(10)&amp;CHAR(10)&amp;"رابط التقرير: "&amp;J580,"")&amp;CHAR(10)&amp;CHAR(10)&amp;"إذا رغبت، يمكننا توضيح لماذا هذا الكورس هو الأنسب لكم الآن.")</x:f>
      </x:c>
      <x:c r="N580" s="12" t="str">
        <x:f>IF(D580="","",HYPERLINK("https://wa.me/"&amp;REGEXREPLACE(D580,"[^\d]","")&amp;"?text="&amp;ENCODEURL(M580),"واتساب 2"))</x:f>
      </x:c>
      <x:c r="O580" s="12" t="str">
        <x:f>IF(A580="","","مرحبًا "&amp;C580&amp;CHAR(10)&amp;CHAR(10)&amp;"إذا كانت التحديات لديكم تحتاج حلًا أشمل، فالبرنامج الكامل المناسب لكم هو: "&amp;H580&amp;"."&amp;IF(I580&lt;&gt;"",CHAR(10)&amp;"كما يمكنكم أيضًا حجز: "&amp;I580&amp;".","")&amp;IF(J580&lt;&gt;"",CHAR(10)&amp;CHAR(10)&amp;"رابط التقرير: "&amp;J580,"")&amp;CHAR(10)&amp;CHAR(10)&amp;"يسعدنا مساعدتكم في اختيار المسار الأنسب حسب وضع العيادة الحالي.")</x:f>
      </x:c>
      <x:c r="P580" s="12" t="str">
        <x:f>IF(D580="","",HYPERLINK("https://wa.me/"&amp;REGEXREPLACE(D580,"[^\d]","")&amp;"?text="&amp;ENCODEURL(O580),"واتساب 3"))</x:f>
      </x:c>
    </x:row>
    <x:row r="581" ht="15" hidden="0" customHeight="1">
      <x:c r="A581" s="12" t="str">
        <x:f>IF(Leads!A581="","",Leads!A581)</x:f>
      </x:c>
      <x:c r="B581" s="12" t="str">
        <x:f>IF(Leads!F581="","",Leads!F581)</x:f>
      </x:c>
      <x:c r="C581" s="12" t="str">
        <x:f>IF(Leads!G581="","",Leads!G581)</x:f>
      </x:c>
      <x:c r="D581" s="12" t="str">
        <x:f>IF(Leads!O581="","",Leads!O581)</x:f>
      </x:c>
      <x:c r="E581" s="12" t="str">
        <x:f>IF(Leads!AV581="","",Leads!AV581)</x:f>
      </x:c>
      <x:c r="F581" s="12" t="str">
        <x:f>IF(Leads!AX581="","",Leads!AX581)</x:f>
      </x:c>
      <x:c r="G581" s="12" t="str">
        <x:f>IF(Leads!BC581="","",Leads!BC581)</x:f>
      </x:c>
      <x:c r="H581" s="12" t="str">
        <x:f>IF(Leads!BE581="","",Leads!BE581)</x:f>
      </x:c>
      <x:c r="I581" s="12" t="str">
        <x:f>IF(Leads!BG581="","",Leads!BG581)</x:f>
      </x:c>
      <x:c r="J581" s="12" t="str">
        <x:f>IF(Leads!BH581="","",Leads!BH581)</x:f>
      </x:c>
      <x:c r="K581" s="12" t="str">
        <x:f>IF(A581="","","مرحبًا "&amp;C581&amp;CHAR(10)&amp;CHAR(10)&amp;"شكرًا لإتمام تقييم DBD الخاص بعيادة "&amp;B581&amp;"."&amp;CHAR(10)&amp;"نتيجتكم الحالية: "&amp;E581&amp;"%."&amp;CHAR(10)&amp;"أولوية التحسين الأولى: "&amp;F581&amp;"."&amp;IF(J581&lt;&gt;"",CHAR(10)&amp;CHAR(10)&amp;"رابط التقرير: "&amp;J581,"")&amp;CHAR(10)&amp;CHAR(10)&amp;"إذا أحببت، يمكننا مساعدتك في فهم التقرير وتحديد أفضل خطوة تالية لعيادتكم.")</x:f>
      </x:c>
      <x:c r="L581" s="12" t="str">
        <x:f>IF(D581="","",HYPERLINK("https://wa.me/"&amp;REGEXREPLACE(D581,"[^\d]","")&amp;"?text="&amp;ENCODEURL(K581),"واتساب 1"))</x:f>
      </x:c>
      <x:c r="M581" s="12" t="str">
        <x:f>IF(A581="","","مرحبًا "&amp;C581&amp;CHAR(10)&amp;CHAR(10)&amp;"بناءً على نتيجة تقييم عيادة "&amp;B581&amp;"، فإن الترشيح الأقوى لكم الآن هو: "&amp;G581&amp;"."&amp;CHAR(10)&amp;"هذا الخيار يساعدكم في معالجة أكبر فجوة حالية بشكل عملي ومباشر."&amp;IF(J581&lt;&gt;"",CHAR(10)&amp;CHAR(10)&amp;"رابط التقرير: "&amp;J581,"")&amp;CHAR(10)&amp;CHAR(10)&amp;"إذا رغبت، يمكننا توضيح لماذا هذا الكورس هو الأنسب لكم الآن.")</x:f>
      </x:c>
      <x:c r="N581" s="12" t="str">
        <x:f>IF(D581="","",HYPERLINK("https://wa.me/"&amp;REGEXREPLACE(D581,"[^\d]","")&amp;"?text="&amp;ENCODEURL(M581),"واتساب 2"))</x:f>
      </x:c>
      <x:c r="O581" s="12" t="str">
        <x:f>IF(A581="","","مرحبًا "&amp;C581&amp;CHAR(10)&amp;CHAR(10)&amp;"إذا كانت التحديات لديكم تحتاج حلًا أشمل، فالبرنامج الكامل المناسب لكم هو: "&amp;H581&amp;"."&amp;IF(I581&lt;&gt;"",CHAR(10)&amp;"كما يمكنكم أيضًا حجز: "&amp;I581&amp;".","")&amp;IF(J581&lt;&gt;"",CHAR(10)&amp;CHAR(10)&amp;"رابط التقرير: "&amp;J581,"")&amp;CHAR(10)&amp;CHAR(10)&amp;"يسعدنا مساعدتكم في اختيار المسار الأنسب حسب وضع العيادة الحالي.")</x:f>
      </x:c>
      <x:c r="P581" s="12" t="str">
        <x:f>IF(D581="","",HYPERLINK("https://wa.me/"&amp;REGEXREPLACE(D581,"[^\d]","")&amp;"?text="&amp;ENCODEURL(O581),"واتساب 3"))</x:f>
      </x:c>
    </x:row>
    <x:row r="582" ht="15" hidden="0" customHeight="1">
      <x:c r="A582" s="12" t="str">
        <x:f>IF(Leads!A582="","",Leads!A582)</x:f>
      </x:c>
      <x:c r="B582" s="12" t="str">
        <x:f>IF(Leads!F582="","",Leads!F582)</x:f>
      </x:c>
      <x:c r="C582" s="12" t="str">
        <x:f>IF(Leads!G582="","",Leads!G582)</x:f>
      </x:c>
      <x:c r="D582" s="12" t="str">
        <x:f>IF(Leads!O582="","",Leads!O582)</x:f>
      </x:c>
      <x:c r="E582" s="12" t="str">
        <x:f>IF(Leads!AV582="","",Leads!AV582)</x:f>
      </x:c>
      <x:c r="F582" s="12" t="str">
        <x:f>IF(Leads!AX582="","",Leads!AX582)</x:f>
      </x:c>
      <x:c r="G582" s="12" t="str">
        <x:f>IF(Leads!BC582="","",Leads!BC582)</x:f>
      </x:c>
      <x:c r="H582" s="12" t="str">
        <x:f>IF(Leads!BE582="","",Leads!BE582)</x:f>
      </x:c>
      <x:c r="I582" s="12" t="str">
        <x:f>IF(Leads!BG582="","",Leads!BG582)</x:f>
      </x:c>
      <x:c r="J582" s="12" t="str">
        <x:f>IF(Leads!BH582="","",Leads!BH582)</x:f>
      </x:c>
      <x:c r="K582" s="12" t="str">
        <x:f>IF(A582="","","مرحبًا "&amp;C582&amp;CHAR(10)&amp;CHAR(10)&amp;"شكرًا لإتمام تقييم DBD الخاص بعيادة "&amp;B582&amp;"."&amp;CHAR(10)&amp;"نتيجتكم الحالية: "&amp;E582&amp;"%."&amp;CHAR(10)&amp;"أولوية التحسين الأولى: "&amp;F582&amp;"."&amp;IF(J582&lt;&gt;"",CHAR(10)&amp;CHAR(10)&amp;"رابط التقرير: "&amp;J582,"")&amp;CHAR(10)&amp;CHAR(10)&amp;"إذا أحببت، يمكننا مساعدتك في فهم التقرير وتحديد أفضل خطوة تالية لعيادتكم.")</x:f>
      </x:c>
      <x:c r="L582" s="12" t="str">
        <x:f>IF(D582="","",HYPERLINK("https://wa.me/"&amp;REGEXREPLACE(D582,"[^\d]","")&amp;"?text="&amp;ENCODEURL(K582),"واتساب 1"))</x:f>
      </x:c>
      <x:c r="M582" s="12" t="str">
        <x:f>IF(A582="","","مرحبًا "&amp;C582&amp;CHAR(10)&amp;CHAR(10)&amp;"بناءً على نتيجة تقييم عيادة "&amp;B582&amp;"، فإن الترشيح الأقوى لكم الآن هو: "&amp;G582&amp;"."&amp;CHAR(10)&amp;"هذا الخيار يساعدكم في معالجة أكبر فجوة حالية بشكل عملي ومباشر."&amp;IF(J582&lt;&gt;"",CHAR(10)&amp;CHAR(10)&amp;"رابط التقرير: "&amp;J582,"")&amp;CHAR(10)&amp;CHAR(10)&amp;"إذا رغبت، يمكننا توضيح لماذا هذا الكورس هو الأنسب لكم الآن.")</x:f>
      </x:c>
      <x:c r="N582" s="12" t="str">
        <x:f>IF(D582="","",HYPERLINK("https://wa.me/"&amp;REGEXREPLACE(D582,"[^\d]","")&amp;"?text="&amp;ENCODEURL(M582),"واتساب 2"))</x:f>
      </x:c>
      <x:c r="O582" s="12" t="str">
        <x:f>IF(A582="","","مرحبًا "&amp;C582&amp;CHAR(10)&amp;CHAR(10)&amp;"إذا كانت التحديات لديكم تحتاج حلًا أشمل، فالبرنامج الكامل المناسب لكم هو: "&amp;H582&amp;"."&amp;IF(I582&lt;&gt;"",CHAR(10)&amp;"كما يمكنكم أيضًا حجز: "&amp;I582&amp;".","")&amp;IF(J582&lt;&gt;"",CHAR(10)&amp;CHAR(10)&amp;"رابط التقرير: "&amp;J582,"")&amp;CHAR(10)&amp;CHAR(10)&amp;"يسعدنا مساعدتكم في اختيار المسار الأنسب حسب وضع العيادة الحالي.")</x:f>
      </x:c>
      <x:c r="P582" s="12" t="str">
        <x:f>IF(D582="","",HYPERLINK("https://wa.me/"&amp;REGEXREPLACE(D582,"[^\d]","")&amp;"?text="&amp;ENCODEURL(O582),"واتساب 3"))</x:f>
      </x:c>
    </x:row>
    <x:row r="583" ht="15" hidden="0" customHeight="1">
      <x:c r="A583" s="12" t="str">
        <x:f>IF(Leads!A583="","",Leads!A583)</x:f>
      </x:c>
      <x:c r="B583" s="12" t="str">
        <x:f>IF(Leads!F583="","",Leads!F583)</x:f>
      </x:c>
      <x:c r="C583" s="12" t="str">
        <x:f>IF(Leads!G583="","",Leads!G583)</x:f>
      </x:c>
      <x:c r="D583" s="12" t="str">
        <x:f>IF(Leads!O583="","",Leads!O583)</x:f>
      </x:c>
      <x:c r="E583" s="12" t="str">
        <x:f>IF(Leads!AV583="","",Leads!AV583)</x:f>
      </x:c>
      <x:c r="F583" s="12" t="str">
        <x:f>IF(Leads!AX583="","",Leads!AX583)</x:f>
      </x:c>
      <x:c r="G583" s="12" t="str">
        <x:f>IF(Leads!BC583="","",Leads!BC583)</x:f>
      </x:c>
      <x:c r="H583" s="12" t="str">
        <x:f>IF(Leads!BE583="","",Leads!BE583)</x:f>
      </x:c>
      <x:c r="I583" s="12" t="str">
        <x:f>IF(Leads!BG583="","",Leads!BG583)</x:f>
      </x:c>
      <x:c r="J583" s="12" t="str">
        <x:f>IF(Leads!BH583="","",Leads!BH583)</x:f>
      </x:c>
      <x:c r="K583" s="12" t="str">
        <x:f>IF(A583="","","مرحبًا "&amp;C583&amp;CHAR(10)&amp;CHAR(10)&amp;"شكرًا لإتمام تقييم DBD الخاص بعيادة "&amp;B583&amp;"."&amp;CHAR(10)&amp;"نتيجتكم الحالية: "&amp;E583&amp;"%."&amp;CHAR(10)&amp;"أولوية التحسين الأولى: "&amp;F583&amp;"."&amp;IF(J583&lt;&gt;"",CHAR(10)&amp;CHAR(10)&amp;"رابط التقرير: "&amp;J583,"")&amp;CHAR(10)&amp;CHAR(10)&amp;"إذا أحببت، يمكننا مساعدتك في فهم التقرير وتحديد أفضل خطوة تالية لعيادتكم.")</x:f>
      </x:c>
      <x:c r="L583" s="12" t="str">
        <x:f>IF(D583="","",HYPERLINK("https://wa.me/"&amp;REGEXREPLACE(D583,"[^\d]","")&amp;"?text="&amp;ENCODEURL(K583),"واتساب 1"))</x:f>
      </x:c>
      <x:c r="M583" s="12" t="str">
        <x:f>IF(A583="","","مرحبًا "&amp;C583&amp;CHAR(10)&amp;CHAR(10)&amp;"بناءً على نتيجة تقييم عيادة "&amp;B583&amp;"، فإن الترشيح الأقوى لكم الآن هو: "&amp;G583&amp;"."&amp;CHAR(10)&amp;"هذا الخيار يساعدكم في معالجة أكبر فجوة حالية بشكل عملي ومباشر."&amp;IF(J583&lt;&gt;"",CHAR(10)&amp;CHAR(10)&amp;"رابط التقرير: "&amp;J583,"")&amp;CHAR(10)&amp;CHAR(10)&amp;"إذا رغبت، يمكننا توضيح لماذا هذا الكورس هو الأنسب لكم الآن.")</x:f>
      </x:c>
      <x:c r="N583" s="12" t="str">
        <x:f>IF(D583="","",HYPERLINK("https://wa.me/"&amp;REGEXREPLACE(D583,"[^\d]","")&amp;"?text="&amp;ENCODEURL(M583),"واتساب 2"))</x:f>
      </x:c>
      <x:c r="O583" s="12" t="str">
        <x:f>IF(A583="","","مرحبًا "&amp;C583&amp;CHAR(10)&amp;CHAR(10)&amp;"إذا كانت التحديات لديكم تحتاج حلًا أشمل، فالبرنامج الكامل المناسب لكم هو: "&amp;H583&amp;"."&amp;IF(I583&lt;&gt;"",CHAR(10)&amp;"كما يمكنكم أيضًا حجز: "&amp;I583&amp;".","")&amp;IF(J583&lt;&gt;"",CHAR(10)&amp;CHAR(10)&amp;"رابط التقرير: "&amp;J583,"")&amp;CHAR(10)&amp;CHAR(10)&amp;"يسعدنا مساعدتكم في اختيار المسار الأنسب حسب وضع العيادة الحالي.")</x:f>
      </x:c>
      <x:c r="P583" s="12" t="str">
        <x:f>IF(D583="","",HYPERLINK("https://wa.me/"&amp;REGEXREPLACE(D583,"[^\d]","")&amp;"?text="&amp;ENCODEURL(O583),"واتساب 3"))</x:f>
      </x:c>
    </x:row>
    <x:row r="584" ht="15" hidden="0" customHeight="1">
      <x:c r="A584" s="12" t="str">
        <x:f>IF(Leads!A584="","",Leads!A584)</x:f>
      </x:c>
      <x:c r="B584" s="12" t="str">
        <x:f>IF(Leads!F584="","",Leads!F584)</x:f>
      </x:c>
      <x:c r="C584" s="12" t="str">
        <x:f>IF(Leads!G584="","",Leads!G584)</x:f>
      </x:c>
      <x:c r="D584" s="12" t="str">
        <x:f>IF(Leads!O584="","",Leads!O584)</x:f>
      </x:c>
      <x:c r="E584" s="12" t="str">
        <x:f>IF(Leads!AV584="","",Leads!AV584)</x:f>
      </x:c>
      <x:c r="F584" s="12" t="str">
        <x:f>IF(Leads!AX584="","",Leads!AX584)</x:f>
      </x:c>
      <x:c r="G584" s="12" t="str">
        <x:f>IF(Leads!BC584="","",Leads!BC584)</x:f>
      </x:c>
      <x:c r="H584" s="12" t="str">
        <x:f>IF(Leads!BE584="","",Leads!BE584)</x:f>
      </x:c>
      <x:c r="I584" s="12" t="str">
        <x:f>IF(Leads!BG584="","",Leads!BG584)</x:f>
      </x:c>
      <x:c r="J584" s="12" t="str">
        <x:f>IF(Leads!BH584="","",Leads!BH584)</x:f>
      </x:c>
      <x:c r="K584" s="12" t="str">
        <x:f>IF(A584="","","مرحبًا "&amp;C584&amp;CHAR(10)&amp;CHAR(10)&amp;"شكرًا لإتمام تقييم DBD الخاص بعيادة "&amp;B584&amp;"."&amp;CHAR(10)&amp;"نتيجتكم الحالية: "&amp;E584&amp;"%."&amp;CHAR(10)&amp;"أولوية التحسين الأولى: "&amp;F584&amp;"."&amp;IF(J584&lt;&gt;"",CHAR(10)&amp;CHAR(10)&amp;"رابط التقرير: "&amp;J584,"")&amp;CHAR(10)&amp;CHAR(10)&amp;"إذا أحببت، يمكننا مساعدتك في فهم التقرير وتحديد أفضل خطوة تالية لعيادتكم.")</x:f>
      </x:c>
      <x:c r="L584" s="12" t="str">
        <x:f>IF(D584="","",HYPERLINK("https://wa.me/"&amp;REGEXREPLACE(D584,"[^\d]","")&amp;"?text="&amp;ENCODEURL(K584),"واتساب 1"))</x:f>
      </x:c>
      <x:c r="M584" s="12" t="str">
        <x:f>IF(A584="","","مرحبًا "&amp;C584&amp;CHAR(10)&amp;CHAR(10)&amp;"بناءً على نتيجة تقييم عيادة "&amp;B584&amp;"، فإن الترشيح الأقوى لكم الآن هو: "&amp;G584&amp;"."&amp;CHAR(10)&amp;"هذا الخيار يساعدكم في معالجة أكبر فجوة حالية بشكل عملي ومباشر."&amp;IF(J584&lt;&gt;"",CHAR(10)&amp;CHAR(10)&amp;"رابط التقرير: "&amp;J584,"")&amp;CHAR(10)&amp;CHAR(10)&amp;"إذا رغبت، يمكننا توضيح لماذا هذا الكورس هو الأنسب لكم الآن.")</x:f>
      </x:c>
      <x:c r="N584" s="12" t="str">
        <x:f>IF(D584="","",HYPERLINK("https://wa.me/"&amp;REGEXREPLACE(D584,"[^\d]","")&amp;"?text="&amp;ENCODEURL(M584),"واتساب 2"))</x:f>
      </x:c>
      <x:c r="O584" s="12" t="str">
        <x:f>IF(A584="","","مرحبًا "&amp;C584&amp;CHAR(10)&amp;CHAR(10)&amp;"إذا كانت التحديات لديكم تحتاج حلًا أشمل، فالبرنامج الكامل المناسب لكم هو: "&amp;H584&amp;"."&amp;IF(I584&lt;&gt;"",CHAR(10)&amp;"كما يمكنكم أيضًا حجز: "&amp;I584&amp;".","")&amp;IF(J584&lt;&gt;"",CHAR(10)&amp;CHAR(10)&amp;"رابط التقرير: "&amp;J584,"")&amp;CHAR(10)&amp;CHAR(10)&amp;"يسعدنا مساعدتكم في اختيار المسار الأنسب حسب وضع العيادة الحالي.")</x:f>
      </x:c>
      <x:c r="P584" s="12" t="str">
        <x:f>IF(D584="","",HYPERLINK("https://wa.me/"&amp;REGEXREPLACE(D584,"[^\d]","")&amp;"?text="&amp;ENCODEURL(O584),"واتساب 3"))</x:f>
      </x:c>
    </x:row>
    <x:row r="585" ht="15" hidden="0" customHeight="1">
      <x:c r="A585" s="12" t="str">
        <x:f>IF(Leads!A585="","",Leads!A585)</x:f>
      </x:c>
      <x:c r="B585" s="12" t="str">
        <x:f>IF(Leads!F585="","",Leads!F585)</x:f>
      </x:c>
      <x:c r="C585" s="12" t="str">
        <x:f>IF(Leads!G585="","",Leads!G585)</x:f>
      </x:c>
      <x:c r="D585" s="12" t="str">
        <x:f>IF(Leads!O585="","",Leads!O585)</x:f>
      </x:c>
      <x:c r="E585" s="12" t="str">
        <x:f>IF(Leads!AV585="","",Leads!AV585)</x:f>
      </x:c>
      <x:c r="F585" s="12" t="str">
        <x:f>IF(Leads!AX585="","",Leads!AX585)</x:f>
      </x:c>
      <x:c r="G585" s="12" t="str">
        <x:f>IF(Leads!BC585="","",Leads!BC585)</x:f>
      </x:c>
      <x:c r="H585" s="12" t="str">
        <x:f>IF(Leads!BE585="","",Leads!BE585)</x:f>
      </x:c>
      <x:c r="I585" s="12" t="str">
        <x:f>IF(Leads!BG585="","",Leads!BG585)</x:f>
      </x:c>
      <x:c r="J585" s="12" t="str">
        <x:f>IF(Leads!BH585="","",Leads!BH585)</x:f>
      </x:c>
      <x:c r="K585" s="12" t="str">
        <x:f>IF(A585="","","مرحبًا "&amp;C585&amp;CHAR(10)&amp;CHAR(10)&amp;"شكرًا لإتمام تقييم DBD الخاص بعيادة "&amp;B585&amp;"."&amp;CHAR(10)&amp;"نتيجتكم الحالية: "&amp;E585&amp;"%."&amp;CHAR(10)&amp;"أولوية التحسين الأولى: "&amp;F585&amp;"."&amp;IF(J585&lt;&gt;"",CHAR(10)&amp;CHAR(10)&amp;"رابط التقرير: "&amp;J585,"")&amp;CHAR(10)&amp;CHAR(10)&amp;"إذا أحببت، يمكننا مساعدتك في فهم التقرير وتحديد أفضل خطوة تالية لعيادتكم.")</x:f>
      </x:c>
      <x:c r="L585" s="12" t="str">
        <x:f>IF(D585="","",HYPERLINK("https://wa.me/"&amp;REGEXREPLACE(D585,"[^\d]","")&amp;"?text="&amp;ENCODEURL(K585),"واتساب 1"))</x:f>
      </x:c>
      <x:c r="M585" s="12" t="str">
        <x:f>IF(A585="","","مرحبًا "&amp;C585&amp;CHAR(10)&amp;CHAR(10)&amp;"بناءً على نتيجة تقييم عيادة "&amp;B585&amp;"، فإن الترشيح الأقوى لكم الآن هو: "&amp;G585&amp;"."&amp;CHAR(10)&amp;"هذا الخيار يساعدكم في معالجة أكبر فجوة حالية بشكل عملي ومباشر."&amp;IF(J585&lt;&gt;"",CHAR(10)&amp;CHAR(10)&amp;"رابط التقرير: "&amp;J585,"")&amp;CHAR(10)&amp;CHAR(10)&amp;"إذا رغبت، يمكننا توضيح لماذا هذا الكورس هو الأنسب لكم الآن.")</x:f>
      </x:c>
      <x:c r="N585" s="12" t="str">
        <x:f>IF(D585="","",HYPERLINK("https://wa.me/"&amp;REGEXREPLACE(D585,"[^\d]","")&amp;"?text="&amp;ENCODEURL(M585),"واتساب 2"))</x:f>
      </x:c>
      <x:c r="O585" s="12" t="str">
        <x:f>IF(A585="","","مرحبًا "&amp;C585&amp;CHAR(10)&amp;CHAR(10)&amp;"إذا كانت التحديات لديكم تحتاج حلًا أشمل، فالبرنامج الكامل المناسب لكم هو: "&amp;H585&amp;"."&amp;IF(I585&lt;&gt;"",CHAR(10)&amp;"كما يمكنكم أيضًا حجز: "&amp;I585&amp;".","")&amp;IF(J585&lt;&gt;"",CHAR(10)&amp;CHAR(10)&amp;"رابط التقرير: "&amp;J585,"")&amp;CHAR(10)&amp;CHAR(10)&amp;"يسعدنا مساعدتكم في اختيار المسار الأنسب حسب وضع العيادة الحالي.")</x:f>
      </x:c>
      <x:c r="P585" s="12" t="str">
        <x:f>IF(D585="","",HYPERLINK("https://wa.me/"&amp;REGEXREPLACE(D585,"[^\d]","")&amp;"?text="&amp;ENCODEURL(O585),"واتساب 3"))</x:f>
      </x:c>
    </x:row>
    <x:row r="586" ht="15" hidden="0" customHeight="1">
      <x:c r="A586" s="12" t="str">
        <x:f>IF(Leads!A586="","",Leads!A586)</x:f>
      </x:c>
      <x:c r="B586" s="12" t="str">
        <x:f>IF(Leads!F586="","",Leads!F586)</x:f>
      </x:c>
      <x:c r="C586" s="12" t="str">
        <x:f>IF(Leads!G586="","",Leads!G586)</x:f>
      </x:c>
      <x:c r="D586" s="12" t="str">
        <x:f>IF(Leads!O586="","",Leads!O586)</x:f>
      </x:c>
      <x:c r="E586" s="12" t="str">
        <x:f>IF(Leads!AV586="","",Leads!AV586)</x:f>
      </x:c>
      <x:c r="F586" s="12" t="str">
        <x:f>IF(Leads!AX586="","",Leads!AX586)</x:f>
      </x:c>
      <x:c r="G586" s="12" t="str">
        <x:f>IF(Leads!BC586="","",Leads!BC586)</x:f>
      </x:c>
      <x:c r="H586" s="12" t="str">
        <x:f>IF(Leads!BE586="","",Leads!BE586)</x:f>
      </x:c>
      <x:c r="I586" s="12" t="str">
        <x:f>IF(Leads!BG586="","",Leads!BG586)</x:f>
      </x:c>
      <x:c r="J586" s="12" t="str">
        <x:f>IF(Leads!BH586="","",Leads!BH586)</x:f>
      </x:c>
      <x:c r="K586" s="12" t="str">
        <x:f>IF(A586="","","مرحبًا "&amp;C586&amp;CHAR(10)&amp;CHAR(10)&amp;"شكرًا لإتمام تقييم DBD الخاص بعيادة "&amp;B586&amp;"."&amp;CHAR(10)&amp;"نتيجتكم الحالية: "&amp;E586&amp;"%."&amp;CHAR(10)&amp;"أولوية التحسين الأولى: "&amp;F586&amp;"."&amp;IF(J586&lt;&gt;"",CHAR(10)&amp;CHAR(10)&amp;"رابط التقرير: "&amp;J586,"")&amp;CHAR(10)&amp;CHAR(10)&amp;"إذا أحببت، يمكننا مساعدتك في فهم التقرير وتحديد أفضل خطوة تالية لعيادتكم.")</x:f>
      </x:c>
      <x:c r="L586" s="12" t="str">
        <x:f>IF(D586="","",HYPERLINK("https://wa.me/"&amp;REGEXREPLACE(D586,"[^\d]","")&amp;"?text="&amp;ENCODEURL(K586),"واتساب 1"))</x:f>
      </x:c>
      <x:c r="M586" s="12" t="str">
        <x:f>IF(A586="","","مرحبًا "&amp;C586&amp;CHAR(10)&amp;CHAR(10)&amp;"بناءً على نتيجة تقييم عيادة "&amp;B586&amp;"، فإن الترشيح الأقوى لكم الآن هو: "&amp;G586&amp;"."&amp;CHAR(10)&amp;"هذا الخيار يساعدكم في معالجة أكبر فجوة حالية بشكل عملي ومباشر."&amp;IF(J586&lt;&gt;"",CHAR(10)&amp;CHAR(10)&amp;"رابط التقرير: "&amp;J586,"")&amp;CHAR(10)&amp;CHAR(10)&amp;"إذا رغبت، يمكننا توضيح لماذا هذا الكورس هو الأنسب لكم الآن.")</x:f>
      </x:c>
      <x:c r="N586" s="12" t="str">
        <x:f>IF(D586="","",HYPERLINK("https://wa.me/"&amp;REGEXREPLACE(D586,"[^\d]","")&amp;"?text="&amp;ENCODEURL(M586),"واتساب 2"))</x:f>
      </x:c>
      <x:c r="O586" s="12" t="str">
        <x:f>IF(A586="","","مرحبًا "&amp;C586&amp;CHAR(10)&amp;CHAR(10)&amp;"إذا كانت التحديات لديكم تحتاج حلًا أشمل، فالبرنامج الكامل المناسب لكم هو: "&amp;H586&amp;"."&amp;IF(I586&lt;&gt;"",CHAR(10)&amp;"كما يمكنكم أيضًا حجز: "&amp;I586&amp;".","")&amp;IF(J586&lt;&gt;"",CHAR(10)&amp;CHAR(10)&amp;"رابط التقرير: "&amp;J586,"")&amp;CHAR(10)&amp;CHAR(10)&amp;"يسعدنا مساعدتكم في اختيار المسار الأنسب حسب وضع العيادة الحالي.")</x:f>
      </x:c>
      <x:c r="P586" s="12" t="str">
        <x:f>IF(D586="","",HYPERLINK("https://wa.me/"&amp;REGEXREPLACE(D586,"[^\d]","")&amp;"?text="&amp;ENCODEURL(O586),"واتساب 3"))</x:f>
      </x:c>
    </x:row>
    <x:row r="587" ht="15" hidden="0" customHeight="1">
      <x:c r="A587" s="12" t="str">
        <x:f>IF(Leads!A587="","",Leads!A587)</x:f>
      </x:c>
      <x:c r="B587" s="12" t="str">
        <x:f>IF(Leads!F587="","",Leads!F587)</x:f>
      </x:c>
      <x:c r="C587" s="12" t="str">
        <x:f>IF(Leads!G587="","",Leads!G587)</x:f>
      </x:c>
      <x:c r="D587" s="12" t="str">
        <x:f>IF(Leads!O587="","",Leads!O587)</x:f>
      </x:c>
      <x:c r="E587" s="12" t="str">
        <x:f>IF(Leads!AV587="","",Leads!AV587)</x:f>
      </x:c>
      <x:c r="F587" s="12" t="str">
        <x:f>IF(Leads!AX587="","",Leads!AX587)</x:f>
      </x:c>
      <x:c r="G587" s="12" t="str">
        <x:f>IF(Leads!BC587="","",Leads!BC587)</x:f>
      </x:c>
      <x:c r="H587" s="12" t="str">
        <x:f>IF(Leads!BE587="","",Leads!BE587)</x:f>
      </x:c>
      <x:c r="I587" s="12" t="str">
        <x:f>IF(Leads!BG587="","",Leads!BG587)</x:f>
      </x:c>
      <x:c r="J587" s="12" t="str">
        <x:f>IF(Leads!BH587="","",Leads!BH587)</x:f>
      </x:c>
      <x:c r="K587" s="12" t="str">
        <x:f>IF(A587="","","مرحبًا "&amp;C587&amp;CHAR(10)&amp;CHAR(10)&amp;"شكرًا لإتمام تقييم DBD الخاص بعيادة "&amp;B587&amp;"."&amp;CHAR(10)&amp;"نتيجتكم الحالية: "&amp;E587&amp;"%."&amp;CHAR(10)&amp;"أولوية التحسين الأولى: "&amp;F587&amp;"."&amp;IF(J587&lt;&gt;"",CHAR(10)&amp;CHAR(10)&amp;"رابط التقرير: "&amp;J587,"")&amp;CHAR(10)&amp;CHAR(10)&amp;"إذا أحببت، يمكننا مساعدتك في فهم التقرير وتحديد أفضل خطوة تالية لعيادتكم.")</x:f>
      </x:c>
      <x:c r="L587" s="12" t="str">
        <x:f>IF(D587="","",HYPERLINK("https://wa.me/"&amp;REGEXREPLACE(D587,"[^\d]","")&amp;"?text="&amp;ENCODEURL(K587),"واتساب 1"))</x:f>
      </x:c>
      <x:c r="M587" s="12" t="str">
        <x:f>IF(A587="","","مرحبًا "&amp;C587&amp;CHAR(10)&amp;CHAR(10)&amp;"بناءً على نتيجة تقييم عيادة "&amp;B587&amp;"، فإن الترشيح الأقوى لكم الآن هو: "&amp;G587&amp;"."&amp;CHAR(10)&amp;"هذا الخيار يساعدكم في معالجة أكبر فجوة حالية بشكل عملي ومباشر."&amp;IF(J587&lt;&gt;"",CHAR(10)&amp;CHAR(10)&amp;"رابط التقرير: "&amp;J587,"")&amp;CHAR(10)&amp;CHAR(10)&amp;"إذا رغبت، يمكننا توضيح لماذا هذا الكورس هو الأنسب لكم الآن.")</x:f>
      </x:c>
      <x:c r="N587" s="12" t="str">
        <x:f>IF(D587="","",HYPERLINK("https://wa.me/"&amp;REGEXREPLACE(D587,"[^\d]","")&amp;"?text="&amp;ENCODEURL(M587),"واتساب 2"))</x:f>
      </x:c>
      <x:c r="O587" s="12" t="str">
        <x:f>IF(A587="","","مرحبًا "&amp;C587&amp;CHAR(10)&amp;CHAR(10)&amp;"إذا كانت التحديات لديكم تحتاج حلًا أشمل، فالبرنامج الكامل المناسب لكم هو: "&amp;H587&amp;"."&amp;IF(I587&lt;&gt;"",CHAR(10)&amp;"كما يمكنكم أيضًا حجز: "&amp;I587&amp;".","")&amp;IF(J587&lt;&gt;"",CHAR(10)&amp;CHAR(10)&amp;"رابط التقرير: "&amp;J587,"")&amp;CHAR(10)&amp;CHAR(10)&amp;"يسعدنا مساعدتكم في اختيار المسار الأنسب حسب وضع العيادة الحالي.")</x:f>
      </x:c>
      <x:c r="P587" s="12" t="str">
        <x:f>IF(D587="","",HYPERLINK("https://wa.me/"&amp;REGEXREPLACE(D587,"[^\d]","")&amp;"?text="&amp;ENCODEURL(O587),"واتساب 3"))</x:f>
      </x:c>
    </x:row>
    <x:row r="588" ht="15" hidden="0" customHeight="1">
      <x:c r="A588" s="12" t="str">
        <x:f>IF(Leads!A588="","",Leads!A588)</x:f>
      </x:c>
      <x:c r="B588" s="12" t="str">
        <x:f>IF(Leads!F588="","",Leads!F588)</x:f>
      </x:c>
      <x:c r="C588" s="12" t="str">
        <x:f>IF(Leads!G588="","",Leads!G588)</x:f>
      </x:c>
      <x:c r="D588" s="12" t="str">
        <x:f>IF(Leads!O588="","",Leads!O588)</x:f>
      </x:c>
      <x:c r="E588" s="12" t="str">
        <x:f>IF(Leads!AV588="","",Leads!AV588)</x:f>
      </x:c>
      <x:c r="F588" s="12" t="str">
        <x:f>IF(Leads!AX588="","",Leads!AX588)</x:f>
      </x:c>
      <x:c r="G588" s="12" t="str">
        <x:f>IF(Leads!BC588="","",Leads!BC588)</x:f>
      </x:c>
      <x:c r="H588" s="12" t="str">
        <x:f>IF(Leads!BE588="","",Leads!BE588)</x:f>
      </x:c>
      <x:c r="I588" s="12" t="str">
        <x:f>IF(Leads!BG588="","",Leads!BG588)</x:f>
      </x:c>
      <x:c r="J588" s="12" t="str">
        <x:f>IF(Leads!BH588="","",Leads!BH588)</x:f>
      </x:c>
      <x:c r="K588" s="12" t="str">
        <x:f>IF(A588="","","مرحبًا "&amp;C588&amp;CHAR(10)&amp;CHAR(10)&amp;"شكرًا لإتمام تقييم DBD الخاص بعيادة "&amp;B588&amp;"."&amp;CHAR(10)&amp;"نتيجتكم الحالية: "&amp;E588&amp;"%."&amp;CHAR(10)&amp;"أولوية التحسين الأولى: "&amp;F588&amp;"."&amp;IF(J588&lt;&gt;"",CHAR(10)&amp;CHAR(10)&amp;"رابط التقرير: "&amp;J588,"")&amp;CHAR(10)&amp;CHAR(10)&amp;"إذا أحببت، يمكننا مساعدتك في فهم التقرير وتحديد أفضل خطوة تالية لعيادتكم.")</x:f>
      </x:c>
      <x:c r="L588" s="12" t="str">
        <x:f>IF(D588="","",HYPERLINK("https://wa.me/"&amp;REGEXREPLACE(D588,"[^\d]","")&amp;"?text="&amp;ENCODEURL(K588),"واتساب 1"))</x:f>
      </x:c>
      <x:c r="M588" s="12" t="str">
        <x:f>IF(A588="","","مرحبًا "&amp;C588&amp;CHAR(10)&amp;CHAR(10)&amp;"بناءً على نتيجة تقييم عيادة "&amp;B588&amp;"، فإن الترشيح الأقوى لكم الآن هو: "&amp;G588&amp;"."&amp;CHAR(10)&amp;"هذا الخيار يساعدكم في معالجة أكبر فجوة حالية بشكل عملي ومباشر."&amp;IF(J588&lt;&gt;"",CHAR(10)&amp;CHAR(10)&amp;"رابط التقرير: "&amp;J588,"")&amp;CHAR(10)&amp;CHAR(10)&amp;"إذا رغبت، يمكننا توضيح لماذا هذا الكورس هو الأنسب لكم الآن.")</x:f>
      </x:c>
      <x:c r="N588" s="12" t="str">
        <x:f>IF(D588="","",HYPERLINK("https://wa.me/"&amp;REGEXREPLACE(D588,"[^\d]","")&amp;"?text="&amp;ENCODEURL(M588),"واتساب 2"))</x:f>
      </x:c>
      <x:c r="O588" s="12" t="str">
        <x:f>IF(A588="","","مرحبًا "&amp;C588&amp;CHAR(10)&amp;CHAR(10)&amp;"إذا كانت التحديات لديكم تحتاج حلًا أشمل، فالبرنامج الكامل المناسب لكم هو: "&amp;H588&amp;"."&amp;IF(I588&lt;&gt;"",CHAR(10)&amp;"كما يمكنكم أيضًا حجز: "&amp;I588&amp;".","")&amp;IF(J588&lt;&gt;"",CHAR(10)&amp;CHAR(10)&amp;"رابط التقرير: "&amp;J588,"")&amp;CHAR(10)&amp;CHAR(10)&amp;"يسعدنا مساعدتكم في اختيار المسار الأنسب حسب وضع العيادة الحالي.")</x:f>
      </x:c>
      <x:c r="P588" s="12" t="str">
        <x:f>IF(D588="","",HYPERLINK("https://wa.me/"&amp;REGEXREPLACE(D588,"[^\d]","")&amp;"?text="&amp;ENCODEURL(O588),"واتساب 3"))</x:f>
      </x:c>
    </x:row>
    <x:row r="589" ht="15" hidden="0" customHeight="1">
      <x:c r="A589" s="12" t="str">
        <x:f>IF(Leads!A589="","",Leads!A589)</x:f>
      </x:c>
      <x:c r="B589" s="12" t="str">
        <x:f>IF(Leads!F589="","",Leads!F589)</x:f>
      </x:c>
      <x:c r="C589" s="12" t="str">
        <x:f>IF(Leads!G589="","",Leads!G589)</x:f>
      </x:c>
      <x:c r="D589" s="12" t="str">
        <x:f>IF(Leads!O589="","",Leads!O589)</x:f>
      </x:c>
      <x:c r="E589" s="12" t="str">
        <x:f>IF(Leads!AV589="","",Leads!AV589)</x:f>
      </x:c>
      <x:c r="F589" s="12" t="str">
        <x:f>IF(Leads!AX589="","",Leads!AX589)</x:f>
      </x:c>
      <x:c r="G589" s="12" t="str">
        <x:f>IF(Leads!BC589="","",Leads!BC589)</x:f>
      </x:c>
      <x:c r="H589" s="12" t="str">
        <x:f>IF(Leads!BE589="","",Leads!BE589)</x:f>
      </x:c>
      <x:c r="I589" s="12" t="str">
        <x:f>IF(Leads!BG589="","",Leads!BG589)</x:f>
      </x:c>
      <x:c r="J589" s="12" t="str">
        <x:f>IF(Leads!BH589="","",Leads!BH589)</x:f>
      </x:c>
      <x:c r="K589" s="12" t="str">
        <x:f>IF(A589="","","مرحبًا "&amp;C589&amp;CHAR(10)&amp;CHAR(10)&amp;"شكرًا لإتمام تقييم DBD الخاص بعيادة "&amp;B589&amp;"."&amp;CHAR(10)&amp;"نتيجتكم الحالية: "&amp;E589&amp;"%."&amp;CHAR(10)&amp;"أولوية التحسين الأولى: "&amp;F589&amp;"."&amp;IF(J589&lt;&gt;"",CHAR(10)&amp;CHAR(10)&amp;"رابط التقرير: "&amp;J589,"")&amp;CHAR(10)&amp;CHAR(10)&amp;"إذا أحببت، يمكننا مساعدتك في فهم التقرير وتحديد أفضل خطوة تالية لعيادتكم.")</x:f>
      </x:c>
      <x:c r="L589" s="12" t="str">
        <x:f>IF(D589="","",HYPERLINK("https://wa.me/"&amp;REGEXREPLACE(D589,"[^\d]","")&amp;"?text="&amp;ENCODEURL(K589),"واتساب 1"))</x:f>
      </x:c>
      <x:c r="M589" s="12" t="str">
        <x:f>IF(A589="","","مرحبًا "&amp;C589&amp;CHAR(10)&amp;CHAR(10)&amp;"بناءً على نتيجة تقييم عيادة "&amp;B589&amp;"، فإن الترشيح الأقوى لكم الآن هو: "&amp;G589&amp;"."&amp;CHAR(10)&amp;"هذا الخيار يساعدكم في معالجة أكبر فجوة حالية بشكل عملي ومباشر."&amp;IF(J589&lt;&gt;"",CHAR(10)&amp;CHAR(10)&amp;"رابط التقرير: "&amp;J589,"")&amp;CHAR(10)&amp;CHAR(10)&amp;"إذا رغبت، يمكننا توضيح لماذا هذا الكورس هو الأنسب لكم الآن.")</x:f>
      </x:c>
      <x:c r="N589" s="12" t="str">
        <x:f>IF(D589="","",HYPERLINK("https://wa.me/"&amp;REGEXREPLACE(D589,"[^\d]","")&amp;"?text="&amp;ENCODEURL(M589),"واتساب 2"))</x:f>
      </x:c>
      <x:c r="O589" s="12" t="str">
        <x:f>IF(A589="","","مرحبًا "&amp;C589&amp;CHAR(10)&amp;CHAR(10)&amp;"إذا كانت التحديات لديكم تحتاج حلًا أشمل، فالبرنامج الكامل المناسب لكم هو: "&amp;H589&amp;"."&amp;IF(I589&lt;&gt;"",CHAR(10)&amp;"كما يمكنكم أيضًا حجز: "&amp;I589&amp;".","")&amp;IF(J589&lt;&gt;"",CHAR(10)&amp;CHAR(10)&amp;"رابط التقرير: "&amp;J589,"")&amp;CHAR(10)&amp;CHAR(10)&amp;"يسعدنا مساعدتكم في اختيار المسار الأنسب حسب وضع العيادة الحالي.")</x:f>
      </x:c>
      <x:c r="P589" s="12" t="str">
        <x:f>IF(D589="","",HYPERLINK("https://wa.me/"&amp;REGEXREPLACE(D589,"[^\d]","")&amp;"?text="&amp;ENCODEURL(O589),"واتساب 3"))</x:f>
      </x:c>
    </x:row>
    <x:row r="590" ht="15" hidden="0" customHeight="1">
      <x:c r="A590" s="12" t="str">
        <x:f>IF(Leads!A590="","",Leads!A590)</x:f>
      </x:c>
      <x:c r="B590" s="12" t="str">
        <x:f>IF(Leads!F590="","",Leads!F590)</x:f>
      </x:c>
      <x:c r="C590" s="12" t="str">
        <x:f>IF(Leads!G590="","",Leads!G590)</x:f>
      </x:c>
      <x:c r="D590" s="12" t="str">
        <x:f>IF(Leads!O590="","",Leads!O590)</x:f>
      </x:c>
      <x:c r="E590" s="12" t="str">
        <x:f>IF(Leads!AV590="","",Leads!AV590)</x:f>
      </x:c>
      <x:c r="F590" s="12" t="str">
        <x:f>IF(Leads!AX590="","",Leads!AX590)</x:f>
      </x:c>
      <x:c r="G590" s="12" t="str">
        <x:f>IF(Leads!BC590="","",Leads!BC590)</x:f>
      </x:c>
      <x:c r="H590" s="12" t="str">
        <x:f>IF(Leads!BE590="","",Leads!BE590)</x:f>
      </x:c>
      <x:c r="I590" s="12" t="str">
        <x:f>IF(Leads!BG590="","",Leads!BG590)</x:f>
      </x:c>
      <x:c r="J590" s="12" t="str">
        <x:f>IF(Leads!BH590="","",Leads!BH590)</x:f>
      </x:c>
      <x:c r="K590" s="12" t="str">
        <x:f>IF(A590="","","مرحبًا "&amp;C590&amp;CHAR(10)&amp;CHAR(10)&amp;"شكرًا لإتمام تقييم DBD الخاص بعيادة "&amp;B590&amp;"."&amp;CHAR(10)&amp;"نتيجتكم الحالية: "&amp;E590&amp;"%."&amp;CHAR(10)&amp;"أولوية التحسين الأولى: "&amp;F590&amp;"."&amp;IF(J590&lt;&gt;"",CHAR(10)&amp;CHAR(10)&amp;"رابط التقرير: "&amp;J590,"")&amp;CHAR(10)&amp;CHAR(10)&amp;"إذا أحببت، يمكننا مساعدتك في فهم التقرير وتحديد أفضل خطوة تالية لعيادتكم.")</x:f>
      </x:c>
      <x:c r="L590" s="12" t="str">
        <x:f>IF(D590="","",HYPERLINK("https://wa.me/"&amp;REGEXREPLACE(D590,"[^\d]","")&amp;"?text="&amp;ENCODEURL(K590),"واتساب 1"))</x:f>
      </x:c>
      <x:c r="M590" s="12" t="str">
        <x:f>IF(A590="","","مرحبًا "&amp;C590&amp;CHAR(10)&amp;CHAR(10)&amp;"بناءً على نتيجة تقييم عيادة "&amp;B590&amp;"، فإن الترشيح الأقوى لكم الآن هو: "&amp;G590&amp;"."&amp;CHAR(10)&amp;"هذا الخيار يساعدكم في معالجة أكبر فجوة حالية بشكل عملي ومباشر."&amp;IF(J590&lt;&gt;"",CHAR(10)&amp;CHAR(10)&amp;"رابط التقرير: "&amp;J590,"")&amp;CHAR(10)&amp;CHAR(10)&amp;"إذا رغبت، يمكننا توضيح لماذا هذا الكورس هو الأنسب لكم الآن.")</x:f>
      </x:c>
      <x:c r="N590" s="12" t="str">
        <x:f>IF(D590="","",HYPERLINK("https://wa.me/"&amp;REGEXREPLACE(D590,"[^\d]","")&amp;"?text="&amp;ENCODEURL(M590),"واتساب 2"))</x:f>
      </x:c>
      <x:c r="O590" s="12" t="str">
        <x:f>IF(A590="","","مرحبًا "&amp;C590&amp;CHAR(10)&amp;CHAR(10)&amp;"إذا كانت التحديات لديكم تحتاج حلًا أشمل، فالبرنامج الكامل المناسب لكم هو: "&amp;H590&amp;"."&amp;IF(I590&lt;&gt;"",CHAR(10)&amp;"كما يمكنكم أيضًا حجز: "&amp;I590&amp;".","")&amp;IF(J590&lt;&gt;"",CHAR(10)&amp;CHAR(10)&amp;"رابط التقرير: "&amp;J590,"")&amp;CHAR(10)&amp;CHAR(10)&amp;"يسعدنا مساعدتكم في اختيار المسار الأنسب حسب وضع العيادة الحالي.")</x:f>
      </x:c>
      <x:c r="P590" s="12" t="str">
        <x:f>IF(D590="","",HYPERLINK("https://wa.me/"&amp;REGEXREPLACE(D590,"[^\d]","")&amp;"?text="&amp;ENCODEURL(O590),"واتساب 3"))</x:f>
      </x:c>
    </x:row>
    <x:row r="591" ht="15" hidden="0" customHeight="1">
      <x:c r="A591" s="12" t="str">
        <x:f>IF(Leads!A591="","",Leads!A591)</x:f>
      </x:c>
      <x:c r="B591" s="12" t="str">
        <x:f>IF(Leads!F591="","",Leads!F591)</x:f>
      </x:c>
      <x:c r="C591" s="12" t="str">
        <x:f>IF(Leads!G591="","",Leads!G591)</x:f>
      </x:c>
      <x:c r="D591" s="12" t="str">
        <x:f>IF(Leads!O591="","",Leads!O591)</x:f>
      </x:c>
      <x:c r="E591" s="12" t="str">
        <x:f>IF(Leads!AV591="","",Leads!AV591)</x:f>
      </x:c>
      <x:c r="F591" s="12" t="str">
        <x:f>IF(Leads!AX591="","",Leads!AX591)</x:f>
      </x:c>
      <x:c r="G591" s="12" t="str">
        <x:f>IF(Leads!BC591="","",Leads!BC591)</x:f>
      </x:c>
      <x:c r="H591" s="12" t="str">
        <x:f>IF(Leads!BE591="","",Leads!BE591)</x:f>
      </x:c>
      <x:c r="I591" s="12" t="str">
        <x:f>IF(Leads!BG591="","",Leads!BG591)</x:f>
      </x:c>
      <x:c r="J591" s="12" t="str">
        <x:f>IF(Leads!BH591="","",Leads!BH591)</x:f>
      </x:c>
      <x:c r="K591" s="12" t="str">
        <x:f>IF(A591="","","مرحبًا "&amp;C591&amp;CHAR(10)&amp;CHAR(10)&amp;"شكرًا لإتمام تقييم DBD الخاص بعيادة "&amp;B591&amp;"."&amp;CHAR(10)&amp;"نتيجتكم الحالية: "&amp;E591&amp;"%."&amp;CHAR(10)&amp;"أولوية التحسين الأولى: "&amp;F591&amp;"."&amp;IF(J591&lt;&gt;"",CHAR(10)&amp;CHAR(10)&amp;"رابط التقرير: "&amp;J591,"")&amp;CHAR(10)&amp;CHAR(10)&amp;"إذا أحببت، يمكننا مساعدتك في فهم التقرير وتحديد أفضل خطوة تالية لعيادتكم.")</x:f>
      </x:c>
      <x:c r="L591" s="12" t="str">
        <x:f>IF(D591="","",HYPERLINK("https://wa.me/"&amp;REGEXREPLACE(D591,"[^\d]","")&amp;"?text="&amp;ENCODEURL(K591),"واتساب 1"))</x:f>
      </x:c>
      <x:c r="M591" s="12" t="str">
        <x:f>IF(A591="","","مرحبًا "&amp;C591&amp;CHAR(10)&amp;CHAR(10)&amp;"بناءً على نتيجة تقييم عيادة "&amp;B591&amp;"، فإن الترشيح الأقوى لكم الآن هو: "&amp;G591&amp;"."&amp;CHAR(10)&amp;"هذا الخيار يساعدكم في معالجة أكبر فجوة حالية بشكل عملي ومباشر."&amp;IF(J591&lt;&gt;"",CHAR(10)&amp;CHAR(10)&amp;"رابط التقرير: "&amp;J591,"")&amp;CHAR(10)&amp;CHAR(10)&amp;"إذا رغبت، يمكننا توضيح لماذا هذا الكورس هو الأنسب لكم الآن.")</x:f>
      </x:c>
      <x:c r="N591" s="12" t="str">
        <x:f>IF(D591="","",HYPERLINK("https://wa.me/"&amp;REGEXREPLACE(D591,"[^\d]","")&amp;"?text="&amp;ENCODEURL(M591),"واتساب 2"))</x:f>
      </x:c>
      <x:c r="O591" s="12" t="str">
        <x:f>IF(A591="","","مرحبًا "&amp;C591&amp;CHAR(10)&amp;CHAR(10)&amp;"إذا كانت التحديات لديكم تحتاج حلًا أشمل، فالبرنامج الكامل المناسب لكم هو: "&amp;H591&amp;"."&amp;IF(I591&lt;&gt;"",CHAR(10)&amp;"كما يمكنكم أيضًا حجز: "&amp;I591&amp;".","")&amp;IF(J591&lt;&gt;"",CHAR(10)&amp;CHAR(10)&amp;"رابط التقرير: "&amp;J591,"")&amp;CHAR(10)&amp;CHAR(10)&amp;"يسعدنا مساعدتكم في اختيار المسار الأنسب حسب وضع العيادة الحالي.")</x:f>
      </x:c>
      <x:c r="P591" s="12" t="str">
        <x:f>IF(D591="","",HYPERLINK("https://wa.me/"&amp;REGEXREPLACE(D591,"[^\d]","")&amp;"?text="&amp;ENCODEURL(O591),"واتساب 3"))</x:f>
      </x:c>
    </x:row>
    <x:row r="592" ht="15" hidden="0" customHeight="1">
      <x:c r="A592" s="12" t="str">
        <x:f>IF(Leads!A592="","",Leads!A592)</x:f>
      </x:c>
      <x:c r="B592" s="12" t="str">
        <x:f>IF(Leads!F592="","",Leads!F592)</x:f>
      </x:c>
      <x:c r="C592" s="12" t="str">
        <x:f>IF(Leads!G592="","",Leads!G592)</x:f>
      </x:c>
      <x:c r="D592" s="12" t="str">
        <x:f>IF(Leads!O592="","",Leads!O592)</x:f>
      </x:c>
      <x:c r="E592" s="12" t="str">
        <x:f>IF(Leads!AV592="","",Leads!AV592)</x:f>
      </x:c>
      <x:c r="F592" s="12" t="str">
        <x:f>IF(Leads!AX592="","",Leads!AX592)</x:f>
      </x:c>
      <x:c r="G592" s="12" t="str">
        <x:f>IF(Leads!BC592="","",Leads!BC592)</x:f>
      </x:c>
      <x:c r="H592" s="12" t="str">
        <x:f>IF(Leads!BE592="","",Leads!BE592)</x:f>
      </x:c>
      <x:c r="I592" s="12" t="str">
        <x:f>IF(Leads!BG592="","",Leads!BG592)</x:f>
      </x:c>
      <x:c r="J592" s="12" t="str">
        <x:f>IF(Leads!BH592="","",Leads!BH592)</x:f>
      </x:c>
      <x:c r="K592" s="12" t="str">
        <x:f>IF(A592="","","مرحبًا "&amp;C592&amp;CHAR(10)&amp;CHAR(10)&amp;"شكرًا لإتمام تقييم DBD الخاص بعيادة "&amp;B592&amp;"."&amp;CHAR(10)&amp;"نتيجتكم الحالية: "&amp;E592&amp;"%."&amp;CHAR(10)&amp;"أولوية التحسين الأولى: "&amp;F592&amp;"."&amp;IF(J592&lt;&gt;"",CHAR(10)&amp;CHAR(10)&amp;"رابط التقرير: "&amp;J592,"")&amp;CHAR(10)&amp;CHAR(10)&amp;"إذا أحببت، يمكننا مساعدتك في فهم التقرير وتحديد أفضل خطوة تالية لعيادتكم.")</x:f>
      </x:c>
      <x:c r="L592" s="12" t="str">
        <x:f>IF(D592="","",HYPERLINK("https://wa.me/"&amp;REGEXREPLACE(D592,"[^\d]","")&amp;"?text="&amp;ENCODEURL(K592),"واتساب 1"))</x:f>
      </x:c>
      <x:c r="M592" s="12" t="str">
        <x:f>IF(A592="","","مرحبًا "&amp;C592&amp;CHAR(10)&amp;CHAR(10)&amp;"بناءً على نتيجة تقييم عيادة "&amp;B592&amp;"، فإن الترشيح الأقوى لكم الآن هو: "&amp;G592&amp;"."&amp;CHAR(10)&amp;"هذا الخيار يساعدكم في معالجة أكبر فجوة حالية بشكل عملي ومباشر."&amp;IF(J592&lt;&gt;"",CHAR(10)&amp;CHAR(10)&amp;"رابط التقرير: "&amp;J592,"")&amp;CHAR(10)&amp;CHAR(10)&amp;"إذا رغبت، يمكننا توضيح لماذا هذا الكورس هو الأنسب لكم الآن.")</x:f>
      </x:c>
      <x:c r="N592" s="12" t="str">
        <x:f>IF(D592="","",HYPERLINK("https://wa.me/"&amp;REGEXREPLACE(D592,"[^\d]","")&amp;"?text="&amp;ENCODEURL(M592),"واتساب 2"))</x:f>
      </x:c>
      <x:c r="O592" s="12" t="str">
        <x:f>IF(A592="","","مرحبًا "&amp;C592&amp;CHAR(10)&amp;CHAR(10)&amp;"إذا كانت التحديات لديكم تحتاج حلًا أشمل، فالبرنامج الكامل المناسب لكم هو: "&amp;H592&amp;"."&amp;IF(I592&lt;&gt;"",CHAR(10)&amp;"كما يمكنكم أيضًا حجز: "&amp;I592&amp;".","")&amp;IF(J592&lt;&gt;"",CHAR(10)&amp;CHAR(10)&amp;"رابط التقرير: "&amp;J592,"")&amp;CHAR(10)&amp;CHAR(10)&amp;"يسعدنا مساعدتكم في اختيار المسار الأنسب حسب وضع العيادة الحالي.")</x:f>
      </x:c>
      <x:c r="P592" s="12" t="str">
        <x:f>IF(D592="","",HYPERLINK("https://wa.me/"&amp;REGEXREPLACE(D592,"[^\d]","")&amp;"?text="&amp;ENCODEURL(O592),"واتساب 3"))</x:f>
      </x:c>
    </x:row>
    <x:row r="593" ht="15" hidden="0" customHeight="1">
      <x:c r="A593" s="12" t="str">
        <x:f>IF(Leads!A593="","",Leads!A593)</x:f>
      </x:c>
      <x:c r="B593" s="12" t="str">
        <x:f>IF(Leads!F593="","",Leads!F593)</x:f>
      </x:c>
      <x:c r="C593" s="12" t="str">
        <x:f>IF(Leads!G593="","",Leads!G593)</x:f>
      </x:c>
      <x:c r="D593" s="12" t="str">
        <x:f>IF(Leads!O593="","",Leads!O593)</x:f>
      </x:c>
      <x:c r="E593" s="12" t="str">
        <x:f>IF(Leads!AV593="","",Leads!AV593)</x:f>
      </x:c>
      <x:c r="F593" s="12" t="str">
        <x:f>IF(Leads!AX593="","",Leads!AX593)</x:f>
      </x:c>
      <x:c r="G593" s="12" t="str">
        <x:f>IF(Leads!BC593="","",Leads!BC593)</x:f>
      </x:c>
      <x:c r="H593" s="12" t="str">
        <x:f>IF(Leads!BE593="","",Leads!BE593)</x:f>
      </x:c>
      <x:c r="I593" s="12" t="str">
        <x:f>IF(Leads!BG593="","",Leads!BG593)</x:f>
      </x:c>
      <x:c r="J593" s="12" t="str">
        <x:f>IF(Leads!BH593="","",Leads!BH593)</x:f>
      </x:c>
      <x:c r="K593" s="12" t="str">
        <x:f>IF(A593="","","مرحبًا "&amp;C593&amp;CHAR(10)&amp;CHAR(10)&amp;"شكرًا لإتمام تقييم DBD الخاص بعيادة "&amp;B593&amp;"."&amp;CHAR(10)&amp;"نتيجتكم الحالية: "&amp;E593&amp;"%."&amp;CHAR(10)&amp;"أولوية التحسين الأولى: "&amp;F593&amp;"."&amp;IF(J593&lt;&gt;"",CHAR(10)&amp;CHAR(10)&amp;"رابط التقرير: "&amp;J593,"")&amp;CHAR(10)&amp;CHAR(10)&amp;"إذا أحببت، يمكننا مساعدتك في فهم التقرير وتحديد أفضل خطوة تالية لعيادتكم.")</x:f>
      </x:c>
      <x:c r="L593" s="12" t="str">
        <x:f>IF(D593="","",HYPERLINK("https://wa.me/"&amp;REGEXREPLACE(D593,"[^\d]","")&amp;"?text="&amp;ENCODEURL(K593),"واتساب 1"))</x:f>
      </x:c>
      <x:c r="M593" s="12" t="str">
        <x:f>IF(A593="","","مرحبًا "&amp;C593&amp;CHAR(10)&amp;CHAR(10)&amp;"بناءً على نتيجة تقييم عيادة "&amp;B593&amp;"، فإن الترشيح الأقوى لكم الآن هو: "&amp;G593&amp;"."&amp;CHAR(10)&amp;"هذا الخيار يساعدكم في معالجة أكبر فجوة حالية بشكل عملي ومباشر."&amp;IF(J593&lt;&gt;"",CHAR(10)&amp;CHAR(10)&amp;"رابط التقرير: "&amp;J593,"")&amp;CHAR(10)&amp;CHAR(10)&amp;"إذا رغبت، يمكننا توضيح لماذا هذا الكورس هو الأنسب لكم الآن.")</x:f>
      </x:c>
      <x:c r="N593" s="12" t="str">
        <x:f>IF(D593="","",HYPERLINK("https://wa.me/"&amp;REGEXREPLACE(D593,"[^\d]","")&amp;"?text="&amp;ENCODEURL(M593),"واتساب 2"))</x:f>
      </x:c>
      <x:c r="O593" s="12" t="str">
        <x:f>IF(A593="","","مرحبًا "&amp;C593&amp;CHAR(10)&amp;CHAR(10)&amp;"إذا كانت التحديات لديكم تحتاج حلًا أشمل، فالبرنامج الكامل المناسب لكم هو: "&amp;H593&amp;"."&amp;IF(I593&lt;&gt;"",CHAR(10)&amp;"كما يمكنكم أيضًا حجز: "&amp;I593&amp;".","")&amp;IF(J593&lt;&gt;"",CHAR(10)&amp;CHAR(10)&amp;"رابط التقرير: "&amp;J593,"")&amp;CHAR(10)&amp;CHAR(10)&amp;"يسعدنا مساعدتكم في اختيار المسار الأنسب حسب وضع العيادة الحالي.")</x:f>
      </x:c>
      <x:c r="P593" s="12" t="str">
        <x:f>IF(D593="","",HYPERLINK("https://wa.me/"&amp;REGEXREPLACE(D593,"[^\d]","")&amp;"?text="&amp;ENCODEURL(O593),"واتساب 3"))</x:f>
      </x:c>
    </x:row>
    <x:row r="594" ht="15" hidden="0" customHeight="1">
      <x:c r="A594" s="12" t="str">
        <x:f>IF(Leads!A594="","",Leads!A594)</x:f>
      </x:c>
      <x:c r="B594" s="12" t="str">
        <x:f>IF(Leads!F594="","",Leads!F594)</x:f>
      </x:c>
      <x:c r="C594" s="12" t="str">
        <x:f>IF(Leads!G594="","",Leads!G594)</x:f>
      </x:c>
      <x:c r="D594" s="12" t="str">
        <x:f>IF(Leads!O594="","",Leads!O594)</x:f>
      </x:c>
      <x:c r="E594" s="12" t="str">
        <x:f>IF(Leads!AV594="","",Leads!AV594)</x:f>
      </x:c>
      <x:c r="F594" s="12" t="str">
        <x:f>IF(Leads!AX594="","",Leads!AX594)</x:f>
      </x:c>
      <x:c r="G594" s="12" t="str">
        <x:f>IF(Leads!BC594="","",Leads!BC594)</x:f>
      </x:c>
      <x:c r="H594" s="12" t="str">
        <x:f>IF(Leads!BE594="","",Leads!BE594)</x:f>
      </x:c>
      <x:c r="I594" s="12" t="str">
        <x:f>IF(Leads!BG594="","",Leads!BG594)</x:f>
      </x:c>
      <x:c r="J594" s="12" t="str">
        <x:f>IF(Leads!BH594="","",Leads!BH594)</x:f>
      </x:c>
      <x:c r="K594" s="12" t="str">
        <x:f>IF(A594="","","مرحبًا "&amp;C594&amp;CHAR(10)&amp;CHAR(10)&amp;"شكرًا لإتمام تقييم DBD الخاص بعيادة "&amp;B594&amp;"."&amp;CHAR(10)&amp;"نتيجتكم الحالية: "&amp;E594&amp;"%."&amp;CHAR(10)&amp;"أولوية التحسين الأولى: "&amp;F594&amp;"."&amp;IF(J594&lt;&gt;"",CHAR(10)&amp;CHAR(10)&amp;"رابط التقرير: "&amp;J594,"")&amp;CHAR(10)&amp;CHAR(10)&amp;"إذا أحببت، يمكننا مساعدتك في فهم التقرير وتحديد أفضل خطوة تالية لعيادتكم.")</x:f>
      </x:c>
      <x:c r="L594" s="12" t="str">
        <x:f>IF(D594="","",HYPERLINK("https://wa.me/"&amp;REGEXREPLACE(D594,"[^\d]","")&amp;"?text="&amp;ENCODEURL(K594),"واتساب 1"))</x:f>
      </x:c>
      <x:c r="M594" s="12" t="str">
        <x:f>IF(A594="","","مرحبًا "&amp;C594&amp;CHAR(10)&amp;CHAR(10)&amp;"بناءً على نتيجة تقييم عيادة "&amp;B594&amp;"، فإن الترشيح الأقوى لكم الآن هو: "&amp;G594&amp;"."&amp;CHAR(10)&amp;"هذا الخيار يساعدكم في معالجة أكبر فجوة حالية بشكل عملي ومباشر."&amp;IF(J594&lt;&gt;"",CHAR(10)&amp;CHAR(10)&amp;"رابط التقرير: "&amp;J594,"")&amp;CHAR(10)&amp;CHAR(10)&amp;"إذا رغبت، يمكننا توضيح لماذا هذا الكورس هو الأنسب لكم الآن.")</x:f>
      </x:c>
      <x:c r="N594" s="12" t="str">
        <x:f>IF(D594="","",HYPERLINK("https://wa.me/"&amp;REGEXREPLACE(D594,"[^\d]","")&amp;"?text="&amp;ENCODEURL(M594),"واتساب 2"))</x:f>
      </x:c>
      <x:c r="O594" s="12" t="str">
        <x:f>IF(A594="","","مرحبًا "&amp;C594&amp;CHAR(10)&amp;CHAR(10)&amp;"إذا كانت التحديات لديكم تحتاج حلًا أشمل، فالبرنامج الكامل المناسب لكم هو: "&amp;H594&amp;"."&amp;IF(I594&lt;&gt;"",CHAR(10)&amp;"كما يمكنكم أيضًا حجز: "&amp;I594&amp;".","")&amp;IF(J594&lt;&gt;"",CHAR(10)&amp;CHAR(10)&amp;"رابط التقرير: "&amp;J594,"")&amp;CHAR(10)&amp;CHAR(10)&amp;"يسعدنا مساعدتكم في اختيار المسار الأنسب حسب وضع العيادة الحالي.")</x:f>
      </x:c>
      <x:c r="P594" s="12" t="str">
        <x:f>IF(D594="","",HYPERLINK("https://wa.me/"&amp;REGEXREPLACE(D594,"[^\d]","")&amp;"?text="&amp;ENCODEURL(O594),"واتساب 3"))</x:f>
      </x:c>
    </x:row>
    <x:row r="595" ht="15" hidden="0" customHeight="1">
      <x:c r="A595" s="12" t="str">
        <x:f>IF(Leads!A595="","",Leads!A595)</x:f>
      </x:c>
      <x:c r="B595" s="12" t="str">
        <x:f>IF(Leads!F595="","",Leads!F595)</x:f>
      </x:c>
      <x:c r="C595" s="12" t="str">
        <x:f>IF(Leads!G595="","",Leads!G595)</x:f>
      </x:c>
      <x:c r="D595" s="12" t="str">
        <x:f>IF(Leads!O595="","",Leads!O595)</x:f>
      </x:c>
      <x:c r="E595" s="12" t="str">
        <x:f>IF(Leads!AV595="","",Leads!AV595)</x:f>
      </x:c>
      <x:c r="F595" s="12" t="str">
        <x:f>IF(Leads!AX595="","",Leads!AX595)</x:f>
      </x:c>
      <x:c r="G595" s="12" t="str">
        <x:f>IF(Leads!BC595="","",Leads!BC595)</x:f>
      </x:c>
      <x:c r="H595" s="12" t="str">
        <x:f>IF(Leads!BE595="","",Leads!BE595)</x:f>
      </x:c>
      <x:c r="I595" s="12" t="str">
        <x:f>IF(Leads!BG595="","",Leads!BG595)</x:f>
      </x:c>
      <x:c r="J595" s="12" t="str">
        <x:f>IF(Leads!BH595="","",Leads!BH595)</x:f>
      </x:c>
      <x:c r="K595" s="12" t="str">
        <x:f>IF(A595="","","مرحبًا "&amp;C595&amp;CHAR(10)&amp;CHAR(10)&amp;"شكرًا لإتمام تقييم DBD الخاص بعيادة "&amp;B595&amp;"."&amp;CHAR(10)&amp;"نتيجتكم الحالية: "&amp;E595&amp;"%."&amp;CHAR(10)&amp;"أولوية التحسين الأولى: "&amp;F595&amp;"."&amp;IF(J595&lt;&gt;"",CHAR(10)&amp;CHAR(10)&amp;"رابط التقرير: "&amp;J595,"")&amp;CHAR(10)&amp;CHAR(10)&amp;"إذا أحببت، يمكننا مساعدتك في فهم التقرير وتحديد أفضل خطوة تالية لعيادتكم.")</x:f>
      </x:c>
      <x:c r="L595" s="12" t="str">
        <x:f>IF(D595="","",HYPERLINK("https://wa.me/"&amp;REGEXREPLACE(D595,"[^\d]","")&amp;"?text="&amp;ENCODEURL(K595),"واتساب 1"))</x:f>
      </x:c>
      <x:c r="M595" s="12" t="str">
        <x:f>IF(A595="","","مرحبًا "&amp;C595&amp;CHAR(10)&amp;CHAR(10)&amp;"بناءً على نتيجة تقييم عيادة "&amp;B595&amp;"، فإن الترشيح الأقوى لكم الآن هو: "&amp;G595&amp;"."&amp;CHAR(10)&amp;"هذا الخيار يساعدكم في معالجة أكبر فجوة حالية بشكل عملي ومباشر."&amp;IF(J595&lt;&gt;"",CHAR(10)&amp;CHAR(10)&amp;"رابط التقرير: "&amp;J595,"")&amp;CHAR(10)&amp;CHAR(10)&amp;"إذا رغبت، يمكننا توضيح لماذا هذا الكورس هو الأنسب لكم الآن.")</x:f>
      </x:c>
      <x:c r="N595" s="12" t="str">
        <x:f>IF(D595="","",HYPERLINK("https://wa.me/"&amp;REGEXREPLACE(D595,"[^\d]","")&amp;"?text="&amp;ENCODEURL(M595),"واتساب 2"))</x:f>
      </x:c>
      <x:c r="O595" s="12" t="str">
        <x:f>IF(A595="","","مرحبًا "&amp;C595&amp;CHAR(10)&amp;CHAR(10)&amp;"إذا كانت التحديات لديكم تحتاج حلًا أشمل، فالبرنامج الكامل المناسب لكم هو: "&amp;H595&amp;"."&amp;IF(I595&lt;&gt;"",CHAR(10)&amp;"كما يمكنكم أيضًا حجز: "&amp;I595&amp;".","")&amp;IF(J595&lt;&gt;"",CHAR(10)&amp;CHAR(10)&amp;"رابط التقرير: "&amp;J595,"")&amp;CHAR(10)&amp;CHAR(10)&amp;"يسعدنا مساعدتكم في اختيار المسار الأنسب حسب وضع العيادة الحالي.")</x:f>
      </x:c>
      <x:c r="P595" s="12" t="str">
        <x:f>IF(D595="","",HYPERLINK("https://wa.me/"&amp;REGEXREPLACE(D595,"[^\d]","")&amp;"?text="&amp;ENCODEURL(O595),"واتساب 3"))</x:f>
      </x:c>
    </x:row>
    <x:row r="596" ht="15" hidden="0" customHeight="1">
      <x:c r="A596" s="12" t="str">
        <x:f>IF(Leads!A596="","",Leads!A596)</x:f>
      </x:c>
      <x:c r="B596" s="12" t="str">
        <x:f>IF(Leads!F596="","",Leads!F596)</x:f>
      </x:c>
      <x:c r="C596" s="12" t="str">
        <x:f>IF(Leads!G596="","",Leads!G596)</x:f>
      </x:c>
      <x:c r="D596" s="12" t="str">
        <x:f>IF(Leads!O596="","",Leads!O596)</x:f>
      </x:c>
      <x:c r="E596" s="12" t="str">
        <x:f>IF(Leads!AV596="","",Leads!AV596)</x:f>
      </x:c>
      <x:c r="F596" s="12" t="str">
        <x:f>IF(Leads!AX596="","",Leads!AX596)</x:f>
      </x:c>
      <x:c r="G596" s="12" t="str">
        <x:f>IF(Leads!BC596="","",Leads!BC596)</x:f>
      </x:c>
      <x:c r="H596" s="12" t="str">
        <x:f>IF(Leads!BE596="","",Leads!BE596)</x:f>
      </x:c>
      <x:c r="I596" s="12" t="str">
        <x:f>IF(Leads!BG596="","",Leads!BG596)</x:f>
      </x:c>
      <x:c r="J596" s="12" t="str">
        <x:f>IF(Leads!BH596="","",Leads!BH596)</x:f>
      </x:c>
      <x:c r="K596" s="12" t="str">
        <x:f>IF(A596="","","مرحبًا "&amp;C596&amp;CHAR(10)&amp;CHAR(10)&amp;"شكرًا لإتمام تقييم DBD الخاص بعيادة "&amp;B596&amp;"."&amp;CHAR(10)&amp;"نتيجتكم الحالية: "&amp;E596&amp;"%."&amp;CHAR(10)&amp;"أولوية التحسين الأولى: "&amp;F596&amp;"."&amp;IF(J596&lt;&gt;"",CHAR(10)&amp;CHAR(10)&amp;"رابط التقرير: "&amp;J596,"")&amp;CHAR(10)&amp;CHAR(10)&amp;"إذا أحببت، يمكننا مساعدتك في فهم التقرير وتحديد أفضل خطوة تالية لعيادتكم.")</x:f>
      </x:c>
      <x:c r="L596" s="12" t="str">
        <x:f>IF(D596="","",HYPERLINK("https://wa.me/"&amp;REGEXREPLACE(D596,"[^\d]","")&amp;"?text="&amp;ENCODEURL(K596),"واتساب 1"))</x:f>
      </x:c>
      <x:c r="M596" s="12" t="str">
        <x:f>IF(A596="","","مرحبًا "&amp;C596&amp;CHAR(10)&amp;CHAR(10)&amp;"بناءً على نتيجة تقييم عيادة "&amp;B596&amp;"، فإن الترشيح الأقوى لكم الآن هو: "&amp;G596&amp;"."&amp;CHAR(10)&amp;"هذا الخيار يساعدكم في معالجة أكبر فجوة حالية بشكل عملي ومباشر."&amp;IF(J596&lt;&gt;"",CHAR(10)&amp;CHAR(10)&amp;"رابط التقرير: "&amp;J596,"")&amp;CHAR(10)&amp;CHAR(10)&amp;"إذا رغبت، يمكننا توضيح لماذا هذا الكورس هو الأنسب لكم الآن.")</x:f>
      </x:c>
      <x:c r="N596" s="12" t="str">
        <x:f>IF(D596="","",HYPERLINK("https://wa.me/"&amp;REGEXREPLACE(D596,"[^\d]","")&amp;"?text="&amp;ENCODEURL(M596),"واتساب 2"))</x:f>
      </x:c>
      <x:c r="O596" s="12" t="str">
        <x:f>IF(A596="","","مرحبًا "&amp;C596&amp;CHAR(10)&amp;CHAR(10)&amp;"إذا كانت التحديات لديكم تحتاج حلًا أشمل، فالبرنامج الكامل المناسب لكم هو: "&amp;H596&amp;"."&amp;IF(I596&lt;&gt;"",CHAR(10)&amp;"كما يمكنكم أيضًا حجز: "&amp;I596&amp;".","")&amp;IF(J596&lt;&gt;"",CHAR(10)&amp;CHAR(10)&amp;"رابط التقرير: "&amp;J596,"")&amp;CHAR(10)&amp;CHAR(10)&amp;"يسعدنا مساعدتكم في اختيار المسار الأنسب حسب وضع العيادة الحالي.")</x:f>
      </x:c>
      <x:c r="P596" s="12" t="str">
        <x:f>IF(D596="","",HYPERLINK("https://wa.me/"&amp;REGEXREPLACE(D596,"[^\d]","")&amp;"?text="&amp;ENCODEURL(O596),"واتساب 3"))</x:f>
      </x:c>
    </x:row>
    <x:row r="597" ht="15" hidden="0" customHeight="1">
      <x:c r="A597" s="12" t="str">
        <x:f>IF(Leads!A597="","",Leads!A597)</x:f>
      </x:c>
      <x:c r="B597" s="12" t="str">
        <x:f>IF(Leads!F597="","",Leads!F597)</x:f>
      </x:c>
      <x:c r="C597" s="12" t="str">
        <x:f>IF(Leads!G597="","",Leads!G597)</x:f>
      </x:c>
      <x:c r="D597" s="12" t="str">
        <x:f>IF(Leads!O597="","",Leads!O597)</x:f>
      </x:c>
      <x:c r="E597" s="12" t="str">
        <x:f>IF(Leads!AV597="","",Leads!AV597)</x:f>
      </x:c>
      <x:c r="F597" s="12" t="str">
        <x:f>IF(Leads!AX597="","",Leads!AX597)</x:f>
      </x:c>
      <x:c r="G597" s="12" t="str">
        <x:f>IF(Leads!BC597="","",Leads!BC597)</x:f>
      </x:c>
      <x:c r="H597" s="12" t="str">
        <x:f>IF(Leads!BE597="","",Leads!BE597)</x:f>
      </x:c>
      <x:c r="I597" s="12" t="str">
        <x:f>IF(Leads!BG597="","",Leads!BG597)</x:f>
      </x:c>
      <x:c r="J597" s="12" t="str">
        <x:f>IF(Leads!BH597="","",Leads!BH597)</x:f>
      </x:c>
      <x:c r="K597" s="12" t="str">
        <x:f>IF(A597="","","مرحبًا "&amp;C597&amp;CHAR(10)&amp;CHAR(10)&amp;"شكرًا لإتمام تقييم DBD الخاص بعيادة "&amp;B597&amp;"."&amp;CHAR(10)&amp;"نتيجتكم الحالية: "&amp;E597&amp;"%."&amp;CHAR(10)&amp;"أولوية التحسين الأولى: "&amp;F597&amp;"."&amp;IF(J597&lt;&gt;"",CHAR(10)&amp;CHAR(10)&amp;"رابط التقرير: "&amp;J597,"")&amp;CHAR(10)&amp;CHAR(10)&amp;"إذا أحببت، يمكننا مساعدتك في فهم التقرير وتحديد أفضل خطوة تالية لعيادتكم.")</x:f>
      </x:c>
      <x:c r="L597" s="12" t="str">
        <x:f>IF(D597="","",HYPERLINK("https://wa.me/"&amp;REGEXREPLACE(D597,"[^\d]","")&amp;"?text="&amp;ENCODEURL(K597),"واتساب 1"))</x:f>
      </x:c>
      <x:c r="M597" s="12" t="str">
        <x:f>IF(A597="","","مرحبًا "&amp;C597&amp;CHAR(10)&amp;CHAR(10)&amp;"بناءً على نتيجة تقييم عيادة "&amp;B597&amp;"، فإن الترشيح الأقوى لكم الآن هو: "&amp;G597&amp;"."&amp;CHAR(10)&amp;"هذا الخيار يساعدكم في معالجة أكبر فجوة حالية بشكل عملي ومباشر."&amp;IF(J597&lt;&gt;"",CHAR(10)&amp;CHAR(10)&amp;"رابط التقرير: "&amp;J597,"")&amp;CHAR(10)&amp;CHAR(10)&amp;"إذا رغبت، يمكننا توضيح لماذا هذا الكورس هو الأنسب لكم الآن.")</x:f>
      </x:c>
      <x:c r="N597" s="12" t="str">
        <x:f>IF(D597="","",HYPERLINK("https://wa.me/"&amp;REGEXREPLACE(D597,"[^\d]","")&amp;"?text="&amp;ENCODEURL(M597),"واتساب 2"))</x:f>
      </x:c>
      <x:c r="O597" s="12" t="str">
        <x:f>IF(A597="","","مرحبًا "&amp;C597&amp;CHAR(10)&amp;CHAR(10)&amp;"إذا كانت التحديات لديكم تحتاج حلًا أشمل، فالبرنامج الكامل المناسب لكم هو: "&amp;H597&amp;"."&amp;IF(I597&lt;&gt;"",CHAR(10)&amp;"كما يمكنكم أيضًا حجز: "&amp;I597&amp;".","")&amp;IF(J597&lt;&gt;"",CHAR(10)&amp;CHAR(10)&amp;"رابط التقرير: "&amp;J597,"")&amp;CHAR(10)&amp;CHAR(10)&amp;"يسعدنا مساعدتكم في اختيار المسار الأنسب حسب وضع العيادة الحالي.")</x:f>
      </x:c>
      <x:c r="P597" s="12" t="str">
        <x:f>IF(D597="","",HYPERLINK("https://wa.me/"&amp;REGEXREPLACE(D597,"[^\d]","")&amp;"?text="&amp;ENCODEURL(O597),"واتساب 3"))</x:f>
      </x:c>
    </x:row>
    <x:row r="598" ht="15" hidden="0" customHeight="1">
      <x:c r="A598" s="12" t="str">
        <x:f>IF(Leads!A598="","",Leads!A598)</x:f>
      </x:c>
      <x:c r="B598" s="12" t="str">
        <x:f>IF(Leads!F598="","",Leads!F598)</x:f>
      </x:c>
      <x:c r="C598" s="12" t="str">
        <x:f>IF(Leads!G598="","",Leads!G598)</x:f>
      </x:c>
      <x:c r="D598" s="12" t="str">
        <x:f>IF(Leads!O598="","",Leads!O598)</x:f>
      </x:c>
      <x:c r="E598" s="12" t="str">
        <x:f>IF(Leads!AV598="","",Leads!AV598)</x:f>
      </x:c>
      <x:c r="F598" s="12" t="str">
        <x:f>IF(Leads!AX598="","",Leads!AX598)</x:f>
      </x:c>
      <x:c r="G598" s="12" t="str">
        <x:f>IF(Leads!BC598="","",Leads!BC598)</x:f>
      </x:c>
      <x:c r="H598" s="12" t="str">
        <x:f>IF(Leads!BE598="","",Leads!BE598)</x:f>
      </x:c>
      <x:c r="I598" s="12" t="str">
        <x:f>IF(Leads!BG598="","",Leads!BG598)</x:f>
      </x:c>
      <x:c r="J598" s="12" t="str">
        <x:f>IF(Leads!BH598="","",Leads!BH598)</x:f>
      </x:c>
      <x:c r="K598" s="12" t="str">
        <x:f>IF(A598="","","مرحبًا "&amp;C598&amp;CHAR(10)&amp;CHAR(10)&amp;"شكرًا لإتمام تقييم DBD الخاص بعيادة "&amp;B598&amp;"."&amp;CHAR(10)&amp;"نتيجتكم الحالية: "&amp;E598&amp;"%."&amp;CHAR(10)&amp;"أولوية التحسين الأولى: "&amp;F598&amp;"."&amp;IF(J598&lt;&gt;"",CHAR(10)&amp;CHAR(10)&amp;"رابط التقرير: "&amp;J598,"")&amp;CHAR(10)&amp;CHAR(10)&amp;"إذا أحببت، يمكننا مساعدتك في فهم التقرير وتحديد أفضل خطوة تالية لعيادتكم.")</x:f>
      </x:c>
      <x:c r="L598" s="12" t="str">
        <x:f>IF(D598="","",HYPERLINK("https://wa.me/"&amp;REGEXREPLACE(D598,"[^\d]","")&amp;"?text="&amp;ENCODEURL(K598),"واتساب 1"))</x:f>
      </x:c>
      <x:c r="M598" s="12" t="str">
        <x:f>IF(A598="","","مرحبًا "&amp;C598&amp;CHAR(10)&amp;CHAR(10)&amp;"بناءً على نتيجة تقييم عيادة "&amp;B598&amp;"، فإن الترشيح الأقوى لكم الآن هو: "&amp;G598&amp;"."&amp;CHAR(10)&amp;"هذا الخيار يساعدكم في معالجة أكبر فجوة حالية بشكل عملي ومباشر."&amp;IF(J598&lt;&gt;"",CHAR(10)&amp;CHAR(10)&amp;"رابط التقرير: "&amp;J598,"")&amp;CHAR(10)&amp;CHAR(10)&amp;"إذا رغبت، يمكننا توضيح لماذا هذا الكورس هو الأنسب لكم الآن.")</x:f>
      </x:c>
      <x:c r="N598" s="12" t="str">
        <x:f>IF(D598="","",HYPERLINK("https://wa.me/"&amp;REGEXREPLACE(D598,"[^\d]","")&amp;"?text="&amp;ENCODEURL(M598),"واتساب 2"))</x:f>
      </x:c>
      <x:c r="O598" s="12" t="str">
        <x:f>IF(A598="","","مرحبًا "&amp;C598&amp;CHAR(10)&amp;CHAR(10)&amp;"إذا كانت التحديات لديكم تحتاج حلًا أشمل، فالبرنامج الكامل المناسب لكم هو: "&amp;H598&amp;"."&amp;IF(I598&lt;&gt;"",CHAR(10)&amp;"كما يمكنكم أيضًا حجز: "&amp;I598&amp;".","")&amp;IF(J598&lt;&gt;"",CHAR(10)&amp;CHAR(10)&amp;"رابط التقرير: "&amp;J598,"")&amp;CHAR(10)&amp;CHAR(10)&amp;"يسعدنا مساعدتكم في اختيار المسار الأنسب حسب وضع العيادة الحالي.")</x:f>
      </x:c>
      <x:c r="P598" s="12" t="str">
        <x:f>IF(D598="","",HYPERLINK("https://wa.me/"&amp;REGEXREPLACE(D598,"[^\d]","")&amp;"?text="&amp;ENCODEURL(O598),"واتساب 3"))</x:f>
      </x:c>
    </x:row>
    <x:row r="599" ht="15" hidden="0" customHeight="1">
      <x:c r="A599" s="12" t="str">
        <x:f>IF(Leads!A599="","",Leads!A599)</x:f>
      </x:c>
      <x:c r="B599" s="12" t="str">
        <x:f>IF(Leads!F599="","",Leads!F599)</x:f>
      </x:c>
      <x:c r="C599" s="12" t="str">
        <x:f>IF(Leads!G599="","",Leads!G599)</x:f>
      </x:c>
      <x:c r="D599" s="12" t="str">
        <x:f>IF(Leads!O599="","",Leads!O599)</x:f>
      </x:c>
      <x:c r="E599" s="12" t="str">
        <x:f>IF(Leads!AV599="","",Leads!AV599)</x:f>
      </x:c>
      <x:c r="F599" s="12" t="str">
        <x:f>IF(Leads!AX599="","",Leads!AX599)</x:f>
      </x:c>
      <x:c r="G599" s="12" t="str">
        <x:f>IF(Leads!BC599="","",Leads!BC599)</x:f>
      </x:c>
      <x:c r="H599" s="12" t="str">
        <x:f>IF(Leads!BE599="","",Leads!BE599)</x:f>
      </x:c>
      <x:c r="I599" s="12" t="str">
        <x:f>IF(Leads!BG599="","",Leads!BG599)</x:f>
      </x:c>
      <x:c r="J599" s="12" t="str">
        <x:f>IF(Leads!BH599="","",Leads!BH599)</x:f>
      </x:c>
      <x:c r="K599" s="12" t="str">
        <x:f>IF(A599="","","مرحبًا "&amp;C599&amp;CHAR(10)&amp;CHAR(10)&amp;"شكرًا لإتمام تقييم DBD الخاص بعيادة "&amp;B599&amp;"."&amp;CHAR(10)&amp;"نتيجتكم الحالية: "&amp;E599&amp;"%."&amp;CHAR(10)&amp;"أولوية التحسين الأولى: "&amp;F599&amp;"."&amp;IF(J599&lt;&gt;"",CHAR(10)&amp;CHAR(10)&amp;"رابط التقرير: "&amp;J599,"")&amp;CHAR(10)&amp;CHAR(10)&amp;"إذا أحببت، يمكننا مساعدتك في فهم التقرير وتحديد أفضل خطوة تالية لعيادتكم.")</x:f>
      </x:c>
      <x:c r="L599" s="12" t="str">
        <x:f>IF(D599="","",HYPERLINK("https://wa.me/"&amp;REGEXREPLACE(D599,"[^\d]","")&amp;"?text="&amp;ENCODEURL(K599),"واتساب 1"))</x:f>
      </x:c>
      <x:c r="M599" s="12" t="str">
        <x:f>IF(A599="","","مرحبًا "&amp;C599&amp;CHAR(10)&amp;CHAR(10)&amp;"بناءً على نتيجة تقييم عيادة "&amp;B599&amp;"، فإن الترشيح الأقوى لكم الآن هو: "&amp;G599&amp;"."&amp;CHAR(10)&amp;"هذا الخيار يساعدكم في معالجة أكبر فجوة حالية بشكل عملي ومباشر."&amp;IF(J599&lt;&gt;"",CHAR(10)&amp;CHAR(10)&amp;"رابط التقرير: "&amp;J599,"")&amp;CHAR(10)&amp;CHAR(10)&amp;"إذا رغبت، يمكننا توضيح لماذا هذا الكورس هو الأنسب لكم الآن.")</x:f>
      </x:c>
      <x:c r="N599" s="12" t="str">
        <x:f>IF(D599="","",HYPERLINK("https://wa.me/"&amp;REGEXREPLACE(D599,"[^\d]","")&amp;"?text="&amp;ENCODEURL(M599),"واتساب 2"))</x:f>
      </x:c>
      <x:c r="O599" s="12" t="str">
        <x:f>IF(A599="","","مرحبًا "&amp;C599&amp;CHAR(10)&amp;CHAR(10)&amp;"إذا كانت التحديات لديكم تحتاج حلًا أشمل، فالبرنامج الكامل المناسب لكم هو: "&amp;H599&amp;"."&amp;IF(I599&lt;&gt;"",CHAR(10)&amp;"كما يمكنكم أيضًا حجز: "&amp;I599&amp;".","")&amp;IF(J599&lt;&gt;"",CHAR(10)&amp;CHAR(10)&amp;"رابط التقرير: "&amp;J599,"")&amp;CHAR(10)&amp;CHAR(10)&amp;"يسعدنا مساعدتكم في اختيار المسار الأنسب حسب وضع العيادة الحالي.")</x:f>
      </x:c>
      <x:c r="P599" s="12" t="str">
        <x:f>IF(D599="","",HYPERLINK("https://wa.me/"&amp;REGEXREPLACE(D599,"[^\d]","")&amp;"?text="&amp;ENCODEURL(O599),"واتساب 3"))</x:f>
      </x:c>
    </x:row>
    <x:row r="600" ht="15" hidden="0" customHeight="1">
      <x:c r="A600" s="12" t="str">
        <x:f>IF(Leads!A600="","",Leads!A600)</x:f>
      </x:c>
      <x:c r="B600" s="12" t="str">
        <x:f>IF(Leads!F600="","",Leads!F600)</x:f>
      </x:c>
      <x:c r="C600" s="12" t="str">
        <x:f>IF(Leads!G600="","",Leads!G600)</x:f>
      </x:c>
      <x:c r="D600" s="12" t="str">
        <x:f>IF(Leads!O600="","",Leads!O600)</x:f>
      </x:c>
      <x:c r="E600" s="12" t="str">
        <x:f>IF(Leads!AV600="","",Leads!AV600)</x:f>
      </x:c>
      <x:c r="F600" s="12" t="str">
        <x:f>IF(Leads!AX600="","",Leads!AX600)</x:f>
      </x:c>
      <x:c r="G600" s="12" t="str">
        <x:f>IF(Leads!BC600="","",Leads!BC600)</x:f>
      </x:c>
      <x:c r="H600" s="12" t="str">
        <x:f>IF(Leads!BE600="","",Leads!BE600)</x:f>
      </x:c>
      <x:c r="I600" s="12" t="str">
        <x:f>IF(Leads!BG600="","",Leads!BG600)</x:f>
      </x:c>
      <x:c r="J600" s="12" t="str">
        <x:f>IF(Leads!BH600="","",Leads!BH600)</x:f>
      </x:c>
      <x:c r="K600" s="12" t="str">
        <x:f>IF(A600="","","مرحبًا "&amp;C600&amp;CHAR(10)&amp;CHAR(10)&amp;"شكرًا لإتمام تقييم DBD الخاص بعيادة "&amp;B600&amp;"."&amp;CHAR(10)&amp;"نتيجتكم الحالية: "&amp;E600&amp;"%."&amp;CHAR(10)&amp;"أولوية التحسين الأولى: "&amp;F600&amp;"."&amp;IF(J600&lt;&gt;"",CHAR(10)&amp;CHAR(10)&amp;"رابط التقرير: "&amp;J600,"")&amp;CHAR(10)&amp;CHAR(10)&amp;"إذا أحببت، يمكننا مساعدتك في فهم التقرير وتحديد أفضل خطوة تالية لعيادتكم.")</x:f>
      </x:c>
      <x:c r="L600" s="12" t="str">
        <x:f>IF(D600="","",HYPERLINK("https://wa.me/"&amp;REGEXREPLACE(D600,"[^\d]","")&amp;"?text="&amp;ENCODEURL(K600),"واتساب 1"))</x:f>
      </x:c>
      <x:c r="M600" s="12" t="str">
        <x:f>IF(A600="","","مرحبًا "&amp;C600&amp;CHAR(10)&amp;CHAR(10)&amp;"بناءً على نتيجة تقييم عيادة "&amp;B600&amp;"، فإن الترشيح الأقوى لكم الآن هو: "&amp;G600&amp;"."&amp;CHAR(10)&amp;"هذا الخيار يساعدكم في معالجة أكبر فجوة حالية بشكل عملي ومباشر."&amp;IF(J600&lt;&gt;"",CHAR(10)&amp;CHAR(10)&amp;"رابط التقرير: "&amp;J600,"")&amp;CHAR(10)&amp;CHAR(10)&amp;"إذا رغبت، يمكننا توضيح لماذا هذا الكورس هو الأنسب لكم الآن.")</x:f>
      </x:c>
      <x:c r="N600" s="12" t="str">
        <x:f>IF(D600="","",HYPERLINK("https://wa.me/"&amp;REGEXREPLACE(D600,"[^\d]","")&amp;"?text="&amp;ENCODEURL(M600),"واتساب 2"))</x:f>
      </x:c>
      <x:c r="O600" s="12" t="str">
        <x:f>IF(A600="","","مرحبًا "&amp;C600&amp;CHAR(10)&amp;CHAR(10)&amp;"إذا كانت التحديات لديكم تحتاج حلًا أشمل، فالبرنامج الكامل المناسب لكم هو: "&amp;H600&amp;"."&amp;IF(I600&lt;&gt;"",CHAR(10)&amp;"كما يمكنكم أيضًا حجز: "&amp;I600&amp;".","")&amp;IF(J600&lt;&gt;"",CHAR(10)&amp;CHAR(10)&amp;"رابط التقرير: "&amp;J600,"")&amp;CHAR(10)&amp;CHAR(10)&amp;"يسعدنا مساعدتكم في اختيار المسار الأنسب حسب وضع العيادة الحالي.")</x:f>
      </x:c>
      <x:c r="P600" s="12" t="str">
        <x:f>IF(D600="","",HYPERLINK("https://wa.me/"&amp;REGEXREPLACE(D600,"[^\d]","")&amp;"?text="&amp;ENCODEURL(O600),"واتساب 3"))</x:f>
      </x:c>
    </x:row>
    <x:row r="601" ht="15" hidden="0" customHeight="1">
      <x:c r="A601" s="12" t="str">
        <x:f>IF(Leads!A601="","",Leads!A601)</x:f>
      </x:c>
      <x:c r="B601" s="12" t="str">
        <x:f>IF(Leads!F601="","",Leads!F601)</x:f>
      </x:c>
      <x:c r="C601" s="12" t="str">
        <x:f>IF(Leads!G601="","",Leads!G601)</x:f>
      </x:c>
      <x:c r="D601" s="12" t="str">
        <x:f>IF(Leads!O601="","",Leads!O601)</x:f>
      </x:c>
      <x:c r="E601" s="12" t="str">
        <x:f>IF(Leads!AV601="","",Leads!AV601)</x:f>
      </x:c>
      <x:c r="F601" s="12" t="str">
        <x:f>IF(Leads!AX601="","",Leads!AX601)</x:f>
      </x:c>
      <x:c r="G601" s="12" t="str">
        <x:f>IF(Leads!BC601="","",Leads!BC601)</x:f>
      </x:c>
      <x:c r="H601" s="12" t="str">
        <x:f>IF(Leads!BE601="","",Leads!BE601)</x:f>
      </x:c>
      <x:c r="I601" s="12" t="str">
        <x:f>IF(Leads!BG601="","",Leads!BG601)</x:f>
      </x:c>
      <x:c r="J601" s="12" t="str">
        <x:f>IF(Leads!BH601="","",Leads!BH601)</x:f>
      </x:c>
      <x:c r="K601" s="12" t="str">
        <x:f>IF(A601="","","مرحبًا "&amp;C601&amp;CHAR(10)&amp;CHAR(10)&amp;"شكرًا لإتمام تقييم DBD الخاص بعيادة "&amp;B601&amp;"."&amp;CHAR(10)&amp;"نتيجتكم الحالية: "&amp;E601&amp;"%."&amp;CHAR(10)&amp;"أولوية التحسين الأولى: "&amp;F601&amp;"."&amp;IF(J601&lt;&gt;"",CHAR(10)&amp;CHAR(10)&amp;"رابط التقرير: "&amp;J601,"")&amp;CHAR(10)&amp;CHAR(10)&amp;"إذا أحببت، يمكننا مساعدتك في فهم التقرير وتحديد أفضل خطوة تالية لعيادتكم.")</x:f>
      </x:c>
      <x:c r="L601" s="12" t="str">
        <x:f>IF(D601="","",HYPERLINK("https://wa.me/"&amp;REGEXREPLACE(D601,"[^\d]","")&amp;"?text="&amp;ENCODEURL(K601),"واتساب 1"))</x:f>
      </x:c>
      <x:c r="M601" s="12" t="str">
        <x:f>IF(A601="","","مرحبًا "&amp;C601&amp;CHAR(10)&amp;CHAR(10)&amp;"بناءً على نتيجة تقييم عيادة "&amp;B601&amp;"، فإن الترشيح الأقوى لكم الآن هو: "&amp;G601&amp;"."&amp;CHAR(10)&amp;"هذا الخيار يساعدكم في معالجة أكبر فجوة حالية بشكل عملي ومباشر."&amp;IF(J601&lt;&gt;"",CHAR(10)&amp;CHAR(10)&amp;"رابط التقرير: "&amp;J601,"")&amp;CHAR(10)&amp;CHAR(10)&amp;"إذا رغبت، يمكننا توضيح لماذا هذا الكورس هو الأنسب لكم الآن.")</x:f>
      </x:c>
      <x:c r="N601" s="12" t="str">
        <x:f>IF(D601="","",HYPERLINK("https://wa.me/"&amp;REGEXREPLACE(D601,"[^\d]","")&amp;"?text="&amp;ENCODEURL(M601),"واتساب 2"))</x:f>
      </x:c>
      <x:c r="O601" s="12" t="str">
        <x:f>IF(A601="","","مرحبًا "&amp;C601&amp;CHAR(10)&amp;CHAR(10)&amp;"إذا كانت التحديات لديكم تحتاج حلًا أشمل، فالبرنامج الكامل المناسب لكم هو: "&amp;H601&amp;"."&amp;IF(I601&lt;&gt;"",CHAR(10)&amp;"كما يمكنكم أيضًا حجز: "&amp;I601&amp;".","")&amp;IF(J601&lt;&gt;"",CHAR(10)&amp;CHAR(10)&amp;"رابط التقرير: "&amp;J601,"")&amp;CHAR(10)&amp;CHAR(10)&amp;"يسعدنا مساعدتكم في اختيار المسار الأنسب حسب وضع العيادة الحالي.")</x:f>
      </x:c>
      <x:c r="P601" s="12" t="str">
        <x:f>IF(D601="","",HYPERLINK("https://wa.me/"&amp;REGEXREPLACE(D601,"[^\d]","")&amp;"?text="&amp;ENCODEURL(O601),"واتساب 3"))</x:f>
      </x:c>
    </x:row>
    <x:row r="602" ht="15" hidden="0" customHeight="1">
      <x:c r="A602" s="12" t="str">
        <x:f>IF(Leads!A602="","",Leads!A602)</x:f>
      </x:c>
      <x:c r="B602" s="12" t="str">
        <x:f>IF(Leads!F602="","",Leads!F602)</x:f>
      </x:c>
      <x:c r="C602" s="12" t="str">
        <x:f>IF(Leads!G602="","",Leads!G602)</x:f>
      </x:c>
      <x:c r="D602" s="12" t="str">
        <x:f>IF(Leads!O602="","",Leads!O602)</x:f>
      </x:c>
      <x:c r="E602" s="12" t="str">
        <x:f>IF(Leads!AV602="","",Leads!AV602)</x:f>
      </x:c>
      <x:c r="F602" s="12" t="str">
        <x:f>IF(Leads!AX602="","",Leads!AX602)</x:f>
      </x:c>
      <x:c r="G602" s="12" t="str">
        <x:f>IF(Leads!BC602="","",Leads!BC602)</x:f>
      </x:c>
      <x:c r="H602" s="12" t="str">
        <x:f>IF(Leads!BE602="","",Leads!BE602)</x:f>
      </x:c>
      <x:c r="I602" s="12" t="str">
        <x:f>IF(Leads!BG602="","",Leads!BG602)</x:f>
      </x:c>
      <x:c r="J602" s="12" t="str">
        <x:f>IF(Leads!BH602="","",Leads!BH602)</x:f>
      </x:c>
      <x:c r="K602" s="12" t="str">
        <x:f>IF(A602="","","مرحبًا "&amp;C602&amp;CHAR(10)&amp;CHAR(10)&amp;"شكرًا لإتمام تقييم DBD الخاص بعيادة "&amp;B602&amp;"."&amp;CHAR(10)&amp;"نتيجتكم الحالية: "&amp;E602&amp;"%."&amp;CHAR(10)&amp;"أولوية التحسين الأولى: "&amp;F602&amp;"."&amp;IF(J602&lt;&gt;"",CHAR(10)&amp;CHAR(10)&amp;"رابط التقرير: "&amp;J602,"")&amp;CHAR(10)&amp;CHAR(10)&amp;"إذا أحببت، يمكننا مساعدتك في فهم التقرير وتحديد أفضل خطوة تالية لعيادتكم.")</x:f>
      </x:c>
      <x:c r="L602" s="12" t="str">
        <x:f>IF(D602="","",HYPERLINK("https://wa.me/"&amp;REGEXREPLACE(D602,"[^\d]","")&amp;"?text="&amp;ENCODEURL(K602),"واتساب 1"))</x:f>
      </x:c>
      <x:c r="M602" s="12" t="str">
        <x:f>IF(A602="","","مرحبًا "&amp;C602&amp;CHAR(10)&amp;CHAR(10)&amp;"بناءً على نتيجة تقييم عيادة "&amp;B602&amp;"، فإن الترشيح الأقوى لكم الآن هو: "&amp;G602&amp;"."&amp;CHAR(10)&amp;"هذا الخيار يساعدكم في معالجة أكبر فجوة حالية بشكل عملي ومباشر."&amp;IF(J602&lt;&gt;"",CHAR(10)&amp;CHAR(10)&amp;"رابط التقرير: "&amp;J602,"")&amp;CHAR(10)&amp;CHAR(10)&amp;"إذا رغبت، يمكننا توضيح لماذا هذا الكورس هو الأنسب لكم الآن.")</x:f>
      </x:c>
      <x:c r="N602" s="12" t="str">
        <x:f>IF(D602="","",HYPERLINK("https://wa.me/"&amp;REGEXREPLACE(D602,"[^\d]","")&amp;"?text="&amp;ENCODEURL(M602),"واتساب 2"))</x:f>
      </x:c>
      <x:c r="O602" s="12" t="str">
        <x:f>IF(A602="","","مرحبًا "&amp;C602&amp;CHAR(10)&amp;CHAR(10)&amp;"إذا كانت التحديات لديكم تحتاج حلًا أشمل، فالبرنامج الكامل المناسب لكم هو: "&amp;H602&amp;"."&amp;IF(I602&lt;&gt;"",CHAR(10)&amp;"كما يمكنكم أيضًا حجز: "&amp;I602&amp;".","")&amp;IF(J602&lt;&gt;"",CHAR(10)&amp;CHAR(10)&amp;"رابط التقرير: "&amp;J602,"")&amp;CHAR(10)&amp;CHAR(10)&amp;"يسعدنا مساعدتكم في اختيار المسار الأنسب حسب وضع العيادة الحالي.")</x:f>
      </x:c>
      <x:c r="P602" s="12" t="str">
        <x:f>IF(D602="","",HYPERLINK("https://wa.me/"&amp;REGEXREPLACE(D602,"[^\d]","")&amp;"?text="&amp;ENCODEURL(O602),"واتساب 3"))</x:f>
      </x:c>
    </x:row>
    <x:row r="603" ht="15" hidden="0" customHeight="1">
      <x:c r="A603" s="12" t="str">
        <x:f>IF(Leads!A603="","",Leads!A603)</x:f>
      </x:c>
      <x:c r="B603" s="12" t="str">
        <x:f>IF(Leads!F603="","",Leads!F603)</x:f>
      </x:c>
      <x:c r="C603" s="12" t="str">
        <x:f>IF(Leads!G603="","",Leads!G603)</x:f>
      </x:c>
      <x:c r="D603" s="12" t="str">
        <x:f>IF(Leads!O603="","",Leads!O603)</x:f>
      </x:c>
      <x:c r="E603" s="12" t="str">
        <x:f>IF(Leads!AV603="","",Leads!AV603)</x:f>
      </x:c>
      <x:c r="F603" s="12" t="str">
        <x:f>IF(Leads!AX603="","",Leads!AX603)</x:f>
      </x:c>
      <x:c r="G603" s="12" t="str">
        <x:f>IF(Leads!BC603="","",Leads!BC603)</x:f>
      </x:c>
      <x:c r="H603" s="12" t="str">
        <x:f>IF(Leads!BE603="","",Leads!BE603)</x:f>
      </x:c>
      <x:c r="I603" s="12" t="str">
        <x:f>IF(Leads!BG603="","",Leads!BG603)</x:f>
      </x:c>
      <x:c r="J603" s="12" t="str">
        <x:f>IF(Leads!BH603="","",Leads!BH603)</x:f>
      </x:c>
      <x:c r="K603" s="12" t="str">
        <x:f>IF(A603="","","مرحبًا "&amp;C603&amp;CHAR(10)&amp;CHAR(10)&amp;"شكرًا لإتمام تقييم DBD الخاص بعيادة "&amp;B603&amp;"."&amp;CHAR(10)&amp;"نتيجتكم الحالية: "&amp;E603&amp;"%."&amp;CHAR(10)&amp;"أولوية التحسين الأولى: "&amp;F603&amp;"."&amp;IF(J603&lt;&gt;"",CHAR(10)&amp;CHAR(10)&amp;"رابط التقرير: "&amp;J603,"")&amp;CHAR(10)&amp;CHAR(10)&amp;"إذا أحببت، يمكننا مساعدتك في فهم التقرير وتحديد أفضل خطوة تالية لعيادتكم.")</x:f>
      </x:c>
      <x:c r="L603" s="12" t="str">
        <x:f>IF(D603="","",HYPERLINK("https://wa.me/"&amp;REGEXREPLACE(D603,"[^\d]","")&amp;"?text="&amp;ENCODEURL(K603),"واتساب 1"))</x:f>
      </x:c>
      <x:c r="M603" s="12" t="str">
        <x:f>IF(A603="","","مرحبًا "&amp;C603&amp;CHAR(10)&amp;CHAR(10)&amp;"بناءً على نتيجة تقييم عيادة "&amp;B603&amp;"، فإن الترشيح الأقوى لكم الآن هو: "&amp;G603&amp;"."&amp;CHAR(10)&amp;"هذا الخيار يساعدكم في معالجة أكبر فجوة حالية بشكل عملي ومباشر."&amp;IF(J603&lt;&gt;"",CHAR(10)&amp;CHAR(10)&amp;"رابط التقرير: "&amp;J603,"")&amp;CHAR(10)&amp;CHAR(10)&amp;"إذا رغبت، يمكننا توضيح لماذا هذا الكورس هو الأنسب لكم الآن.")</x:f>
      </x:c>
      <x:c r="N603" s="12" t="str">
        <x:f>IF(D603="","",HYPERLINK("https://wa.me/"&amp;REGEXREPLACE(D603,"[^\d]","")&amp;"?text="&amp;ENCODEURL(M603),"واتساب 2"))</x:f>
      </x:c>
      <x:c r="O603" s="12" t="str">
        <x:f>IF(A603="","","مرحبًا "&amp;C603&amp;CHAR(10)&amp;CHAR(10)&amp;"إذا كانت التحديات لديكم تحتاج حلًا أشمل، فالبرنامج الكامل المناسب لكم هو: "&amp;H603&amp;"."&amp;IF(I603&lt;&gt;"",CHAR(10)&amp;"كما يمكنكم أيضًا حجز: "&amp;I603&amp;".","")&amp;IF(J603&lt;&gt;"",CHAR(10)&amp;CHAR(10)&amp;"رابط التقرير: "&amp;J603,"")&amp;CHAR(10)&amp;CHAR(10)&amp;"يسعدنا مساعدتكم في اختيار المسار الأنسب حسب وضع العيادة الحالي.")</x:f>
      </x:c>
      <x:c r="P603" s="12" t="str">
        <x:f>IF(D603="","",HYPERLINK("https://wa.me/"&amp;REGEXREPLACE(D603,"[^\d]","")&amp;"?text="&amp;ENCODEURL(O603),"واتساب 3"))</x:f>
      </x:c>
    </x:row>
    <x:row r="604" ht="15" hidden="0" customHeight="1">
      <x:c r="A604" s="12" t="str">
        <x:f>IF(Leads!A604="","",Leads!A604)</x:f>
      </x:c>
      <x:c r="B604" s="12" t="str">
        <x:f>IF(Leads!F604="","",Leads!F604)</x:f>
      </x:c>
      <x:c r="C604" s="12" t="str">
        <x:f>IF(Leads!G604="","",Leads!G604)</x:f>
      </x:c>
      <x:c r="D604" s="12" t="str">
        <x:f>IF(Leads!O604="","",Leads!O604)</x:f>
      </x:c>
      <x:c r="E604" s="12" t="str">
        <x:f>IF(Leads!AV604="","",Leads!AV604)</x:f>
      </x:c>
      <x:c r="F604" s="12" t="str">
        <x:f>IF(Leads!AX604="","",Leads!AX604)</x:f>
      </x:c>
      <x:c r="G604" s="12" t="str">
        <x:f>IF(Leads!BC604="","",Leads!BC604)</x:f>
      </x:c>
      <x:c r="H604" s="12" t="str">
        <x:f>IF(Leads!BE604="","",Leads!BE604)</x:f>
      </x:c>
      <x:c r="I604" s="12" t="str">
        <x:f>IF(Leads!BG604="","",Leads!BG604)</x:f>
      </x:c>
      <x:c r="J604" s="12" t="str">
        <x:f>IF(Leads!BH604="","",Leads!BH604)</x:f>
      </x:c>
      <x:c r="K604" s="12" t="str">
        <x:f>IF(A604="","","مرحبًا "&amp;C604&amp;CHAR(10)&amp;CHAR(10)&amp;"شكرًا لإتمام تقييم DBD الخاص بعيادة "&amp;B604&amp;"."&amp;CHAR(10)&amp;"نتيجتكم الحالية: "&amp;E604&amp;"%."&amp;CHAR(10)&amp;"أولوية التحسين الأولى: "&amp;F604&amp;"."&amp;IF(J604&lt;&gt;"",CHAR(10)&amp;CHAR(10)&amp;"رابط التقرير: "&amp;J604,"")&amp;CHAR(10)&amp;CHAR(10)&amp;"إذا أحببت، يمكننا مساعدتك في فهم التقرير وتحديد أفضل خطوة تالية لعيادتكم.")</x:f>
      </x:c>
      <x:c r="L604" s="12" t="str">
        <x:f>IF(D604="","",HYPERLINK("https://wa.me/"&amp;REGEXREPLACE(D604,"[^\d]","")&amp;"?text="&amp;ENCODEURL(K604),"واتساب 1"))</x:f>
      </x:c>
      <x:c r="M604" s="12" t="str">
        <x:f>IF(A604="","","مرحبًا "&amp;C604&amp;CHAR(10)&amp;CHAR(10)&amp;"بناءً على نتيجة تقييم عيادة "&amp;B604&amp;"، فإن الترشيح الأقوى لكم الآن هو: "&amp;G604&amp;"."&amp;CHAR(10)&amp;"هذا الخيار يساعدكم في معالجة أكبر فجوة حالية بشكل عملي ومباشر."&amp;IF(J604&lt;&gt;"",CHAR(10)&amp;CHAR(10)&amp;"رابط التقرير: "&amp;J604,"")&amp;CHAR(10)&amp;CHAR(10)&amp;"إذا رغبت، يمكننا توضيح لماذا هذا الكورس هو الأنسب لكم الآن.")</x:f>
      </x:c>
      <x:c r="N604" s="12" t="str">
        <x:f>IF(D604="","",HYPERLINK("https://wa.me/"&amp;REGEXREPLACE(D604,"[^\d]","")&amp;"?text="&amp;ENCODEURL(M604),"واتساب 2"))</x:f>
      </x:c>
      <x:c r="O604" s="12" t="str">
        <x:f>IF(A604="","","مرحبًا "&amp;C604&amp;CHAR(10)&amp;CHAR(10)&amp;"إذا كانت التحديات لديكم تحتاج حلًا أشمل، فالبرنامج الكامل المناسب لكم هو: "&amp;H604&amp;"."&amp;IF(I604&lt;&gt;"",CHAR(10)&amp;"كما يمكنكم أيضًا حجز: "&amp;I604&amp;".","")&amp;IF(J604&lt;&gt;"",CHAR(10)&amp;CHAR(10)&amp;"رابط التقرير: "&amp;J604,"")&amp;CHAR(10)&amp;CHAR(10)&amp;"يسعدنا مساعدتكم في اختيار المسار الأنسب حسب وضع العيادة الحالي.")</x:f>
      </x:c>
      <x:c r="P604" s="12" t="str">
        <x:f>IF(D604="","",HYPERLINK("https://wa.me/"&amp;REGEXREPLACE(D604,"[^\d]","")&amp;"?text="&amp;ENCODEURL(O604),"واتساب 3"))</x:f>
      </x:c>
    </x:row>
    <x:row r="605" ht="15" hidden="0" customHeight="1">
      <x:c r="A605" s="12" t="str">
        <x:f>IF(Leads!A605="","",Leads!A605)</x:f>
      </x:c>
      <x:c r="B605" s="12" t="str">
        <x:f>IF(Leads!F605="","",Leads!F605)</x:f>
      </x:c>
      <x:c r="C605" s="12" t="str">
        <x:f>IF(Leads!G605="","",Leads!G605)</x:f>
      </x:c>
      <x:c r="D605" s="12" t="str">
        <x:f>IF(Leads!O605="","",Leads!O605)</x:f>
      </x:c>
      <x:c r="E605" s="12" t="str">
        <x:f>IF(Leads!AV605="","",Leads!AV605)</x:f>
      </x:c>
      <x:c r="F605" s="12" t="str">
        <x:f>IF(Leads!AX605="","",Leads!AX605)</x:f>
      </x:c>
      <x:c r="G605" s="12" t="str">
        <x:f>IF(Leads!BC605="","",Leads!BC605)</x:f>
      </x:c>
      <x:c r="H605" s="12" t="str">
        <x:f>IF(Leads!BE605="","",Leads!BE605)</x:f>
      </x:c>
      <x:c r="I605" s="12" t="str">
        <x:f>IF(Leads!BG605="","",Leads!BG605)</x:f>
      </x:c>
      <x:c r="J605" s="12" t="str">
        <x:f>IF(Leads!BH605="","",Leads!BH605)</x:f>
      </x:c>
      <x:c r="K605" s="12" t="str">
        <x:f>IF(A605="","","مرحبًا "&amp;C605&amp;CHAR(10)&amp;CHAR(10)&amp;"شكرًا لإتمام تقييم DBD الخاص بعيادة "&amp;B605&amp;"."&amp;CHAR(10)&amp;"نتيجتكم الحالية: "&amp;E605&amp;"%."&amp;CHAR(10)&amp;"أولوية التحسين الأولى: "&amp;F605&amp;"."&amp;IF(J605&lt;&gt;"",CHAR(10)&amp;CHAR(10)&amp;"رابط التقرير: "&amp;J605,"")&amp;CHAR(10)&amp;CHAR(10)&amp;"إذا أحببت، يمكننا مساعدتك في فهم التقرير وتحديد أفضل خطوة تالية لعيادتكم.")</x:f>
      </x:c>
      <x:c r="L605" s="12" t="str">
        <x:f>IF(D605="","",HYPERLINK("https://wa.me/"&amp;REGEXREPLACE(D605,"[^\d]","")&amp;"?text="&amp;ENCODEURL(K605),"واتساب 1"))</x:f>
      </x:c>
      <x:c r="M605" s="12" t="str">
        <x:f>IF(A605="","","مرحبًا "&amp;C605&amp;CHAR(10)&amp;CHAR(10)&amp;"بناءً على نتيجة تقييم عيادة "&amp;B605&amp;"، فإن الترشيح الأقوى لكم الآن هو: "&amp;G605&amp;"."&amp;CHAR(10)&amp;"هذا الخيار يساعدكم في معالجة أكبر فجوة حالية بشكل عملي ومباشر."&amp;IF(J605&lt;&gt;"",CHAR(10)&amp;CHAR(10)&amp;"رابط التقرير: "&amp;J605,"")&amp;CHAR(10)&amp;CHAR(10)&amp;"إذا رغبت، يمكننا توضيح لماذا هذا الكورس هو الأنسب لكم الآن.")</x:f>
      </x:c>
      <x:c r="N605" s="12" t="str">
        <x:f>IF(D605="","",HYPERLINK("https://wa.me/"&amp;REGEXREPLACE(D605,"[^\d]","")&amp;"?text="&amp;ENCODEURL(M605),"واتساب 2"))</x:f>
      </x:c>
      <x:c r="O605" s="12" t="str">
        <x:f>IF(A605="","","مرحبًا "&amp;C605&amp;CHAR(10)&amp;CHAR(10)&amp;"إذا كانت التحديات لديكم تحتاج حلًا أشمل، فالبرنامج الكامل المناسب لكم هو: "&amp;H605&amp;"."&amp;IF(I605&lt;&gt;"",CHAR(10)&amp;"كما يمكنكم أيضًا حجز: "&amp;I605&amp;".","")&amp;IF(J605&lt;&gt;"",CHAR(10)&amp;CHAR(10)&amp;"رابط التقرير: "&amp;J605,"")&amp;CHAR(10)&amp;CHAR(10)&amp;"يسعدنا مساعدتكم في اختيار المسار الأنسب حسب وضع العيادة الحالي.")</x:f>
      </x:c>
      <x:c r="P605" s="12" t="str">
        <x:f>IF(D605="","",HYPERLINK("https://wa.me/"&amp;REGEXREPLACE(D605,"[^\d]","")&amp;"?text="&amp;ENCODEURL(O605),"واتساب 3"))</x:f>
      </x:c>
    </x:row>
    <x:row r="606" ht="15" hidden="0" customHeight="1">
      <x:c r="A606" s="12" t="str">
        <x:f>IF(Leads!A606="","",Leads!A606)</x:f>
      </x:c>
      <x:c r="B606" s="12" t="str">
        <x:f>IF(Leads!F606="","",Leads!F606)</x:f>
      </x:c>
      <x:c r="C606" s="12" t="str">
        <x:f>IF(Leads!G606="","",Leads!G606)</x:f>
      </x:c>
      <x:c r="D606" s="12" t="str">
        <x:f>IF(Leads!O606="","",Leads!O606)</x:f>
      </x:c>
      <x:c r="E606" s="12" t="str">
        <x:f>IF(Leads!AV606="","",Leads!AV606)</x:f>
      </x:c>
      <x:c r="F606" s="12" t="str">
        <x:f>IF(Leads!AX606="","",Leads!AX606)</x:f>
      </x:c>
      <x:c r="G606" s="12" t="str">
        <x:f>IF(Leads!BC606="","",Leads!BC606)</x:f>
      </x:c>
      <x:c r="H606" s="12" t="str">
        <x:f>IF(Leads!BE606="","",Leads!BE606)</x:f>
      </x:c>
      <x:c r="I606" s="12" t="str">
        <x:f>IF(Leads!BG606="","",Leads!BG606)</x:f>
      </x:c>
      <x:c r="J606" s="12" t="str">
        <x:f>IF(Leads!BH606="","",Leads!BH606)</x:f>
      </x:c>
      <x:c r="K606" s="12" t="str">
        <x:f>IF(A606="","","مرحبًا "&amp;C606&amp;CHAR(10)&amp;CHAR(10)&amp;"شكرًا لإتمام تقييم DBD الخاص بعيادة "&amp;B606&amp;"."&amp;CHAR(10)&amp;"نتيجتكم الحالية: "&amp;E606&amp;"%."&amp;CHAR(10)&amp;"أولوية التحسين الأولى: "&amp;F606&amp;"."&amp;IF(J606&lt;&gt;"",CHAR(10)&amp;CHAR(10)&amp;"رابط التقرير: "&amp;J606,"")&amp;CHAR(10)&amp;CHAR(10)&amp;"إذا أحببت، يمكننا مساعدتك في فهم التقرير وتحديد أفضل خطوة تالية لعيادتكم.")</x:f>
      </x:c>
      <x:c r="L606" s="12" t="str">
        <x:f>IF(D606="","",HYPERLINK("https://wa.me/"&amp;REGEXREPLACE(D606,"[^\d]","")&amp;"?text="&amp;ENCODEURL(K606),"واتساب 1"))</x:f>
      </x:c>
      <x:c r="M606" s="12" t="str">
        <x:f>IF(A606="","","مرحبًا "&amp;C606&amp;CHAR(10)&amp;CHAR(10)&amp;"بناءً على نتيجة تقييم عيادة "&amp;B606&amp;"، فإن الترشيح الأقوى لكم الآن هو: "&amp;G606&amp;"."&amp;CHAR(10)&amp;"هذا الخيار يساعدكم في معالجة أكبر فجوة حالية بشكل عملي ومباشر."&amp;IF(J606&lt;&gt;"",CHAR(10)&amp;CHAR(10)&amp;"رابط التقرير: "&amp;J606,"")&amp;CHAR(10)&amp;CHAR(10)&amp;"إذا رغبت، يمكننا توضيح لماذا هذا الكورس هو الأنسب لكم الآن.")</x:f>
      </x:c>
      <x:c r="N606" s="12" t="str">
        <x:f>IF(D606="","",HYPERLINK("https://wa.me/"&amp;REGEXREPLACE(D606,"[^\d]","")&amp;"?text="&amp;ENCODEURL(M606),"واتساب 2"))</x:f>
      </x:c>
      <x:c r="O606" s="12" t="str">
        <x:f>IF(A606="","","مرحبًا "&amp;C606&amp;CHAR(10)&amp;CHAR(10)&amp;"إذا كانت التحديات لديكم تحتاج حلًا أشمل، فالبرنامج الكامل المناسب لكم هو: "&amp;H606&amp;"."&amp;IF(I606&lt;&gt;"",CHAR(10)&amp;"كما يمكنكم أيضًا حجز: "&amp;I606&amp;".","")&amp;IF(J606&lt;&gt;"",CHAR(10)&amp;CHAR(10)&amp;"رابط التقرير: "&amp;J606,"")&amp;CHAR(10)&amp;CHAR(10)&amp;"يسعدنا مساعدتكم في اختيار المسار الأنسب حسب وضع العيادة الحالي.")</x:f>
      </x:c>
      <x:c r="P606" s="12" t="str">
        <x:f>IF(D606="","",HYPERLINK("https://wa.me/"&amp;REGEXREPLACE(D606,"[^\d]","")&amp;"?text="&amp;ENCODEURL(O606),"واتساب 3"))</x:f>
      </x:c>
    </x:row>
    <x:row r="607" ht="15" hidden="0" customHeight="1">
      <x:c r="A607" s="12" t="str">
        <x:f>IF(Leads!A607="","",Leads!A607)</x:f>
      </x:c>
      <x:c r="B607" s="12" t="str">
        <x:f>IF(Leads!F607="","",Leads!F607)</x:f>
      </x:c>
      <x:c r="C607" s="12" t="str">
        <x:f>IF(Leads!G607="","",Leads!G607)</x:f>
      </x:c>
      <x:c r="D607" s="12" t="str">
        <x:f>IF(Leads!O607="","",Leads!O607)</x:f>
      </x:c>
      <x:c r="E607" s="12" t="str">
        <x:f>IF(Leads!AV607="","",Leads!AV607)</x:f>
      </x:c>
      <x:c r="F607" s="12" t="str">
        <x:f>IF(Leads!AX607="","",Leads!AX607)</x:f>
      </x:c>
      <x:c r="G607" s="12" t="str">
        <x:f>IF(Leads!BC607="","",Leads!BC607)</x:f>
      </x:c>
      <x:c r="H607" s="12" t="str">
        <x:f>IF(Leads!BE607="","",Leads!BE607)</x:f>
      </x:c>
      <x:c r="I607" s="12" t="str">
        <x:f>IF(Leads!BG607="","",Leads!BG607)</x:f>
      </x:c>
      <x:c r="J607" s="12" t="str">
        <x:f>IF(Leads!BH607="","",Leads!BH607)</x:f>
      </x:c>
      <x:c r="K607" s="12" t="str">
        <x:f>IF(A607="","","مرحبًا "&amp;C607&amp;CHAR(10)&amp;CHAR(10)&amp;"شكرًا لإتمام تقييم DBD الخاص بعيادة "&amp;B607&amp;"."&amp;CHAR(10)&amp;"نتيجتكم الحالية: "&amp;E607&amp;"%."&amp;CHAR(10)&amp;"أولوية التحسين الأولى: "&amp;F607&amp;"."&amp;IF(J607&lt;&gt;"",CHAR(10)&amp;CHAR(10)&amp;"رابط التقرير: "&amp;J607,"")&amp;CHAR(10)&amp;CHAR(10)&amp;"إذا أحببت، يمكننا مساعدتك في فهم التقرير وتحديد أفضل خطوة تالية لعيادتكم.")</x:f>
      </x:c>
      <x:c r="L607" s="12" t="str">
        <x:f>IF(D607="","",HYPERLINK("https://wa.me/"&amp;REGEXREPLACE(D607,"[^\d]","")&amp;"?text="&amp;ENCODEURL(K607),"واتساب 1"))</x:f>
      </x:c>
      <x:c r="M607" s="12" t="str">
        <x:f>IF(A607="","","مرحبًا "&amp;C607&amp;CHAR(10)&amp;CHAR(10)&amp;"بناءً على نتيجة تقييم عيادة "&amp;B607&amp;"، فإن الترشيح الأقوى لكم الآن هو: "&amp;G607&amp;"."&amp;CHAR(10)&amp;"هذا الخيار يساعدكم في معالجة أكبر فجوة حالية بشكل عملي ومباشر."&amp;IF(J607&lt;&gt;"",CHAR(10)&amp;CHAR(10)&amp;"رابط التقرير: "&amp;J607,"")&amp;CHAR(10)&amp;CHAR(10)&amp;"إذا رغبت، يمكننا توضيح لماذا هذا الكورس هو الأنسب لكم الآن.")</x:f>
      </x:c>
      <x:c r="N607" s="12" t="str">
        <x:f>IF(D607="","",HYPERLINK("https://wa.me/"&amp;REGEXREPLACE(D607,"[^\d]","")&amp;"?text="&amp;ENCODEURL(M607),"واتساب 2"))</x:f>
      </x:c>
      <x:c r="O607" s="12" t="str">
        <x:f>IF(A607="","","مرحبًا "&amp;C607&amp;CHAR(10)&amp;CHAR(10)&amp;"إذا كانت التحديات لديكم تحتاج حلًا أشمل، فالبرنامج الكامل المناسب لكم هو: "&amp;H607&amp;"."&amp;IF(I607&lt;&gt;"",CHAR(10)&amp;"كما يمكنكم أيضًا حجز: "&amp;I607&amp;".","")&amp;IF(J607&lt;&gt;"",CHAR(10)&amp;CHAR(10)&amp;"رابط التقرير: "&amp;J607,"")&amp;CHAR(10)&amp;CHAR(10)&amp;"يسعدنا مساعدتكم في اختيار المسار الأنسب حسب وضع العيادة الحالي.")</x:f>
      </x:c>
      <x:c r="P607" s="12" t="str">
        <x:f>IF(D607="","",HYPERLINK("https://wa.me/"&amp;REGEXREPLACE(D607,"[^\d]","")&amp;"?text="&amp;ENCODEURL(O607),"واتساب 3"))</x:f>
      </x:c>
    </x:row>
    <x:row r="608" ht="15" hidden="0" customHeight="1">
      <x:c r="A608" s="12" t="str">
        <x:f>IF(Leads!A608="","",Leads!A608)</x:f>
      </x:c>
      <x:c r="B608" s="12" t="str">
        <x:f>IF(Leads!F608="","",Leads!F608)</x:f>
      </x:c>
      <x:c r="C608" s="12" t="str">
        <x:f>IF(Leads!G608="","",Leads!G608)</x:f>
      </x:c>
      <x:c r="D608" s="12" t="str">
        <x:f>IF(Leads!O608="","",Leads!O608)</x:f>
      </x:c>
      <x:c r="E608" s="12" t="str">
        <x:f>IF(Leads!AV608="","",Leads!AV608)</x:f>
      </x:c>
      <x:c r="F608" s="12" t="str">
        <x:f>IF(Leads!AX608="","",Leads!AX608)</x:f>
      </x:c>
      <x:c r="G608" s="12" t="str">
        <x:f>IF(Leads!BC608="","",Leads!BC608)</x:f>
      </x:c>
      <x:c r="H608" s="12" t="str">
        <x:f>IF(Leads!BE608="","",Leads!BE608)</x:f>
      </x:c>
      <x:c r="I608" s="12" t="str">
        <x:f>IF(Leads!BG608="","",Leads!BG608)</x:f>
      </x:c>
      <x:c r="J608" s="12" t="str">
        <x:f>IF(Leads!BH608="","",Leads!BH608)</x:f>
      </x:c>
      <x:c r="K608" s="12" t="str">
        <x:f>IF(A608="","","مرحبًا "&amp;C608&amp;CHAR(10)&amp;CHAR(10)&amp;"شكرًا لإتمام تقييم DBD الخاص بعيادة "&amp;B608&amp;"."&amp;CHAR(10)&amp;"نتيجتكم الحالية: "&amp;E608&amp;"%."&amp;CHAR(10)&amp;"أولوية التحسين الأولى: "&amp;F608&amp;"."&amp;IF(J608&lt;&gt;"",CHAR(10)&amp;CHAR(10)&amp;"رابط التقرير: "&amp;J608,"")&amp;CHAR(10)&amp;CHAR(10)&amp;"إذا أحببت، يمكننا مساعدتك في فهم التقرير وتحديد أفضل خطوة تالية لعيادتكم.")</x:f>
      </x:c>
      <x:c r="L608" s="12" t="str">
        <x:f>IF(D608="","",HYPERLINK("https://wa.me/"&amp;REGEXREPLACE(D608,"[^\d]","")&amp;"?text="&amp;ENCODEURL(K608),"واتساب 1"))</x:f>
      </x:c>
      <x:c r="M608" s="12" t="str">
        <x:f>IF(A608="","","مرحبًا "&amp;C608&amp;CHAR(10)&amp;CHAR(10)&amp;"بناءً على نتيجة تقييم عيادة "&amp;B608&amp;"، فإن الترشيح الأقوى لكم الآن هو: "&amp;G608&amp;"."&amp;CHAR(10)&amp;"هذا الخيار يساعدكم في معالجة أكبر فجوة حالية بشكل عملي ومباشر."&amp;IF(J608&lt;&gt;"",CHAR(10)&amp;CHAR(10)&amp;"رابط التقرير: "&amp;J608,"")&amp;CHAR(10)&amp;CHAR(10)&amp;"إذا رغبت، يمكننا توضيح لماذا هذا الكورس هو الأنسب لكم الآن.")</x:f>
      </x:c>
      <x:c r="N608" s="12" t="str">
        <x:f>IF(D608="","",HYPERLINK("https://wa.me/"&amp;REGEXREPLACE(D608,"[^\d]","")&amp;"?text="&amp;ENCODEURL(M608),"واتساب 2"))</x:f>
      </x:c>
      <x:c r="O608" s="12" t="str">
        <x:f>IF(A608="","","مرحبًا "&amp;C608&amp;CHAR(10)&amp;CHAR(10)&amp;"إذا كانت التحديات لديكم تحتاج حلًا أشمل، فالبرنامج الكامل المناسب لكم هو: "&amp;H608&amp;"."&amp;IF(I608&lt;&gt;"",CHAR(10)&amp;"كما يمكنكم أيضًا حجز: "&amp;I608&amp;".","")&amp;IF(J608&lt;&gt;"",CHAR(10)&amp;CHAR(10)&amp;"رابط التقرير: "&amp;J608,"")&amp;CHAR(10)&amp;CHAR(10)&amp;"يسعدنا مساعدتكم في اختيار المسار الأنسب حسب وضع العيادة الحالي.")</x:f>
      </x:c>
      <x:c r="P608" s="12" t="str">
        <x:f>IF(D608="","",HYPERLINK("https://wa.me/"&amp;REGEXREPLACE(D608,"[^\d]","")&amp;"?text="&amp;ENCODEURL(O608),"واتساب 3"))</x:f>
      </x:c>
    </x:row>
    <x:row r="609" ht="15" hidden="0" customHeight="1">
      <x:c r="A609" s="12" t="str">
        <x:f>IF(Leads!A609="","",Leads!A609)</x:f>
      </x:c>
      <x:c r="B609" s="12" t="str">
        <x:f>IF(Leads!F609="","",Leads!F609)</x:f>
      </x:c>
      <x:c r="C609" s="12" t="str">
        <x:f>IF(Leads!G609="","",Leads!G609)</x:f>
      </x:c>
      <x:c r="D609" s="12" t="str">
        <x:f>IF(Leads!O609="","",Leads!O609)</x:f>
      </x:c>
      <x:c r="E609" s="12" t="str">
        <x:f>IF(Leads!AV609="","",Leads!AV609)</x:f>
      </x:c>
      <x:c r="F609" s="12" t="str">
        <x:f>IF(Leads!AX609="","",Leads!AX609)</x:f>
      </x:c>
      <x:c r="G609" s="12" t="str">
        <x:f>IF(Leads!BC609="","",Leads!BC609)</x:f>
      </x:c>
      <x:c r="H609" s="12" t="str">
        <x:f>IF(Leads!BE609="","",Leads!BE609)</x:f>
      </x:c>
      <x:c r="I609" s="12" t="str">
        <x:f>IF(Leads!BG609="","",Leads!BG609)</x:f>
      </x:c>
      <x:c r="J609" s="12" t="str">
        <x:f>IF(Leads!BH609="","",Leads!BH609)</x:f>
      </x:c>
      <x:c r="K609" s="12" t="str">
        <x:f>IF(A609="","","مرحبًا "&amp;C609&amp;CHAR(10)&amp;CHAR(10)&amp;"شكرًا لإتمام تقييم DBD الخاص بعيادة "&amp;B609&amp;"."&amp;CHAR(10)&amp;"نتيجتكم الحالية: "&amp;E609&amp;"%."&amp;CHAR(10)&amp;"أولوية التحسين الأولى: "&amp;F609&amp;"."&amp;IF(J609&lt;&gt;"",CHAR(10)&amp;CHAR(10)&amp;"رابط التقرير: "&amp;J609,"")&amp;CHAR(10)&amp;CHAR(10)&amp;"إذا أحببت، يمكننا مساعدتك في فهم التقرير وتحديد أفضل خطوة تالية لعيادتكم.")</x:f>
      </x:c>
      <x:c r="L609" s="12" t="str">
        <x:f>IF(D609="","",HYPERLINK("https://wa.me/"&amp;REGEXREPLACE(D609,"[^\d]","")&amp;"?text="&amp;ENCODEURL(K609),"واتساب 1"))</x:f>
      </x:c>
      <x:c r="M609" s="12" t="str">
        <x:f>IF(A609="","","مرحبًا "&amp;C609&amp;CHAR(10)&amp;CHAR(10)&amp;"بناءً على نتيجة تقييم عيادة "&amp;B609&amp;"، فإن الترشيح الأقوى لكم الآن هو: "&amp;G609&amp;"."&amp;CHAR(10)&amp;"هذا الخيار يساعدكم في معالجة أكبر فجوة حالية بشكل عملي ومباشر."&amp;IF(J609&lt;&gt;"",CHAR(10)&amp;CHAR(10)&amp;"رابط التقرير: "&amp;J609,"")&amp;CHAR(10)&amp;CHAR(10)&amp;"إذا رغبت، يمكننا توضيح لماذا هذا الكورس هو الأنسب لكم الآن.")</x:f>
      </x:c>
      <x:c r="N609" s="12" t="str">
        <x:f>IF(D609="","",HYPERLINK("https://wa.me/"&amp;REGEXREPLACE(D609,"[^\d]","")&amp;"?text="&amp;ENCODEURL(M609),"واتساب 2"))</x:f>
      </x:c>
      <x:c r="O609" s="12" t="str">
        <x:f>IF(A609="","","مرحبًا "&amp;C609&amp;CHAR(10)&amp;CHAR(10)&amp;"إذا كانت التحديات لديكم تحتاج حلًا أشمل، فالبرنامج الكامل المناسب لكم هو: "&amp;H609&amp;"."&amp;IF(I609&lt;&gt;"",CHAR(10)&amp;"كما يمكنكم أيضًا حجز: "&amp;I609&amp;".","")&amp;IF(J609&lt;&gt;"",CHAR(10)&amp;CHAR(10)&amp;"رابط التقرير: "&amp;J609,"")&amp;CHAR(10)&amp;CHAR(10)&amp;"يسعدنا مساعدتكم في اختيار المسار الأنسب حسب وضع العيادة الحالي.")</x:f>
      </x:c>
      <x:c r="P609" s="12" t="str">
        <x:f>IF(D609="","",HYPERLINK("https://wa.me/"&amp;REGEXREPLACE(D609,"[^\d]","")&amp;"?text="&amp;ENCODEURL(O609),"واتساب 3"))</x:f>
      </x:c>
    </x:row>
    <x:row r="610" ht="15" hidden="0" customHeight="1">
      <x:c r="A610" s="12" t="str">
        <x:f>IF(Leads!A610="","",Leads!A610)</x:f>
      </x:c>
      <x:c r="B610" s="12" t="str">
        <x:f>IF(Leads!F610="","",Leads!F610)</x:f>
      </x:c>
      <x:c r="C610" s="12" t="str">
        <x:f>IF(Leads!G610="","",Leads!G610)</x:f>
      </x:c>
      <x:c r="D610" s="12" t="str">
        <x:f>IF(Leads!O610="","",Leads!O610)</x:f>
      </x:c>
      <x:c r="E610" s="12" t="str">
        <x:f>IF(Leads!AV610="","",Leads!AV610)</x:f>
      </x:c>
      <x:c r="F610" s="12" t="str">
        <x:f>IF(Leads!AX610="","",Leads!AX610)</x:f>
      </x:c>
      <x:c r="G610" s="12" t="str">
        <x:f>IF(Leads!BC610="","",Leads!BC610)</x:f>
      </x:c>
      <x:c r="H610" s="12" t="str">
        <x:f>IF(Leads!BE610="","",Leads!BE610)</x:f>
      </x:c>
      <x:c r="I610" s="12" t="str">
        <x:f>IF(Leads!BG610="","",Leads!BG610)</x:f>
      </x:c>
      <x:c r="J610" s="12" t="str">
        <x:f>IF(Leads!BH610="","",Leads!BH610)</x:f>
      </x:c>
      <x:c r="K610" s="12" t="str">
        <x:f>IF(A610="","","مرحبًا "&amp;C610&amp;CHAR(10)&amp;CHAR(10)&amp;"شكرًا لإتمام تقييم DBD الخاص بعيادة "&amp;B610&amp;"."&amp;CHAR(10)&amp;"نتيجتكم الحالية: "&amp;E610&amp;"%."&amp;CHAR(10)&amp;"أولوية التحسين الأولى: "&amp;F610&amp;"."&amp;IF(J610&lt;&gt;"",CHAR(10)&amp;CHAR(10)&amp;"رابط التقرير: "&amp;J610,"")&amp;CHAR(10)&amp;CHAR(10)&amp;"إذا أحببت، يمكننا مساعدتك في فهم التقرير وتحديد أفضل خطوة تالية لعيادتكم.")</x:f>
      </x:c>
      <x:c r="L610" s="12" t="str">
        <x:f>IF(D610="","",HYPERLINK("https://wa.me/"&amp;REGEXREPLACE(D610,"[^\d]","")&amp;"?text="&amp;ENCODEURL(K610),"واتساب 1"))</x:f>
      </x:c>
      <x:c r="M610" s="12" t="str">
        <x:f>IF(A610="","","مرحبًا "&amp;C610&amp;CHAR(10)&amp;CHAR(10)&amp;"بناءً على نتيجة تقييم عيادة "&amp;B610&amp;"، فإن الترشيح الأقوى لكم الآن هو: "&amp;G610&amp;"."&amp;CHAR(10)&amp;"هذا الخيار يساعدكم في معالجة أكبر فجوة حالية بشكل عملي ومباشر."&amp;IF(J610&lt;&gt;"",CHAR(10)&amp;CHAR(10)&amp;"رابط التقرير: "&amp;J610,"")&amp;CHAR(10)&amp;CHAR(10)&amp;"إذا رغبت، يمكننا توضيح لماذا هذا الكورس هو الأنسب لكم الآن.")</x:f>
      </x:c>
      <x:c r="N610" s="12" t="str">
        <x:f>IF(D610="","",HYPERLINK("https://wa.me/"&amp;REGEXREPLACE(D610,"[^\d]","")&amp;"?text="&amp;ENCODEURL(M610),"واتساب 2"))</x:f>
      </x:c>
      <x:c r="O610" s="12" t="str">
        <x:f>IF(A610="","","مرحبًا "&amp;C610&amp;CHAR(10)&amp;CHAR(10)&amp;"إذا كانت التحديات لديكم تحتاج حلًا أشمل، فالبرنامج الكامل المناسب لكم هو: "&amp;H610&amp;"."&amp;IF(I610&lt;&gt;"",CHAR(10)&amp;"كما يمكنكم أيضًا حجز: "&amp;I610&amp;".","")&amp;IF(J610&lt;&gt;"",CHAR(10)&amp;CHAR(10)&amp;"رابط التقرير: "&amp;J610,"")&amp;CHAR(10)&amp;CHAR(10)&amp;"يسعدنا مساعدتكم في اختيار المسار الأنسب حسب وضع العيادة الحالي.")</x:f>
      </x:c>
      <x:c r="P610" s="12" t="str">
        <x:f>IF(D610="","",HYPERLINK("https://wa.me/"&amp;REGEXREPLACE(D610,"[^\d]","")&amp;"?text="&amp;ENCODEURL(O610),"واتساب 3"))</x:f>
      </x:c>
    </x:row>
    <x:row r="611" ht="15" hidden="0" customHeight="1">
      <x:c r="A611" s="12" t="str">
        <x:f>IF(Leads!A611="","",Leads!A611)</x:f>
      </x:c>
      <x:c r="B611" s="12" t="str">
        <x:f>IF(Leads!F611="","",Leads!F611)</x:f>
      </x:c>
      <x:c r="C611" s="12" t="str">
        <x:f>IF(Leads!G611="","",Leads!G611)</x:f>
      </x:c>
      <x:c r="D611" s="12" t="str">
        <x:f>IF(Leads!O611="","",Leads!O611)</x:f>
      </x:c>
      <x:c r="E611" s="12" t="str">
        <x:f>IF(Leads!AV611="","",Leads!AV611)</x:f>
      </x:c>
      <x:c r="F611" s="12" t="str">
        <x:f>IF(Leads!AX611="","",Leads!AX611)</x:f>
      </x:c>
      <x:c r="G611" s="12" t="str">
        <x:f>IF(Leads!BC611="","",Leads!BC611)</x:f>
      </x:c>
      <x:c r="H611" s="12" t="str">
        <x:f>IF(Leads!BE611="","",Leads!BE611)</x:f>
      </x:c>
      <x:c r="I611" s="12" t="str">
        <x:f>IF(Leads!BG611="","",Leads!BG611)</x:f>
      </x:c>
      <x:c r="J611" s="12" t="str">
        <x:f>IF(Leads!BH611="","",Leads!BH611)</x:f>
      </x:c>
      <x:c r="K611" s="12" t="str">
        <x:f>IF(A611="","","مرحبًا "&amp;C611&amp;CHAR(10)&amp;CHAR(10)&amp;"شكرًا لإتمام تقييم DBD الخاص بعيادة "&amp;B611&amp;"."&amp;CHAR(10)&amp;"نتيجتكم الحالية: "&amp;E611&amp;"%."&amp;CHAR(10)&amp;"أولوية التحسين الأولى: "&amp;F611&amp;"."&amp;IF(J611&lt;&gt;"",CHAR(10)&amp;CHAR(10)&amp;"رابط التقرير: "&amp;J611,"")&amp;CHAR(10)&amp;CHAR(10)&amp;"إذا أحببت، يمكننا مساعدتك في فهم التقرير وتحديد أفضل خطوة تالية لعيادتكم.")</x:f>
      </x:c>
      <x:c r="L611" s="12" t="str">
        <x:f>IF(D611="","",HYPERLINK("https://wa.me/"&amp;REGEXREPLACE(D611,"[^\d]","")&amp;"?text="&amp;ENCODEURL(K611),"واتساب 1"))</x:f>
      </x:c>
      <x:c r="M611" s="12" t="str">
        <x:f>IF(A611="","","مرحبًا "&amp;C611&amp;CHAR(10)&amp;CHAR(10)&amp;"بناءً على نتيجة تقييم عيادة "&amp;B611&amp;"، فإن الترشيح الأقوى لكم الآن هو: "&amp;G611&amp;"."&amp;CHAR(10)&amp;"هذا الخيار يساعدكم في معالجة أكبر فجوة حالية بشكل عملي ومباشر."&amp;IF(J611&lt;&gt;"",CHAR(10)&amp;CHAR(10)&amp;"رابط التقرير: "&amp;J611,"")&amp;CHAR(10)&amp;CHAR(10)&amp;"إذا رغبت، يمكننا توضيح لماذا هذا الكورس هو الأنسب لكم الآن.")</x:f>
      </x:c>
      <x:c r="N611" s="12" t="str">
        <x:f>IF(D611="","",HYPERLINK("https://wa.me/"&amp;REGEXREPLACE(D611,"[^\d]","")&amp;"?text="&amp;ENCODEURL(M611),"واتساب 2"))</x:f>
      </x:c>
      <x:c r="O611" s="12" t="str">
        <x:f>IF(A611="","","مرحبًا "&amp;C611&amp;CHAR(10)&amp;CHAR(10)&amp;"إذا كانت التحديات لديكم تحتاج حلًا أشمل، فالبرنامج الكامل المناسب لكم هو: "&amp;H611&amp;"."&amp;IF(I611&lt;&gt;"",CHAR(10)&amp;"كما يمكنكم أيضًا حجز: "&amp;I611&amp;".","")&amp;IF(J611&lt;&gt;"",CHAR(10)&amp;CHAR(10)&amp;"رابط التقرير: "&amp;J611,"")&amp;CHAR(10)&amp;CHAR(10)&amp;"يسعدنا مساعدتكم في اختيار المسار الأنسب حسب وضع العيادة الحالي.")</x:f>
      </x:c>
      <x:c r="P611" s="12" t="str">
        <x:f>IF(D611="","",HYPERLINK("https://wa.me/"&amp;REGEXREPLACE(D611,"[^\d]","")&amp;"?text="&amp;ENCODEURL(O611),"واتساب 3"))</x:f>
      </x:c>
    </x:row>
    <x:row r="612" ht="15" hidden="0" customHeight="1">
      <x:c r="A612" s="12" t="str">
        <x:f>IF(Leads!A612="","",Leads!A612)</x:f>
      </x:c>
      <x:c r="B612" s="12" t="str">
        <x:f>IF(Leads!F612="","",Leads!F612)</x:f>
      </x:c>
      <x:c r="C612" s="12" t="str">
        <x:f>IF(Leads!G612="","",Leads!G612)</x:f>
      </x:c>
      <x:c r="D612" s="12" t="str">
        <x:f>IF(Leads!O612="","",Leads!O612)</x:f>
      </x:c>
      <x:c r="E612" s="12" t="str">
        <x:f>IF(Leads!AV612="","",Leads!AV612)</x:f>
      </x:c>
      <x:c r="F612" s="12" t="str">
        <x:f>IF(Leads!AX612="","",Leads!AX612)</x:f>
      </x:c>
      <x:c r="G612" s="12" t="str">
        <x:f>IF(Leads!BC612="","",Leads!BC612)</x:f>
      </x:c>
      <x:c r="H612" s="12" t="str">
        <x:f>IF(Leads!BE612="","",Leads!BE612)</x:f>
      </x:c>
      <x:c r="I612" s="12" t="str">
        <x:f>IF(Leads!BG612="","",Leads!BG612)</x:f>
      </x:c>
      <x:c r="J612" s="12" t="str">
        <x:f>IF(Leads!BH612="","",Leads!BH612)</x:f>
      </x:c>
      <x:c r="K612" s="12" t="str">
        <x:f>IF(A612="","","مرحبًا "&amp;C612&amp;CHAR(10)&amp;CHAR(10)&amp;"شكرًا لإتمام تقييم DBD الخاص بعيادة "&amp;B612&amp;"."&amp;CHAR(10)&amp;"نتيجتكم الحالية: "&amp;E612&amp;"%."&amp;CHAR(10)&amp;"أولوية التحسين الأولى: "&amp;F612&amp;"."&amp;IF(J612&lt;&gt;"",CHAR(10)&amp;CHAR(10)&amp;"رابط التقرير: "&amp;J612,"")&amp;CHAR(10)&amp;CHAR(10)&amp;"إذا أحببت، يمكننا مساعدتك في فهم التقرير وتحديد أفضل خطوة تالية لعيادتكم.")</x:f>
      </x:c>
      <x:c r="L612" s="12" t="str">
        <x:f>IF(D612="","",HYPERLINK("https://wa.me/"&amp;REGEXREPLACE(D612,"[^\d]","")&amp;"?text="&amp;ENCODEURL(K612),"واتساب 1"))</x:f>
      </x:c>
      <x:c r="M612" s="12" t="str">
        <x:f>IF(A612="","","مرحبًا "&amp;C612&amp;CHAR(10)&amp;CHAR(10)&amp;"بناءً على نتيجة تقييم عيادة "&amp;B612&amp;"، فإن الترشيح الأقوى لكم الآن هو: "&amp;G612&amp;"."&amp;CHAR(10)&amp;"هذا الخيار يساعدكم في معالجة أكبر فجوة حالية بشكل عملي ومباشر."&amp;IF(J612&lt;&gt;"",CHAR(10)&amp;CHAR(10)&amp;"رابط التقرير: "&amp;J612,"")&amp;CHAR(10)&amp;CHAR(10)&amp;"إذا رغبت، يمكننا توضيح لماذا هذا الكورس هو الأنسب لكم الآن.")</x:f>
      </x:c>
      <x:c r="N612" s="12" t="str">
        <x:f>IF(D612="","",HYPERLINK("https://wa.me/"&amp;REGEXREPLACE(D612,"[^\d]","")&amp;"?text="&amp;ENCODEURL(M612),"واتساب 2"))</x:f>
      </x:c>
      <x:c r="O612" s="12" t="str">
        <x:f>IF(A612="","","مرحبًا "&amp;C612&amp;CHAR(10)&amp;CHAR(10)&amp;"إذا كانت التحديات لديكم تحتاج حلًا أشمل، فالبرنامج الكامل المناسب لكم هو: "&amp;H612&amp;"."&amp;IF(I612&lt;&gt;"",CHAR(10)&amp;"كما يمكنكم أيضًا حجز: "&amp;I612&amp;".","")&amp;IF(J612&lt;&gt;"",CHAR(10)&amp;CHAR(10)&amp;"رابط التقرير: "&amp;J612,"")&amp;CHAR(10)&amp;CHAR(10)&amp;"يسعدنا مساعدتكم في اختيار المسار الأنسب حسب وضع العيادة الحالي.")</x:f>
      </x:c>
      <x:c r="P612" s="12" t="str">
        <x:f>IF(D612="","",HYPERLINK("https://wa.me/"&amp;REGEXREPLACE(D612,"[^\d]","")&amp;"?text="&amp;ENCODEURL(O612),"واتساب 3"))</x:f>
      </x:c>
    </x:row>
    <x:row r="613" ht="15" hidden="0" customHeight="1">
      <x:c r="A613" s="12" t="str">
        <x:f>IF(Leads!A613="","",Leads!A613)</x:f>
      </x:c>
      <x:c r="B613" s="12" t="str">
        <x:f>IF(Leads!F613="","",Leads!F613)</x:f>
      </x:c>
      <x:c r="C613" s="12" t="str">
        <x:f>IF(Leads!G613="","",Leads!G613)</x:f>
      </x:c>
      <x:c r="D613" s="12" t="str">
        <x:f>IF(Leads!O613="","",Leads!O613)</x:f>
      </x:c>
      <x:c r="E613" s="12" t="str">
        <x:f>IF(Leads!AV613="","",Leads!AV613)</x:f>
      </x:c>
      <x:c r="F613" s="12" t="str">
        <x:f>IF(Leads!AX613="","",Leads!AX613)</x:f>
      </x:c>
      <x:c r="G613" s="12" t="str">
        <x:f>IF(Leads!BC613="","",Leads!BC613)</x:f>
      </x:c>
      <x:c r="H613" s="12" t="str">
        <x:f>IF(Leads!BE613="","",Leads!BE613)</x:f>
      </x:c>
      <x:c r="I613" s="12" t="str">
        <x:f>IF(Leads!BG613="","",Leads!BG613)</x:f>
      </x:c>
      <x:c r="J613" s="12" t="str">
        <x:f>IF(Leads!BH613="","",Leads!BH613)</x:f>
      </x:c>
      <x:c r="K613" s="12" t="str">
        <x:f>IF(A613="","","مرحبًا "&amp;C613&amp;CHAR(10)&amp;CHAR(10)&amp;"شكرًا لإتمام تقييم DBD الخاص بعيادة "&amp;B613&amp;"."&amp;CHAR(10)&amp;"نتيجتكم الحالية: "&amp;E613&amp;"%."&amp;CHAR(10)&amp;"أولوية التحسين الأولى: "&amp;F613&amp;"."&amp;IF(J613&lt;&gt;"",CHAR(10)&amp;CHAR(10)&amp;"رابط التقرير: "&amp;J613,"")&amp;CHAR(10)&amp;CHAR(10)&amp;"إذا أحببت، يمكننا مساعدتك في فهم التقرير وتحديد أفضل خطوة تالية لعيادتكم.")</x:f>
      </x:c>
      <x:c r="L613" s="12" t="str">
        <x:f>IF(D613="","",HYPERLINK("https://wa.me/"&amp;REGEXREPLACE(D613,"[^\d]","")&amp;"?text="&amp;ENCODEURL(K613),"واتساب 1"))</x:f>
      </x:c>
      <x:c r="M613" s="12" t="str">
        <x:f>IF(A613="","","مرحبًا "&amp;C613&amp;CHAR(10)&amp;CHAR(10)&amp;"بناءً على نتيجة تقييم عيادة "&amp;B613&amp;"، فإن الترشيح الأقوى لكم الآن هو: "&amp;G613&amp;"."&amp;CHAR(10)&amp;"هذا الخيار يساعدكم في معالجة أكبر فجوة حالية بشكل عملي ومباشر."&amp;IF(J613&lt;&gt;"",CHAR(10)&amp;CHAR(10)&amp;"رابط التقرير: "&amp;J613,"")&amp;CHAR(10)&amp;CHAR(10)&amp;"إذا رغبت، يمكننا توضيح لماذا هذا الكورس هو الأنسب لكم الآن.")</x:f>
      </x:c>
      <x:c r="N613" s="12" t="str">
        <x:f>IF(D613="","",HYPERLINK("https://wa.me/"&amp;REGEXREPLACE(D613,"[^\d]","")&amp;"?text="&amp;ENCODEURL(M613),"واتساب 2"))</x:f>
      </x:c>
      <x:c r="O613" s="12" t="str">
        <x:f>IF(A613="","","مرحبًا "&amp;C613&amp;CHAR(10)&amp;CHAR(10)&amp;"إذا كانت التحديات لديكم تحتاج حلًا أشمل، فالبرنامج الكامل المناسب لكم هو: "&amp;H613&amp;"."&amp;IF(I613&lt;&gt;"",CHAR(10)&amp;"كما يمكنكم أيضًا حجز: "&amp;I613&amp;".","")&amp;IF(J613&lt;&gt;"",CHAR(10)&amp;CHAR(10)&amp;"رابط التقرير: "&amp;J613,"")&amp;CHAR(10)&amp;CHAR(10)&amp;"يسعدنا مساعدتكم في اختيار المسار الأنسب حسب وضع العيادة الحالي.")</x:f>
      </x:c>
      <x:c r="P613" s="12" t="str">
        <x:f>IF(D613="","",HYPERLINK("https://wa.me/"&amp;REGEXREPLACE(D613,"[^\d]","")&amp;"?text="&amp;ENCODEURL(O613),"واتساب 3"))</x:f>
      </x:c>
    </x:row>
    <x:row r="614" ht="15" hidden="0" customHeight="1">
      <x:c r="A614" s="12" t="str">
        <x:f>IF(Leads!A614="","",Leads!A614)</x:f>
      </x:c>
      <x:c r="B614" s="12" t="str">
        <x:f>IF(Leads!F614="","",Leads!F614)</x:f>
      </x:c>
      <x:c r="C614" s="12" t="str">
        <x:f>IF(Leads!G614="","",Leads!G614)</x:f>
      </x:c>
      <x:c r="D614" s="12" t="str">
        <x:f>IF(Leads!O614="","",Leads!O614)</x:f>
      </x:c>
      <x:c r="E614" s="12" t="str">
        <x:f>IF(Leads!AV614="","",Leads!AV614)</x:f>
      </x:c>
      <x:c r="F614" s="12" t="str">
        <x:f>IF(Leads!AX614="","",Leads!AX614)</x:f>
      </x:c>
      <x:c r="G614" s="12" t="str">
        <x:f>IF(Leads!BC614="","",Leads!BC614)</x:f>
      </x:c>
      <x:c r="H614" s="12" t="str">
        <x:f>IF(Leads!BE614="","",Leads!BE614)</x:f>
      </x:c>
      <x:c r="I614" s="12" t="str">
        <x:f>IF(Leads!BG614="","",Leads!BG614)</x:f>
      </x:c>
      <x:c r="J614" s="12" t="str">
        <x:f>IF(Leads!BH614="","",Leads!BH614)</x:f>
      </x:c>
      <x:c r="K614" s="12" t="str">
        <x:f>IF(A614="","","مرحبًا "&amp;C614&amp;CHAR(10)&amp;CHAR(10)&amp;"شكرًا لإتمام تقييم DBD الخاص بعيادة "&amp;B614&amp;"."&amp;CHAR(10)&amp;"نتيجتكم الحالية: "&amp;E614&amp;"%."&amp;CHAR(10)&amp;"أولوية التحسين الأولى: "&amp;F614&amp;"."&amp;IF(J614&lt;&gt;"",CHAR(10)&amp;CHAR(10)&amp;"رابط التقرير: "&amp;J614,"")&amp;CHAR(10)&amp;CHAR(10)&amp;"إذا أحببت، يمكننا مساعدتك في فهم التقرير وتحديد أفضل خطوة تالية لعيادتكم.")</x:f>
      </x:c>
      <x:c r="L614" s="12" t="str">
        <x:f>IF(D614="","",HYPERLINK("https://wa.me/"&amp;REGEXREPLACE(D614,"[^\d]","")&amp;"?text="&amp;ENCODEURL(K614),"واتساب 1"))</x:f>
      </x:c>
      <x:c r="M614" s="12" t="str">
        <x:f>IF(A614="","","مرحبًا "&amp;C614&amp;CHAR(10)&amp;CHAR(10)&amp;"بناءً على نتيجة تقييم عيادة "&amp;B614&amp;"، فإن الترشيح الأقوى لكم الآن هو: "&amp;G614&amp;"."&amp;CHAR(10)&amp;"هذا الخيار يساعدكم في معالجة أكبر فجوة حالية بشكل عملي ومباشر."&amp;IF(J614&lt;&gt;"",CHAR(10)&amp;CHAR(10)&amp;"رابط التقرير: "&amp;J614,"")&amp;CHAR(10)&amp;CHAR(10)&amp;"إذا رغبت، يمكننا توضيح لماذا هذا الكورس هو الأنسب لكم الآن.")</x:f>
      </x:c>
      <x:c r="N614" s="12" t="str">
        <x:f>IF(D614="","",HYPERLINK("https://wa.me/"&amp;REGEXREPLACE(D614,"[^\d]","")&amp;"?text="&amp;ENCODEURL(M614),"واتساب 2"))</x:f>
      </x:c>
      <x:c r="O614" s="12" t="str">
        <x:f>IF(A614="","","مرحبًا "&amp;C614&amp;CHAR(10)&amp;CHAR(10)&amp;"إذا كانت التحديات لديكم تحتاج حلًا أشمل، فالبرنامج الكامل المناسب لكم هو: "&amp;H614&amp;"."&amp;IF(I614&lt;&gt;"",CHAR(10)&amp;"كما يمكنكم أيضًا حجز: "&amp;I614&amp;".","")&amp;IF(J614&lt;&gt;"",CHAR(10)&amp;CHAR(10)&amp;"رابط التقرير: "&amp;J614,"")&amp;CHAR(10)&amp;CHAR(10)&amp;"يسعدنا مساعدتكم في اختيار المسار الأنسب حسب وضع العيادة الحالي.")</x:f>
      </x:c>
      <x:c r="P614" s="12" t="str">
        <x:f>IF(D614="","",HYPERLINK("https://wa.me/"&amp;REGEXREPLACE(D614,"[^\d]","")&amp;"?text="&amp;ENCODEURL(O614),"واتساب 3"))</x:f>
      </x:c>
    </x:row>
    <x:row r="615" ht="15" hidden="0" customHeight="1">
      <x:c r="A615" s="12" t="str">
        <x:f>IF(Leads!A615="","",Leads!A615)</x:f>
      </x:c>
      <x:c r="B615" s="12" t="str">
        <x:f>IF(Leads!F615="","",Leads!F615)</x:f>
      </x:c>
      <x:c r="C615" s="12" t="str">
        <x:f>IF(Leads!G615="","",Leads!G615)</x:f>
      </x:c>
      <x:c r="D615" s="12" t="str">
        <x:f>IF(Leads!O615="","",Leads!O615)</x:f>
      </x:c>
      <x:c r="E615" s="12" t="str">
        <x:f>IF(Leads!AV615="","",Leads!AV615)</x:f>
      </x:c>
      <x:c r="F615" s="12" t="str">
        <x:f>IF(Leads!AX615="","",Leads!AX615)</x:f>
      </x:c>
      <x:c r="G615" s="12" t="str">
        <x:f>IF(Leads!BC615="","",Leads!BC615)</x:f>
      </x:c>
      <x:c r="H615" s="12" t="str">
        <x:f>IF(Leads!BE615="","",Leads!BE615)</x:f>
      </x:c>
      <x:c r="I615" s="12" t="str">
        <x:f>IF(Leads!BG615="","",Leads!BG615)</x:f>
      </x:c>
      <x:c r="J615" s="12" t="str">
        <x:f>IF(Leads!BH615="","",Leads!BH615)</x:f>
      </x:c>
      <x:c r="K615" s="12" t="str">
        <x:f>IF(A615="","","مرحبًا "&amp;C615&amp;CHAR(10)&amp;CHAR(10)&amp;"شكرًا لإتمام تقييم DBD الخاص بعيادة "&amp;B615&amp;"."&amp;CHAR(10)&amp;"نتيجتكم الحالية: "&amp;E615&amp;"%."&amp;CHAR(10)&amp;"أولوية التحسين الأولى: "&amp;F615&amp;"."&amp;IF(J615&lt;&gt;"",CHAR(10)&amp;CHAR(10)&amp;"رابط التقرير: "&amp;J615,"")&amp;CHAR(10)&amp;CHAR(10)&amp;"إذا أحببت، يمكننا مساعدتك في فهم التقرير وتحديد أفضل خطوة تالية لعيادتكم.")</x:f>
      </x:c>
      <x:c r="L615" s="12" t="str">
        <x:f>IF(D615="","",HYPERLINK("https://wa.me/"&amp;REGEXREPLACE(D615,"[^\d]","")&amp;"?text="&amp;ENCODEURL(K615),"واتساب 1"))</x:f>
      </x:c>
      <x:c r="M615" s="12" t="str">
        <x:f>IF(A615="","","مرحبًا "&amp;C615&amp;CHAR(10)&amp;CHAR(10)&amp;"بناءً على نتيجة تقييم عيادة "&amp;B615&amp;"، فإن الترشيح الأقوى لكم الآن هو: "&amp;G615&amp;"."&amp;CHAR(10)&amp;"هذا الخيار يساعدكم في معالجة أكبر فجوة حالية بشكل عملي ومباشر."&amp;IF(J615&lt;&gt;"",CHAR(10)&amp;CHAR(10)&amp;"رابط التقرير: "&amp;J615,"")&amp;CHAR(10)&amp;CHAR(10)&amp;"إذا رغبت، يمكننا توضيح لماذا هذا الكورس هو الأنسب لكم الآن.")</x:f>
      </x:c>
      <x:c r="N615" s="12" t="str">
        <x:f>IF(D615="","",HYPERLINK("https://wa.me/"&amp;REGEXREPLACE(D615,"[^\d]","")&amp;"?text="&amp;ENCODEURL(M615),"واتساب 2"))</x:f>
      </x:c>
      <x:c r="O615" s="12" t="str">
        <x:f>IF(A615="","","مرحبًا "&amp;C615&amp;CHAR(10)&amp;CHAR(10)&amp;"إذا كانت التحديات لديكم تحتاج حلًا أشمل، فالبرنامج الكامل المناسب لكم هو: "&amp;H615&amp;"."&amp;IF(I615&lt;&gt;"",CHAR(10)&amp;"كما يمكنكم أيضًا حجز: "&amp;I615&amp;".","")&amp;IF(J615&lt;&gt;"",CHAR(10)&amp;CHAR(10)&amp;"رابط التقرير: "&amp;J615,"")&amp;CHAR(10)&amp;CHAR(10)&amp;"يسعدنا مساعدتكم في اختيار المسار الأنسب حسب وضع العيادة الحالي.")</x:f>
      </x:c>
      <x:c r="P615" s="12" t="str">
        <x:f>IF(D615="","",HYPERLINK("https://wa.me/"&amp;REGEXREPLACE(D615,"[^\d]","")&amp;"?text="&amp;ENCODEURL(O615),"واتساب 3"))</x:f>
      </x:c>
    </x:row>
    <x:row r="616" ht="15" hidden="0" customHeight="1">
      <x:c r="A616" s="12" t="str">
        <x:f>IF(Leads!A616="","",Leads!A616)</x:f>
      </x:c>
      <x:c r="B616" s="12" t="str">
        <x:f>IF(Leads!F616="","",Leads!F616)</x:f>
      </x:c>
      <x:c r="C616" s="12" t="str">
        <x:f>IF(Leads!G616="","",Leads!G616)</x:f>
      </x:c>
      <x:c r="D616" s="12" t="str">
        <x:f>IF(Leads!O616="","",Leads!O616)</x:f>
      </x:c>
      <x:c r="E616" s="12" t="str">
        <x:f>IF(Leads!AV616="","",Leads!AV616)</x:f>
      </x:c>
      <x:c r="F616" s="12" t="str">
        <x:f>IF(Leads!AX616="","",Leads!AX616)</x:f>
      </x:c>
      <x:c r="G616" s="12" t="str">
        <x:f>IF(Leads!BC616="","",Leads!BC616)</x:f>
      </x:c>
      <x:c r="H616" s="12" t="str">
        <x:f>IF(Leads!BE616="","",Leads!BE616)</x:f>
      </x:c>
      <x:c r="I616" s="12" t="str">
        <x:f>IF(Leads!BG616="","",Leads!BG616)</x:f>
      </x:c>
      <x:c r="J616" s="12" t="str">
        <x:f>IF(Leads!BH616="","",Leads!BH616)</x:f>
      </x:c>
      <x:c r="K616" s="12" t="str">
        <x:f>IF(A616="","","مرحبًا "&amp;C616&amp;CHAR(10)&amp;CHAR(10)&amp;"شكرًا لإتمام تقييم DBD الخاص بعيادة "&amp;B616&amp;"."&amp;CHAR(10)&amp;"نتيجتكم الحالية: "&amp;E616&amp;"%."&amp;CHAR(10)&amp;"أولوية التحسين الأولى: "&amp;F616&amp;"."&amp;IF(J616&lt;&gt;"",CHAR(10)&amp;CHAR(10)&amp;"رابط التقرير: "&amp;J616,"")&amp;CHAR(10)&amp;CHAR(10)&amp;"إذا أحببت، يمكننا مساعدتك في فهم التقرير وتحديد أفضل خطوة تالية لعيادتكم.")</x:f>
      </x:c>
      <x:c r="L616" s="12" t="str">
        <x:f>IF(D616="","",HYPERLINK("https://wa.me/"&amp;REGEXREPLACE(D616,"[^\d]","")&amp;"?text="&amp;ENCODEURL(K616),"واتساب 1"))</x:f>
      </x:c>
      <x:c r="M616" s="12" t="str">
        <x:f>IF(A616="","","مرحبًا "&amp;C616&amp;CHAR(10)&amp;CHAR(10)&amp;"بناءً على نتيجة تقييم عيادة "&amp;B616&amp;"، فإن الترشيح الأقوى لكم الآن هو: "&amp;G616&amp;"."&amp;CHAR(10)&amp;"هذا الخيار يساعدكم في معالجة أكبر فجوة حالية بشكل عملي ومباشر."&amp;IF(J616&lt;&gt;"",CHAR(10)&amp;CHAR(10)&amp;"رابط التقرير: "&amp;J616,"")&amp;CHAR(10)&amp;CHAR(10)&amp;"إذا رغبت، يمكننا توضيح لماذا هذا الكورس هو الأنسب لكم الآن.")</x:f>
      </x:c>
      <x:c r="N616" s="12" t="str">
        <x:f>IF(D616="","",HYPERLINK("https://wa.me/"&amp;REGEXREPLACE(D616,"[^\d]","")&amp;"?text="&amp;ENCODEURL(M616),"واتساب 2"))</x:f>
      </x:c>
      <x:c r="O616" s="12" t="str">
        <x:f>IF(A616="","","مرحبًا "&amp;C616&amp;CHAR(10)&amp;CHAR(10)&amp;"إذا كانت التحديات لديكم تحتاج حلًا أشمل، فالبرنامج الكامل المناسب لكم هو: "&amp;H616&amp;"."&amp;IF(I616&lt;&gt;"",CHAR(10)&amp;"كما يمكنكم أيضًا حجز: "&amp;I616&amp;".","")&amp;IF(J616&lt;&gt;"",CHAR(10)&amp;CHAR(10)&amp;"رابط التقرير: "&amp;J616,"")&amp;CHAR(10)&amp;CHAR(10)&amp;"يسعدنا مساعدتكم في اختيار المسار الأنسب حسب وضع العيادة الحالي.")</x:f>
      </x:c>
      <x:c r="P616" s="12" t="str">
        <x:f>IF(D616="","",HYPERLINK("https://wa.me/"&amp;REGEXREPLACE(D616,"[^\d]","")&amp;"?text="&amp;ENCODEURL(O616),"واتساب 3"))</x:f>
      </x:c>
    </x:row>
    <x:row r="617" ht="15" hidden="0" customHeight="1">
      <x:c r="A617" s="12" t="str">
        <x:f>IF(Leads!A617="","",Leads!A617)</x:f>
      </x:c>
      <x:c r="B617" s="12" t="str">
        <x:f>IF(Leads!F617="","",Leads!F617)</x:f>
      </x:c>
      <x:c r="C617" s="12" t="str">
        <x:f>IF(Leads!G617="","",Leads!G617)</x:f>
      </x:c>
      <x:c r="D617" s="12" t="str">
        <x:f>IF(Leads!O617="","",Leads!O617)</x:f>
      </x:c>
      <x:c r="E617" s="12" t="str">
        <x:f>IF(Leads!AV617="","",Leads!AV617)</x:f>
      </x:c>
      <x:c r="F617" s="12" t="str">
        <x:f>IF(Leads!AX617="","",Leads!AX617)</x:f>
      </x:c>
      <x:c r="G617" s="12" t="str">
        <x:f>IF(Leads!BC617="","",Leads!BC617)</x:f>
      </x:c>
      <x:c r="H617" s="12" t="str">
        <x:f>IF(Leads!BE617="","",Leads!BE617)</x:f>
      </x:c>
      <x:c r="I617" s="12" t="str">
        <x:f>IF(Leads!BG617="","",Leads!BG617)</x:f>
      </x:c>
      <x:c r="J617" s="12" t="str">
        <x:f>IF(Leads!BH617="","",Leads!BH617)</x:f>
      </x:c>
      <x:c r="K617" s="12" t="str">
        <x:f>IF(A617="","","مرحبًا "&amp;C617&amp;CHAR(10)&amp;CHAR(10)&amp;"شكرًا لإتمام تقييم DBD الخاص بعيادة "&amp;B617&amp;"."&amp;CHAR(10)&amp;"نتيجتكم الحالية: "&amp;E617&amp;"%."&amp;CHAR(10)&amp;"أولوية التحسين الأولى: "&amp;F617&amp;"."&amp;IF(J617&lt;&gt;"",CHAR(10)&amp;CHAR(10)&amp;"رابط التقرير: "&amp;J617,"")&amp;CHAR(10)&amp;CHAR(10)&amp;"إذا أحببت، يمكننا مساعدتك في فهم التقرير وتحديد أفضل خطوة تالية لعيادتكم.")</x:f>
      </x:c>
      <x:c r="L617" s="12" t="str">
        <x:f>IF(D617="","",HYPERLINK("https://wa.me/"&amp;REGEXREPLACE(D617,"[^\d]","")&amp;"?text="&amp;ENCODEURL(K617),"واتساب 1"))</x:f>
      </x:c>
      <x:c r="M617" s="12" t="str">
        <x:f>IF(A617="","","مرحبًا "&amp;C617&amp;CHAR(10)&amp;CHAR(10)&amp;"بناءً على نتيجة تقييم عيادة "&amp;B617&amp;"، فإن الترشيح الأقوى لكم الآن هو: "&amp;G617&amp;"."&amp;CHAR(10)&amp;"هذا الخيار يساعدكم في معالجة أكبر فجوة حالية بشكل عملي ومباشر."&amp;IF(J617&lt;&gt;"",CHAR(10)&amp;CHAR(10)&amp;"رابط التقرير: "&amp;J617,"")&amp;CHAR(10)&amp;CHAR(10)&amp;"إذا رغبت، يمكننا توضيح لماذا هذا الكورس هو الأنسب لكم الآن.")</x:f>
      </x:c>
      <x:c r="N617" s="12" t="str">
        <x:f>IF(D617="","",HYPERLINK("https://wa.me/"&amp;REGEXREPLACE(D617,"[^\d]","")&amp;"?text="&amp;ENCODEURL(M617),"واتساب 2"))</x:f>
      </x:c>
      <x:c r="O617" s="12" t="str">
        <x:f>IF(A617="","","مرحبًا "&amp;C617&amp;CHAR(10)&amp;CHAR(10)&amp;"إذا كانت التحديات لديكم تحتاج حلًا أشمل، فالبرنامج الكامل المناسب لكم هو: "&amp;H617&amp;"."&amp;IF(I617&lt;&gt;"",CHAR(10)&amp;"كما يمكنكم أيضًا حجز: "&amp;I617&amp;".","")&amp;IF(J617&lt;&gt;"",CHAR(10)&amp;CHAR(10)&amp;"رابط التقرير: "&amp;J617,"")&amp;CHAR(10)&amp;CHAR(10)&amp;"يسعدنا مساعدتكم في اختيار المسار الأنسب حسب وضع العيادة الحالي.")</x:f>
      </x:c>
      <x:c r="P617" s="12" t="str">
        <x:f>IF(D617="","",HYPERLINK("https://wa.me/"&amp;REGEXREPLACE(D617,"[^\d]","")&amp;"?text="&amp;ENCODEURL(O617),"واتساب 3"))</x:f>
      </x:c>
    </x:row>
    <x:row r="618" ht="15" hidden="0" customHeight="1">
      <x:c r="A618" s="12" t="str">
        <x:f>IF(Leads!A618="","",Leads!A618)</x:f>
      </x:c>
      <x:c r="B618" s="12" t="str">
        <x:f>IF(Leads!F618="","",Leads!F618)</x:f>
      </x:c>
      <x:c r="C618" s="12" t="str">
        <x:f>IF(Leads!G618="","",Leads!G618)</x:f>
      </x:c>
      <x:c r="D618" s="12" t="str">
        <x:f>IF(Leads!O618="","",Leads!O618)</x:f>
      </x:c>
      <x:c r="E618" s="12" t="str">
        <x:f>IF(Leads!AV618="","",Leads!AV618)</x:f>
      </x:c>
      <x:c r="F618" s="12" t="str">
        <x:f>IF(Leads!AX618="","",Leads!AX618)</x:f>
      </x:c>
      <x:c r="G618" s="12" t="str">
        <x:f>IF(Leads!BC618="","",Leads!BC618)</x:f>
      </x:c>
      <x:c r="H618" s="12" t="str">
        <x:f>IF(Leads!BE618="","",Leads!BE618)</x:f>
      </x:c>
      <x:c r="I618" s="12" t="str">
        <x:f>IF(Leads!BG618="","",Leads!BG618)</x:f>
      </x:c>
      <x:c r="J618" s="12" t="str">
        <x:f>IF(Leads!BH618="","",Leads!BH618)</x:f>
      </x:c>
      <x:c r="K618" s="12" t="str">
        <x:f>IF(A618="","","مرحبًا "&amp;C618&amp;CHAR(10)&amp;CHAR(10)&amp;"شكرًا لإتمام تقييم DBD الخاص بعيادة "&amp;B618&amp;"."&amp;CHAR(10)&amp;"نتيجتكم الحالية: "&amp;E618&amp;"%."&amp;CHAR(10)&amp;"أولوية التحسين الأولى: "&amp;F618&amp;"."&amp;IF(J618&lt;&gt;"",CHAR(10)&amp;CHAR(10)&amp;"رابط التقرير: "&amp;J618,"")&amp;CHAR(10)&amp;CHAR(10)&amp;"إذا أحببت، يمكننا مساعدتك في فهم التقرير وتحديد أفضل خطوة تالية لعيادتكم.")</x:f>
      </x:c>
      <x:c r="L618" s="12" t="str">
        <x:f>IF(D618="","",HYPERLINK("https://wa.me/"&amp;REGEXREPLACE(D618,"[^\d]","")&amp;"?text="&amp;ENCODEURL(K618),"واتساب 1"))</x:f>
      </x:c>
      <x:c r="M618" s="12" t="str">
        <x:f>IF(A618="","","مرحبًا "&amp;C618&amp;CHAR(10)&amp;CHAR(10)&amp;"بناءً على نتيجة تقييم عيادة "&amp;B618&amp;"، فإن الترشيح الأقوى لكم الآن هو: "&amp;G618&amp;"."&amp;CHAR(10)&amp;"هذا الخيار يساعدكم في معالجة أكبر فجوة حالية بشكل عملي ومباشر."&amp;IF(J618&lt;&gt;"",CHAR(10)&amp;CHAR(10)&amp;"رابط التقرير: "&amp;J618,"")&amp;CHAR(10)&amp;CHAR(10)&amp;"إذا رغبت، يمكننا توضيح لماذا هذا الكورس هو الأنسب لكم الآن.")</x:f>
      </x:c>
      <x:c r="N618" s="12" t="str">
        <x:f>IF(D618="","",HYPERLINK("https://wa.me/"&amp;REGEXREPLACE(D618,"[^\d]","")&amp;"?text="&amp;ENCODEURL(M618),"واتساب 2"))</x:f>
      </x:c>
      <x:c r="O618" s="12" t="str">
        <x:f>IF(A618="","","مرحبًا "&amp;C618&amp;CHAR(10)&amp;CHAR(10)&amp;"إذا كانت التحديات لديكم تحتاج حلًا أشمل، فالبرنامج الكامل المناسب لكم هو: "&amp;H618&amp;"."&amp;IF(I618&lt;&gt;"",CHAR(10)&amp;"كما يمكنكم أيضًا حجز: "&amp;I618&amp;".","")&amp;IF(J618&lt;&gt;"",CHAR(10)&amp;CHAR(10)&amp;"رابط التقرير: "&amp;J618,"")&amp;CHAR(10)&amp;CHAR(10)&amp;"يسعدنا مساعدتكم في اختيار المسار الأنسب حسب وضع العيادة الحالي.")</x:f>
      </x:c>
      <x:c r="P618" s="12" t="str">
        <x:f>IF(D618="","",HYPERLINK("https://wa.me/"&amp;REGEXREPLACE(D618,"[^\d]","")&amp;"?text="&amp;ENCODEURL(O618),"واتساب 3"))</x:f>
      </x:c>
    </x:row>
    <x:row r="619" ht="15" hidden="0" customHeight="1">
      <x:c r="A619" s="12" t="str">
        <x:f>IF(Leads!A619="","",Leads!A619)</x:f>
      </x:c>
      <x:c r="B619" s="12" t="str">
        <x:f>IF(Leads!F619="","",Leads!F619)</x:f>
      </x:c>
      <x:c r="C619" s="12" t="str">
        <x:f>IF(Leads!G619="","",Leads!G619)</x:f>
      </x:c>
      <x:c r="D619" s="12" t="str">
        <x:f>IF(Leads!O619="","",Leads!O619)</x:f>
      </x:c>
      <x:c r="E619" s="12" t="str">
        <x:f>IF(Leads!AV619="","",Leads!AV619)</x:f>
      </x:c>
      <x:c r="F619" s="12" t="str">
        <x:f>IF(Leads!AX619="","",Leads!AX619)</x:f>
      </x:c>
      <x:c r="G619" s="12" t="str">
        <x:f>IF(Leads!BC619="","",Leads!BC619)</x:f>
      </x:c>
      <x:c r="H619" s="12" t="str">
        <x:f>IF(Leads!BE619="","",Leads!BE619)</x:f>
      </x:c>
      <x:c r="I619" s="12" t="str">
        <x:f>IF(Leads!BG619="","",Leads!BG619)</x:f>
      </x:c>
      <x:c r="J619" s="12" t="str">
        <x:f>IF(Leads!BH619="","",Leads!BH619)</x:f>
      </x:c>
      <x:c r="K619" s="12" t="str">
        <x:f>IF(A619="","","مرحبًا "&amp;C619&amp;CHAR(10)&amp;CHAR(10)&amp;"شكرًا لإتمام تقييم DBD الخاص بعيادة "&amp;B619&amp;"."&amp;CHAR(10)&amp;"نتيجتكم الحالية: "&amp;E619&amp;"%."&amp;CHAR(10)&amp;"أولوية التحسين الأولى: "&amp;F619&amp;"."&amp;IF(J619&lt;&gt;"",CHAR(10)&amp;CHAR(10)&amp;"رابط التقرير: "&amp;J619,"")&amp;CHAR(10)&amp;CHAR(10)&amp;"إذا أحببت، يمكننا مساعدتك في فهم التقرير وتحديد أفضل خطوة تالية لعيادتكم.")</x:f>
      </x:c>
      <x:c r="L619" s="12" t="str">
        <x:f>IF(D619="","",HYPERLINK("https://wa.me/"&amp;REGEXREPLACE(D619,"[^\d]","")&amp;"?text="&amp;ENCODEURL(K619),"واتساب 1"))</x:f>
      </x:c>
      <x:c r="M619" s="12" t="str">
        <x:f>IF(A619="","","مرحبًا "&amp;C619&amp;CHAR(10)&amp;CHAR(10)&amp;"بناءً على نتيجة تقييم عيادة "&amp;B619&amp;"، فإن الترشيح الأقوى لكم الآن هو: "&amp;G619&amp;"."&amp;CHAR(10)&amp;"هذا الخيار يساعدكم في معالجة أكبر فجوة حالية بشكل عملي ومباشر."&amp;IF(J619&lt;&gt;"",CHAR(10)&amp;CHAR(10)&amp;"رابط التقرير: "&amp;J619,"")&amp;CHAR(10)&amp;CHAR(10)&amp;"إذا رغبت، يمكننا توضيح لماذا هذا الكورس هو الأنسب لكم الآن.")</x:f>
      </x:c>
      <x:c r="N619" s="12" t="str">
        <x:f>IF(D619="","",HYPERLINK("https://wa.me/"&amp;REGEXREPLACE(D619,"[^\d]","")&amp;"?text="&amp;ENCODEURL(M619),"واتساب 2"))</x:f>
      </x:c>
      <x:c r="O619" s="12" t="str">
        <x:f>IF(A619="","","مرحبًا "&amp;C619&amp;CHAR(10)&amp;CHAR(10)&amp;"إذا كانت التحديات لديكم تحتاج حلًا أشمل، فالبرنامج الكامل المناسب لكم هو: "&amp;H619&amp;"."&amp;IF(I619&lt;&gt;"",CHAR(10)&amp;"كما يمكنكم أيضًا حجز: "&amp;I619&amp;".","")&amp;IF(J619&lt;&gt;"",CHAR(10)&amp;CHAR(10)&amp;"رابط التقرير: "&amp;J619,"")&amp;CHAR(10)&amp;CHAR(10)&amp;"يسعدنا مساعدتكم في اختيار المسار الأنسب حسب وضع العيادة الحالي.")</x:f>
      </x:c>
      <x:c r="P619" s="12" t="str">
        <x:f>IF(D619="","",HYPERLINK("https://wa.me/"&amp;REGEXREPLACE(D619,"[^\d]","")&amp;"?text="&amp;ENCODEURL(O619),"واتساب 3"))</x:f>
      </x:c>
    </x:row>
    <x:row r="620" ht="15" hidden="0" customHeight="1">
      <x:c r="A620" s="12" t="str">
        <x:f>IF(Leads!A620="","",Leads!A620)</x:f>
      </x:c>
      <x:c r="B620" s="12" t="str">
        <x:f>IF(Leads!F620="","",Leads!F620)</x:f>
      </x:c>
      <x:c r="C620" s="12" t="str">
        <x:f>IF(Leads!G620="","",Leads!G620)</x:f>
      </x:c>
      <x:c r="D620" s="12" t="str">
        <x:f>IF(Leads!O620="","",Leads!O620)</x:f>
      </x:c>
      <x:c r="E620" s="12" t="str">
        <x:f>IF(Leads!AV620="","",Leads!AV620)</x:f>
      </x:c>
      <x:c r="F620" s="12" t="str">
        <x:f>IF(Leads!AX620="","",Leads!AX620)</x:f>
      </x:c>
      <x:c r="G620" s="12" t="str">
        <x:f>IF(Leads!BC620="","",Leads!BC620)</x:f>
      </x:c>
      <x:c r="H620" s="12" t="str">
        <x:f>IF(Leads!BE620="","",Leads!BE620)</x:f>
      </x:c>
      <x:c r="I620" s="12" t="str">
        <x:f>IF(Leads!BG620="","",Leads!BG620)</x:f>
      </x:c>
      <x:c r="J620" s="12" t="str">
        <x:f>IF(Leads!BH620="","",Leads!BH620)</x:f>
      </x:c>
      <x:c r="K620" s="12" t="str">
        <x:f>IF(A620="","","مرحبًا "&amp;C620&amp;CHAR(10)&amp;CHAR(10)&amp;"شكرًا لإتمام تقييم DBD الخاص بعيادة "&amp;B620&amp;"."&amp;CHAR(10)&amp;"نتيجتكم الحالية: "&amp;E620&amp;"%."&amp;CHAR(10)&amp;"أولوية التحسين الأولى: "&amp;F620&amp;"."&amp;IF(J620&lt;&gt;"",CHAR(10)&amp;CHAR(10)&amp;"رابط التقرير: "&amp;J620,"")&amp;CHAR(10)&amp;CHAR(10)&amp;"إذا أحببت، يمكننا مساعدتك في فهم التقرير وتحديد أفضل خطوة تالية لعيادتكم.")</x:f>
      </x:c>
      <x:c r="L620" s="12" t="str">
        <x:f>IF(D620="","",HYPERLINK("https://wa.me/"&amp;REGEXREPLACE(D620,"[^\d]","")&amp;"?text="&amp;ENCODEURL(K620),"واتساب 1"))</x:f>
      </x:c>
      <x:c r="M620" s="12" t="str">
        <x:f>IF(A620="","","مرحبًا "&amp;C620&amp;CHAR(10)&amp;CHAR(10)&amp;"بناءً على نتيجة تقييم عيادة "&amp;B620&amp;"، فإن الترشيح الأقوى لكم الآن هو: "&amp;G620&amp;"."&amp;CHAR(10)&amp;"هذا الخيار يساعدكم في معالجة أكبر فجوة حالية بشكل عملي ومباشر."&amp;IF(J620&lt;&gt;"",CHAR(10)&amp;CHAR(10)&amp;"رابط التقرير: "&amp;J620,"")&amp;CHAR(10)&amp;CHAR(10)&amp;"إذا رغبت، يمكننا توضيح لماذا هذا الكورس هو الأنسب لكم الآن.")</x:f>
      </x:c>
      <x:c r="N620" s="12" t="str">
        <x:f>IF(D620="","",HYPERLINK("https://wa.me/"&amp;REGEXREPLACE(D620,"[^\d]","")&amp;"?text="&amp;ENCODEURL(M620),"واتساب 2"))</x:f>
      </x:c>
      <x:c r="O620" s="12" t="str">
        <x:f>IF(A620="","","مرحبًا "&amp;C620&amp;CHAR(10)&amp;CHAR(10)&amp;"إذا كانت التحديات لديكم تحتاج حلًا أشمل، فالبرنامج الكامل المناسب لكم هو: "&amp;H620&amp;"."&amp;IF(I620&lt;&gt;"",CHAR(10)&amp;"كما يمكنكم أيضًا حجز: "&amp;I620&amp;".","")&amp;IF(J620&lt;&gt;"",CHAR(10)&amp;CHAR(10)&amp;"رابط التقرير: "&amp;J620,"")&amp;CHAR(10)&amp;CHAR(10)&amp;"يسعدنا مساعدتكم في اختيار المسار الأنسب حسب وضع العيادة الحالي.")</x:f>
      </x:c>
      <x:c r="P620" s="12" t="str">
        <x:f>IF(D620="","",HYPERLINK("https://wa.me/"&amp;REGEXREPLACE(D620,"[^\d]","")&amp;"?text="&amp;ENCODEURL(O620),"واتساب 3"))</x:f>
      </x:c>
    </x:row>
    <x:row r="621" ht="15" hidden="0" customHeight="1">
      <x:c r="A621" s="12" t="str">
        <x:f>IF(Leads!A621="","",Leads!A621)</x:f>
      </x:c>
      <x:c r="B621" s="12" t="str">
        <x:f>IF(Leads!F621="","",Leads!F621)</x:f>
      </x:c>
      <x:c r="C621" s="12" t="str">
        <x:f>IF(Leads!G621="","",Leads!G621)</x:f>
      </x:c>
      <x:c r="D621" s="12" t="str">
        <x:f>IF(Leads!O621="","",Leads!O621)</x:f>
      </x:c>
      <x:c r="E621" s="12" t="str">
        <x:f>IF(Leads!AV621="","",Leads!AV621)</x:f>
      </x:c>
      <x:c r="F621" s="12" t="str">
        <x:f>IF(Leads!AX621="","",Leads!AX621)</x:f>
      </x:c>
      <x:c r="G621" s="12" t="str">
        <x:f>IF(Leads!BC621="","",Leads!BC621)</x:f>
      </x:c>
      <x:c r="H621" s="12" t="str">
        <x:f>IF(Leads!BE621="","",Leads!BE621)</x:f>
      </x:c>
      <x:c r="I621" s="12" t="str">
        <x:f>IF(Leads!BG621="","",Leads!BG621)</x:f>
      </x:c>
      <x:c r="J621" s="12" t="str">
        <x:f>IF(Leads!BH621="","",Leads!BH621)</x:f>
      </x:c>
      <x:c r="K621" s="12" t="str">
        <x:f>IF(A621="","","مرحبًا "&amp;C621&amp;CHAR(10)&amp;CHAR(10)&amp;"شكرًا لإتمام تقييم DBD الخاص بعيادة "&amp;B621&amp;"."&amp;CHAR(10)&amp;"نتيجتكم الحالية: "&amp;E621&amp;"%."&amp;CHAR(10)&amp;"أولوية التحسين الأولى: "&amp;F621&amp;"."&amp;IF(J621&lt;&gt;"",CHAR(10)&amp;CHAR(10)&amp;"رابط التقرير: "&amp;J621,"")&amp;CHAR(10)&amp;CHAR(10)&amp;"إذا أحببت، يمكننا مساعدتك في فهم التقرير وتحديد أفضل خطوة تالية لعيادتكم.")</x:f>
      </x:c>
      <x:c r="L621" s="12" t="str">
        <x:f>IF(D621="","",HYPERLINK("https://wa.me/"&amp;REGEXREPLACE(D621,"[^\d]","")&amp;"?text="&amp;ENCODEURL(K621),"واتساب 1"))</x:f>
      </x:c>
      <x:c r="M621" s="12" t="str">
        <x:f>IF(A621="","","مرحبًا "&amp;C621&amp;CHAR(10)&amp;CHAR(10)&amp;"بناءً على نتيجة تقييم عيادة "&amp;B621&amp;"، فإن الترشيح الأقوى لكم الآن هو: "&amp;G621&amp;"."&amp;CHAR(10)&amp;"هذا الخيار يساعدكم في معالجة أكبر فجوة حالية بشكل عملي ومباشر."&amp;IF(J621&lt;&gt;"",CHAR(10)&amp;CHAR(10)&amp;"رابط التقرير: "&amp;J621,"")&amp;CHAR(10)&amp;CHAR(10)&amp;"إذا رغبت، يمكننا توضيح لماذا هذا الكورس هو الأنسب لكم الآن.")</x:f>
      </x:c>
      <x:c r="N621" s="12" t="str">
        <x:f>IF(D621="","",HYPERLINK("https://wa.me/"&amp;REGEXREPLACE(D621,"[^\d]","")&amp;"?text="&amp;ENCODEURL(M621),"واتساب 2"))</x:f>
      </x:c>
      <x:c r="O621" s="12" t="str">
        <x:f>IF(A621="","","مرحبًا "&amp;C621&amp;CHAR(10)&amp;CHAR(10)&amp;"إذا كانت التحديات لديكم تحتاج حلًا أشمل، فالبرنامج الكامل المناسب لكم هو: "&amp;H621&amp;"."&amp;IF(I621&lt;&gt;"",CHAR(10)&amp;"كما يمكنكم أيضًا حجز: "&amp;I621&amp;".","")&amp;IF(J621&lt;&gt;"",CHAR(10)&amp;CHAR(10)&amp;"رابط التقرير: "&amp;J621,"")&amp;CHAR(10)&amp;CHAR(10)&amp;"يسعدنا مساعدتكم في اختيار المسار الأنسب حسب وضع العيادة الحالي.")</x:f>
      </x:c>
      <x:c r="P621" s="12" t="str">
        <x:f>IF(D621="","",HYPERLINK("https://wa.me/"&amp;REGEXREPLACE(D621,"[^\d]","")&amp;"?text="&amp;ENCODEURL(O621),"واتساب 3"))</x:f>
      </x:c>
    </x:row>
    <x:row r="622" ht="15" hidden="0" customHeight="1">
      <x:c r="A622" s="12" t="str">
        <x:f>IF(Leads!A622="","",Leads!A622)</x:f>
      </x:c>
      <x:c r="B622" s="12" t="str">
        <x:f>IF(Leads!F622="","",Leads!F622)</x:f>
      </x:c>
      <x:c r="C622" s="12" t="str">
        <x:f>IF(Leads!G622="","",Leads!G622)</x:f>
      </x:c>
      <x:c r="D622" s="12" t="str">
        <x:f>IF(Leads!O622="","",Leads!O622)</x:f>
      </x:c>
      <x:c r="E622" s="12" t="str">
        <x:f>IF(Leads!AV622="","",Leads!AV622)</x:f>
      </x:c>
      <x:c r="F622" s="12" t="str">
        <x:f>IF(Leads!AX622="","",Leads!AX622)</x:f>
      </x:c>
      <x:c r="G622" s="12" t="str">
        <x:f>IF(Leads!BC622="","",Leads!BC622)</x:f>
      </x:c>
      <x:c r="H622" s="12" t="str">
        <x:f>IF(Leads!BE622="","",Leads!BE622)</x:f>
      </x:c>
      <x:c r="I622" s="12" t="str">
        <x:f>IF(Leads!BG622="","",Leads!BG622)</x:f>
      </x:c>
      <x:c r="J622" s="12" t="str">
        <x:f>IF(Leads!BH622="","",Leads!BH622)</x:f>
      </x:c>
      <x:c r="K622" s="12" t="str">
        <x:f>IF(A622="","","مرحبًا "&amp;C622&amp;CHAR(10)&amp;CHAR(10)&amp;"شكرًا لإتمام تقييم DBD الخاص بعيادة "&amp;B622&amp;"."&amp;CHAR(10)&amp;"نتيجتكم الحالية: "&amp;E622&amp;"%."&amp;CHAR(10)&amp;"أولوية التحسين الأولى: "&amp;F622&amp;"."&amp;IF(J622&lt;&gt;"",CHAR(10)&amp;CHAR(10)&amp;"رابط التقرير: "&amp;J622,"")&amp;CHAR(10)&amp;CHAR(10)&amp;"إذا أحببت، يمكننا مساعدتك في فهم التقرير وتحديد أفضل خطوة تالية لعيادتكم.")</x:f>
      </x:c>
      <x:c r="L622" s="12" t="str">
        <x:f>IF(D622="","",HYPERLINK("https://wa.me/"&amp;REGEXREPLACE(D622,"[^\d]","")&amp;"?text="&amp;ENCODEURL(K622),"واتساب 1"))</x:f>
      </x:c>
      <x:c r="M622" s="12" t="str">
        <x:f>IF(A622="","","مرحبًا "&amp;C622&amp;CHAR(10)&amp;CHAR(10)&amp;"بناءً على نتيجة تقييم عيادة "&amp;B622&amp;"، فإن الترشيح الأقوى لكم الآن هو: "&amp;G622&amp;"."&amp;CHAR(10)&amp;"هذا الخيار يساعدكم في معالجة أكبر فجوة حالية بشكل عملي ومباشر."&amp;IF(J622&lt;&gt;"",CHAR(10)&amp;CHAR(10)&amp;"رابط التقرير: "&amp;J622,"")&amp;CHAR(10)&amp;CHAR(10)&amp;"إذا رغبت، يمكننا توضيح لماذا هذا الكورس هو الأنسب لكم الآن.")</x:f>
      </x:c>
      <x:c r="N622" s="12" t="str">
        <x:f>IF(D622="","",HYPERLINK("https://wa.me/"&amp;REGEXREPLACE(D622,"[^\d]","")&amp;"?text="&amp;ENCODEURL(M622),"واتساب 2"))</x:f>
      </x:c>
      <x:c r="O622" s="12" t="str">
        <x:f>IF(A622="","","مرحبًا "&amp;C622&amp;CHAR(10)&amp;CHAR(10)&amp;"إذا كانت التحديات لديكم تحتاج حلًا أشمل، فالبرنامج الكامل المناسب لكم هو: "&amp;H622&amp;"."&amp;IF(I622&lt;&gt;"",CHAR(10)&amp;"كما يمكنكم أيضًا حجز: "&amp;I622&amp;".","")&amp;IF(J622&lt;&gt;"",CHAR(10)&amp;CHAR(10)&amp;"رابط التقرير: "&amp;J622,"")&amp;CHAR(10)&amp;CHAR(10)&amp;"يسعدنا مساعدتكم في اختيار المسار الأنسب حسب وضع العيادة الحالي.")</x:f>
      </x:c>
      <x:c r="P622" s="12" t="str">
        <x:f>IF(D622="","",HYPERLINK("https://wa.me/"&amp;REGEXREPLACE(D622,"[^\d]","")&amp;"?text="&amp;ENCODEURL(O622),"واتساب 3"))</x:f>
      </x:c>
    </x:row>
    <x:row r="623" ht="15" hidden="0" customHeight="1">
      <x:c r="A623" s="12" t="str">
        <x:f>IF(Leads!A623="","",Leads!A623)</x:f>
      </x:c>
      <x:c r="B623" s="12" t="str">
        <x:f>IF(Leads!F623="","",Leads!F623)</x:f>
      </x:c>
      <x:c r="C623" s="12" t="str">
        <x:f>IF(Leads!G623="","",Leads!G623)</x:f>
      </x:c>
      <x:c r="D623" s="12" t="str">
        <x:f>IF(Leads!O623="","",Leads!O623)</x:f>
      </x:c>
      <x:c r="E623" s="12" t="str">
        <x:f>IF(Leads!AV623="","",Leads!AV623)</x:f>
      </x:c>
      <x:c r="F623" s="12" t="str">
        <x:f>IF(Leads!AX623="","",Leads!AX623)</x:f>
      </x:c>
      <x:c r="G623" s="12" t="str">
        <x:f>IF(Leads!BC623="","",Leads!BC623)</x:f>
      </x:c>
      <x:c r="H623" s="12" t="str">
        <x:f>IF(Leads!BE623="","",Leads!BE623)</x:f>
      </x:c>
      <x:c r="I623" s="12" t="str">
        <x:f>IF(Leads!BG623="","",Leads!BG623)</x:f>
      </x:c>
      <x:c r="J623" s="12" t="str">
        <x:f>IF(Leads!BH623="","",Leads!BH623)</x:f>
      </x:c>
      <x:c r="K623" s="12" t="str">
        <x:f>IF(A623="","","مرحبًا "&amp;C623&amp;CHAR(10)&amp;CHAR(10)&amp;"شكرًا لإتمام تقييم DBD الخاص بعيادة "&amp;B623&amp;"."&amp;CHAR(10)&amp;"نتيجتكم الحالية: "&amp;E623&amp;"%."&amp;CHAR(10)&amp;"أولوية التحسين الأولى: "&amp;F623&amp;"."&amp;IF(J623&lt;&gt;"",CHAR(10)&amp;CHAR(10)&amp;"رابط التقرير: "&amp;J623,"")&amp;CHAR(10)&amp;CHAR(10)&amp;"إذا أحببت، يمكننا مساعدتك في فهم التقرير وتحديد أفضل خطوة تالية لعيادتكم.")</x:f>
      </x:c>
      <x:c r="L623" s="12" t="str">
        <x:f>IF(D623="","",HYPERLINK("https://wa.me/"&amp;REGEXREPLACE(D623,"[^\d]","")&amp;"?text="&amp;ENCODEURL(K623),"واتساب 1"))</x:f>
      </x:c>
      <x:c r="M623" s="12" t="str">
        <x:f>IF(A623="","","مرحبًا "&amp;C623&amp;CHAR(10)&amp;CHAR(10)&amp;"بناءً على نتيجة تقييم عيادة "&amp;B623&amp;"، فإن الترشيح الأقوى لكم الآن هو: "&amp;G623&amp;"."&amp;CHAR(10)&amp;"هذا الخيار يساعدكم في معالجة أكبر فجوة حالية بشكل عملي ومباشر."&amp;IF(J623&lt;&gt;"",CHAR(10)&amp;CHAR(10)&amp;"رابط التقرير: "&amp;J623,"")&amp;CHAR(10)&amp;CHAR(10)&amp;"إذا رغبت، يمكننا توضيح لماذا هذا الكورس هو الأنسب لكم الآن.")</x:f>
      </x:c>
      <x:c r="N623" s="12" t="str">
        <x:f>IF(D623="","",HYPERLINK("https://wa.me/"&amp;REGEXREPLACE(D623,"[^\d]","")&amp;"?text="&amp;ENCODEURL(M623),"واتساب 2"))</x:f>
      </x:c>
      <x:c r="O623" s="12" t="str">
        <x:f>IF(A623="","","مرحبًا "&amp;C623&amp;CHAR(10)&amp;CHAR(10)&amp;"إذا كانت التحديات لديكم تحتاج حلًا أشمل، فالبرنامج الكامل المناسب لكم هو: "&amp;H623&amp;"."&amp;IF(I623&lt;&gt;"",CHAR(10)&amp;"كما يمكنكم أيضًا حجز: "&amp;I623&amp;".","")&amp;IF(J623&lt;&gt;"",CHAR(10)&amp;CHAR(10)&amp;"رابط التقرير: "&amp;J623,"")&amp;CHAR(10)&amp;CHAR(10)&amp;"يسعدنا مساعدتكم في اختيار المسار الأنسب حسب وضع العيادة الحالي.")</x:f>
      </x:c>
      <x:c r="P623" s="12" t="str">
        <x:f>IF(D623="","",HYPERLINK("https://wa.me/"&amp;REGEXREPLACE(D623,"[^\d]","")&amp;"?text="&amp;ENCODEURL(O623),"واتساب 3"))</x:f>
      </x:c>
    </x:row>
    <x:row r="624" ht="15" hidden="0" customHeight="1">
      <x:c r="A624" s="12" t="str">
        <x:f>IF(Leads!A624="","",Leads!A624)</x:f>
      </x:c>
      <x:c r="B624" s="12" t="str">
        <x:f>IF(Leads!F624="","",Leads!F624)</x:f>
      </x:c>
      <x:c r="C624" s="12" t="str">
        <x:f>IF(Leads!G624="","",Leads!G624)</x:f>
      </x:c>
      <x:c r="D624" s="12" t="str">
        <x:f>IF(Leads!O624="","",Leads!O624)</x:f>
      </x:c>
      <x:c r="E624" s="12" t="str">
        <x:f>IF(Leads!AV624="","",Leads!AV624)</x:f>
      </x:c>
      <x:c r="F624" s="12" t="str">
        <x:f>IF(Leads!AX624="","",Leads!AX624)</x:f>
      </x:c>
      <x:c r="G624" s="12" t="str">
        <x:f>IF(Leads!BC624="","",Leads!BC624)</x:f>
      </x:c>
      <x:c r="H624" s="12" t="str">
        <x:f>IF(Leads!BE624="","",Leads!BE624)</x:f>
      </x:c>
      <x:c r="I624" s="12" t="str">
        <x:f>IF(Leads!BG624="","",Leads!BG624)</x:f>
      </x:c>
      <x:c r="J624" s="12" t="str">
        <x:f>IF(Leads!BH624="","",Leads!BH624)</x:f>
      </x:c>
      <x:c r="K624" s="12" t="str">
        <x:f>IF(A624="","","مرحبًا "&amp;C624&amp;CHAR(10)&amp;CHAR(10)&amp;"شكرًا لإتمام تقييم DBD الخاص بعيادة "&amp;B624&amp;"."&amp;CHAR(10)&amp;"نتيجتكم الحالية: "&amp;E624&amp;"%."&amp;CHAR(10)&amp;"أولوية التحسين الأولى: "&amp;F624&amp;"."&amp;IF(J624&lt;&gt;"",CHAR(10)&amp;CHAR(10)&amp;"رابط التقرير: "&amp;J624,"")&amp;CHAR(10)&amp;CHAR(10)&amp;"إذا أحببت، يمكننا مساعدتك في فهم التقرير وتحديد أفضل خطوة تالية لعيادتكم.")</x:f>
      </x:c>
      <x:c r="L624" s="12" t="str">
        <x:f>IF(D624="","",HYPERLINK("https://wa.me/"&amp;REGEXREPLACE(D624,"[^\d]","")&amp;"?text="&amp;ENCODEURL(K624),"واتساب 1"))</x:f>
      </x:c>
      <x:c r="M624" s="12" t="str">
        <x:f>IF(A624="","","مرحبًا "&amp;C624&amp;CHAR(10)&amp;CHAR(10)&amp;"بناءً على نتيجة تقييم عيادة "&amp;B624&amp;"، فإن الترشيح الأقوى لكم الآن هو: "&amp;G624&amp;"."&amp;CHAR(10)&amp;"هذا الخيار يساعدكم في معالجة أكبر فجوة حالية بشكل عملي ومباشر."&amp;IF(J624&lt;&gt;"",CHAR(10)&amp;CHAR(10)&amp;"رابط التقرير: "&amp;J624,"")&amp;CHAR(10)&amp;CHAR(10)&amp;"إذا رغبت، يمكننا توضيح لماذا هذا الكورس هو الأنسب لكم الآن.")</x:f>
      </x:c>
      <x:c r="N624" s="12" t="str">
        <x:f>IF(D624="","",HYPERLINK("https://wa.me/"&amp;REGEXREPLACE(D624,"[^\d]","")&amp;"?text="&amp;ENCODEURL(M624),"واتساب 2"))</x:f>
      </x:c>
      <x:c r="O624" s="12" t="str">
        <x:f>IF(A624="","","مرحبًا "&amp;C624&amp;CHAR(10)&amp;CHAR(10)&amp;"إذا كانت التحديات لديكم تحتاج حلًا أشمل، فالبرنامج الكامل المناسب لكم هو: "&amp;H624&amp;"."&amp;IF(I624&lt;&gt;"",CHAR(10)&amp;"كما يمكنكم أيضًا حجز: "&amp;I624&amp;".","")&amp;IF(J624&lt;&gt;"",CHAR(10)&amp;CHAR(10)&amp;"رابط التقرير: "&amp;J624,"")&amp;CHAR(10)&amp;CHAR(10)&amp;"يسعدنا مساعدتكم في اختيار المسار الأنسب حسب وضع العيادة الحالي.")</x:f>
      </x:c>
      <x:c r="P624" s="12" t="str">
        <x:f>IF(D624="","",HYPERLINK("https://wa.me/"&amp;REGEXREPLACE(D624,"[^\d]","")&amp;"?text="&amp;ENCODEURL(O624),"واتساب 3"))</x:f>
      </x:c>
    </x:row>
    <x:row r="625" ht="15" hidden="0" customHeight="1">
      <x:c r="A625" s="12" t="str">
        <x:f>IF(Leads!A625="","",Leads!A625)</x:f>
      </x:c>
      <x:c r="B625" s="12" t="str">
        <x:f>IF(Leads!F625="","",Leads!F625)</x:f>
      </x:c>
      <x:c r="C625" s="12" t="str">
        <x:f>IF(Leads!G625="","",Leads!G625)</x:f>
      </x:c>
      <x:c r="D625" s="12" t="str">
        <x:f>IF(Leads!O625="","",Leads!O625)</x:f>
      </x:c>
      <x:c r="E625" s="12" t="str">
        <x:f>IF(Leads!AV625="","",Leads!AV625)</x:f>
      </x:c>
      <x:c r="F625" s="12" t="str">
        <x:f>IF(Leads!AX625="","",Leads!AX625)</x:f>
      </x:c>
      <x:c r="G625" s="12" t="str">
        <x:f>IF(Leads!BC625="","",Leads!BC625)</x:f>
      </x:c>
      <x:c r="H625" s="12" t="str">
        <x:f>IF(Leads!BE625="","",Leads!BE625)</x:f>
      </x:c>
      <x:c r="I625" s="12" t="str">
        <x:f>IF(Leads!BG625="","",Leads!BG625)</x:f>
      </x:c>
      <x:c r="J625" s="12" t="str">
        <x:f>IF(Leads!BH625="","",Leads!BH625)</x:f>
      </x:c>
      <x:c r="K625" s="12" t="str">
        <x:f>IF(A625="","","مرحبًا "&amp;C625&amp;CHAR(10)&amp;CHAR(10)&amp;"شكرًا لإتمام تقييم DBD الخاص بعيادة "&amp;B625&amp;"."&amp;CHAR(10)&amp;"نتيجتكم الحالية: "&amp;E625&amp;"%."&amp;CHAR(10)&amp;"أولوية التحسين الأولى: "&amp;F625&amp;"."&amp;IF(J625&lt;&gt;"",CHAR(10)&amp;CHAR(10)&amp;"رابط التقرير: "&amp;J625,"")&amp;CHAR(10)&amp;CHAR(10)&amp;"إذا أحببت، يمكننا مساعدتك في فهم التقرير وتحديد أفضل خطوة تالية لعيادتكم.")</x:f>
      </x:c>
      <x:c r="L625" s="12" t="str">
        <x:f>IF(D625="","",HYPERLINK("https://wa.me/"&amp;REGEXREPLACE(D625,"[^\d]","")&amp;"?text="&amp;ENCODEURL(K625),"واتساب 1"))</x:f>
      </x:c>
      <x:c r="M625" s="12" t="str">
        <x:f>IF(A625="","","مرحبًا "&amp;C625&amp;CHAR(10)&amp;CHAR(10)&amp;"بناءً على نتيجة تقييم عيادة "&amp;B625&amp;"، فإن الترشيح الأقوى لكم الآن هو: "&amp;G625&amp;"."&amp;CHAR(10)&amp;"هذا الخيار يساعدكم في معالجة أكبر فجوة حالية بشكل عملي ومباشر."&amp;IF(J625&lt;&gt;"",CHAR(10)&amp;CHAR(10)&amp;"رابط التقرير: "&amp;J625,"")&amp;CHAR(10)&amp;CHAR(10)&amp;"إذا رغبت، يمكننا توضيح لماذا هذا الكورس هو الأنسب لكم الآن.")</x:f>
      </x:c>
      <x:c r="N625" s="12" t="str">
        <x:f>IF(D625="","",HYPERLINK("https://wa.me/"&amp;REGEXREPLACE(D625,"[^\d]","")&amp;"?text="&amp;ENCODEURL(M625),"واتساب 2"))</x:f>
      </x:c>
      <x:c r="O625" s="12" t="str">
        <x:f>IF(A625="","","مرحبًا "&amp;C625&amp;CHAR(10)&amp;CHAR(10)&amp;"إذا كانت التحديات لديكم تحتاج حلًا أشمل، فالبرنامج الكامل المناسب لكم هو: "&amp;H625&amp;"."&amp;IF(I625&lt;&gt;"",CHAR(10)&amp;"كما يمكنكم أيضًا حجز: "&amp;I625&amp;".","")&amp;IF(J625&lt;&gt;"",CHAR(10)&amp;CHAR(10)&amp;"رابط التقرير: "&amp;J625,"")&amp;CHAR(10)&amp;CHAR(10)&amp;"يسعدنا مساعدتكم في اختيار المسار الأنسب حسب وضع العيادة الحالي.")</x:f>
      </x:c>
      <x:c r="P625" s="12" t="str">
        <x:f>IF(D625="","",HYPERLINK("https://wa.me/"&amp;REGEXREPLACE(D625,"[^\d]","")&amp;"?text="&amp;ENCODEURL(O625),"واتساب 3"))</x:f>
      </x:c>
    </x:row>
    <x:row r="626" ht="15" hidden="0" customHeight="1">
      <x:c r="A626" s="12" t="str">
        <x:f>IF(Leads!A626="","",Leads!A626)</x:f>
      </x:c>
      <x:c r="B626" s="12" t="str">
        <x:f>IF(Leads!F626="","",Leads!F626)</x:f>
      </x:c>
      <x:c r="C626" s="12" t="str">
        <x:f>IF(Leads!G626="","",Leads!G626)</x:f>
      </x:c>
      <x:c r="D626" s="12" t="str">
        <x:f>IF(Leads!O626="","",Leads!O626)</x:f>
      </x:c>
      <x:c r="E626" s="12" t="str">
        <x:f>IF(Leads!AV626="","",Leads!AV626)</x:f>
      </x:c>
      <x:c r="F626" s="12" t="str">
        <x:f>IF(Leads!AX626="","",Leads!AX626)</x:f>
      </x:c>
      <x:c r="G626" s="12" t="str">
        <x:f>IF(Leads!BC626="","",Leads!BC626)</x:f>
      </x:c>
      <x:c r="H626" s="12" t="str">
        <x:f>IF(Leads!BE626="","",Leads!BE626)</x:f>
      </x:c>
      <x:c r="I626" s="12" t="str">
        <x:f>IF(Leads!BG626="","",Leads!BG626)</x:f>
      </x:c>
      <x:c r="J626" s="12" t="str">
        <x:f>IF(Leads!BH626="","",Leads!BH626)</x:f>
      </x:c>
      <x:c r="K626" s="12" t="str">
        <x:f>IF(A626="","","مرحبًا "&amp;C626&amp;CHAR(10)&amp;CHAR(10)&amp;"شكرًا لإتمام تقييم DBD الخاص بعيادة "&amp;B626&amp;"."&amp;CHAR(10)&amp;"نتيجتكم الحالية: "&amp;E626&amp;"%."&amp;CHAR(10)&amp;"أولوية التحسين الأولى: "&amp;F626&amp;"."&amp;IF(J626&lt;&gt;"",CHAR(10)&amp;CHAR(10)&amp;"رابط التقرير: "&amp;J626,"")&amp;CHAR(10)&amp;CHAR(10)&amp;"إذا أحببت، يمكننا مساعدتك في فهم التقرير وتحديد أفضل خطوة تالية لعيادتكم.")</x:f>
      </x:c>
      <x:c r="L626" s="12" t="str">
        <x:f>IF(D626="","",HYPERLINK("https://wa.me/"&amp;REGEXREPLACE(D626,"[^\d]","")&amp;"?text="&amp;ENCODEURL(K626),"واتساب 1"))</x:f>
      </x:c>
      <x:c r="M626" s="12" t="str">
        <x:f>IF(A626="","","مرحبًا "&amp;C626&amp;CHAR(10)&amp;CHAR(10)&amp;"بناءً على نتيجة تقييم عيادة "&amp;B626&amp;"، فإن الترشيح الأقوى لكم الآن هو: "&amp;G626&amp;"."&amp;CHAR(10)&amp;"هذا الخيار يساعدكم في معالجة أكبر فجوة حالية بشكل عملي ومباشر."&amp;IF(J626&lt;&gt;"",CHAR(10)&amp;CHAR(10)&amp;"رابط التقرير: "&amp;J626,"")&amp;CHAR(10)&amp;CHAR(10)&amp;"إذا رغبت، يمكننا توضيح لماذا هذا الكورس هو الأنسب لكم الآن.")</x:f>
      </x:c>
      <x:c r="N626" s="12" t="str">
        <x:f>IF(D626="","",HYPERLINK("https://wa.me/"&amp;REGEXREPLACE(D626,"[^\d]","")&amp;"?text="&amp;ENCODEURL(M626),"واتساب 2"))</x:f>
      </x:c>
      <x:c r="O626" s="12" t="str">
        <x:f>IF(A626="","","مرحبًا "&amp;C626&amp;CHAR(10)&amp;CHAR(10)&amp;"إذا كانت التحديات لديكم تحتاج حلًا أشمل، فالبرنامج الكامل المناسب لكم هو: "&amp;H626&amp;"."&amp;IF(I626&lt;&gt;"",CHAR(10)&amp;"كما يمكنكم أيضًا حجز: "&amp;I626&amp;".","")&amp;IF(J626&lt;&gt;"",CHAR(10)&amp;CHAR(10)&amp;"رابط التقرير: "&amp;J626,"")&amp;CHAR(10)&amp;CHAR(10)&amp;"يسعدنا مساعدتكم في اختيار المسار الأنسب حسب وضع العيادة الحالي.")</x:f>
      </x:c>
      <x:c r="P626" s="12" t="str">
        <x:f>IF(D626="","",HYPERLINK("https://wa.me/"&amp;REGEXREPLACE(D626,"[^\d]","")&amp;"?text="&amp;ENCODEURL(O626),"واتساب 3"))</x:f>
      </x:c>
    </x:row>
    <x:row r="627" ht="15" hidden="0" customHeight="1">
      <x:c r="A627" s="12" t="str">
        <x:f>IF(Leads!A627="","",Leads!A627)</x:f>
      </x:c>
      <x:c r="B627" s="12" t="str">
        <x:f>IF(Leads!F627="","",Leads!F627)</x:f>
      </x:c>
      <x:c r="C627" s="12" t="str">
        <x:f>IF(Leads!G627="","",Leads!G627)</x:f>
      </x:c>
      <x:c r="D627" s="12" t="str">
        <x:f>IF(Leads!O627="","",Leads!O627)</x:f>
      </x:c>
      <x:c r="E627" s="12" t="str">
        <x:f>IF(Leads!AV627="","",Leads!AV627)</x:f>
      </x:c>
      <x:c r="F627" s="12" t="str">
        <x:f>IF(Leads!AX627="","",Leads!AX627)</x:f>
      </x:c>
      <x:c r="G627" s="12" t="str">
        <x:f>IF(Leads!BC627="","",Leads!BC627)</x:f>
      </x:c>
      <x:c r="H627" s="12" t="str">
        <x:f>IF(Leads!BE627="","",Leads!BE627)</x:f>
      </x:c>
      <x:c r="I627" s="12" t="str">
        <x:f>IF(Leads!BG627="","",Leads!BG627)</x:f>
      </x:c>
      <x:c r="J627" s="12" t="str">
        <x:f>IF(Leads!BH627="","",Leads!BH627)</x:f>
      </x:c>
      <x:c r="K627" s="12" t="str">
        <x:f>IF(A627="","","مرحبًا "&amp;C627&amp;CHAR(10)&amp;CHAR(10)&amp;"شكرًا لإتمام تقييم DBD الخاص بعيادة "&amp;B627&amp;"."&amp;CHAR(10)&amp;"نتيجتكم الحالية: "&amp;E627&amp;"%."&amp;CHAR(10)&amp;"أولوية التحسين الأولى: "&amp;F627&amp;"."&amp;IF(J627&lt;&gt;"",CHAR(10)&amp;CHAR(10)&amp;"رابط التقرير: "&amp;J627,"")&amp;CHAR(10)&amp;CHAR(10)&amp;"إذا أحببت، يمكننا مساعدتك في فهم التقرير وتحديد أفضل خطوة تالية لعيادتكم.")</x:f>
      </x:c>
      <x:c r="L627" s="12" t="str">
        <x:f>IF(D627="","",HYPERLINK("https://wa.me/"&amp;REGEXREPLACE(D627,"[^\d]","")&amp;"?text="&amp;ENCODEURL(K627),"واتساب 1"))</x:f>
      </x:c>
      <x:c r="M627" s="12" t="str">
        <x:f>IF(A627="","","مرحبًا "&amp;C627&amp;CHAR(10)&amp;CHAR(10)&amp;"بناءً على نتيجة تقييم عيادة "&amp;B627&amp;"، فإن الترشيح الأقوى لكم الآن هو: "&amp;G627&amp;"."&amp;CHAR(10)&amp;"هذا الخيار يساعدكم في معالجة أكبر فجوة حالية بشكل عملي ومباشر."&amp;IF(J627&lt;&gt;"",CHAR(10)&amp;CHAR(10)&amp;"رابط التقرير: "&amp;J627,"")&amp;CHAR(10)&amp;CHAR(10)&amp;"إذا رغبت، يمكننا توضيح لماذا هذا الكورس هو الأنسب لكم الآن.")</x:f>
      </x:c>
      <x:c r="N627" s="12" t="str">
        <x:f>IF(D627="","",HYPERLINK("https://wa.me/"&amp;REGEXREPLACE(D627,"[^\d]","")&amp;"?text="&amp;ENCODEURL(M627),"واتساب 2"))</x:f>
      </x:c>
      <x:c r="O627" s="12" t="str">
        <x:f>IF(A627="","","مرحبًا "&amp;C627&amp;CHAR(10)&amp;CHAR(10)&amp;"إذا كانت التحديات لديكم تحتاج حلًا أشمل، فالبرنامج الكامل المناسب لكم هو: "&amp;H627&amp;"."&amp;IF(I627&lt;&gt;"",CHAR(10)&amp;"كما يمكنكم أيضًا حجز: "&amp;I627&amp;".","")&amp;IF(J627&lt;&gt;"",CHAR(10)&amp;CHAR(10)&amp;"رابط التقرير: "&amp;J627,"")&amp;CHAR(10)&amp;CHAR(10)&amp;"يسعدنا مساعدتكم في اختيار المسار الأنسب حسب وضع العيادة الحالي.")</x:f>
      </x:c>
      <x:c r="P627" s="12" t="str">
        <x:f>IF(D627="","",HYPERLINK("https://wa.me/"&amp;REGEXREPLACE(D627,"[^\d]","")&amp;"?text="&amp;ENCODEURL(O627),"واتساب 3"))</x:f>
      </x:c>
    </x:row>
    <x:row r="628" ht="15" hidden="0" customHeight="1">
      <x:c r="A628" s="12" t="str">
        <x:f>IF(Leads!A628="","",Leads!A628)</x:f>
      </x:c>
      <x:c r="B628" s="12" t="str">
        <x:f>IF(Leads!F628="","",Leads!F628)</x:f>
      </x:c>
      <x:c r="C628" s="12" t="str">
        <x:f>IF(Leads!G628="","",Leads!G628)</x:f>
      </x:c>
      <x:c r="D628" s="12" t="str">
        <x:f>IF(Leads!O628="","",Leads!O628)</x:f>
      </x:c>
      <x:c r="E628" s="12" t="str">
        <x:f>IF(Leads!AV628="","",Leads!AV628)</x:f>
      </x:c>
      <x:c r="F628" s="12" t="str">
        <x:f>IF(Leads!AX628="","",Leads!AX628)</x:f>
      </x:c>
      <x:c r="G628" s="12" t="str">
        <x:f>IF(Leads!BC628="","",Leads!BC628)</x:f>
      </x:c>
      <x:c r="H628" s="12" t="str">
        <x:f>IF(Leads!BE628="","",Leads!BE628)</x:f>
      </x:c>
      <x:c r="I628" s="12" t="str">
        <x:f>IF(Leads!BG628="","",Leads!BG628)</x:f>
      </x:c>
      <x:c r="J628" s="12" t="str">
        <x:f>IF(Leads!BH628="","",Leads!BH628)</x:f>
      </x:c>
      <x:c r="K628" s="12" t="str">
        <x:f>IF(A628="","","مرحبًا "&amp;C628&amp;CHAR(10)&amp;CHAR(10)&amp;"شكرًا لإتمام تقييم DBD الخاص بعيادة "&amp;B628&amp;"."&amp;CHAR(10)&amp;"نتيجتكم الحالية: "&amp;E628&amp;"%."&amp;CHAR(10)&amp;"أولوية التحسين الأولى: "&amp;F628&amp;"."&amp;IF(J628&lt;&gt;"",CHAR(10)&amp;CHAR(10)&amp;"رابط التقرير: "&amp;J628,"")&amp;CHAR(10)&amp;CHAR(10)&amp;"إذا أحببت، يمكننا مساعدتك في فهم التقرير وتحديد أفضل خطوة تالية لعيادتكم.")</x:f>
      </x:c>
      <x:c r="L628" s="12" t="str">
        <x:f>IF(D628="","",HYPERLINK("https://wa.me/"&amp;REGEXREPLACE(D628,"[^\d]","")&amp;"?text="&amp;ENCODEURL(K628),"واتساب 1"))</x:f>
      </x:c>
      <x:c r="M628" s="12" t="str">
        <x:f>IF(A628="","","مرحبًا "&amp;C628&amp;CHAR(10)&amp;CHAR(10)&amp;"بناءً على نتيجة تقييم عيادة "&amp;B628&amp;"، فإن الترشيح الأقوى لكم الآن هو: "&amp;G628&amp;"."&amp;CHAR(10)&amp;"هذا الخيار يساعدكم في معالجة أكبر فجوة حالية بشكل عملي ومباشر."&amp;IF(J628&lt;&gt;"",CHAR(10)&amp;CHAR(10)&amp;"رابط التقرير: "&amp;J628,"")&amp;CHAR(10)&amp;CHAR(10)&amp;"إذا رغبت، يمكننا توضيح لماذا هذا الكورس هو الأنسب لكم الآن.")</x:f>
      </x:c>
      <x:c r="N628" s="12" t="str">
        <x:f>IF(D628="","",HYPERLINK("https://wa.me/"&amp;REGEXREPLACE(D628,"[^\d]","")&amp;"?text="&amp;ENCODEURL(M628),"واتساب 2"))</x:f>
      </x:c>
      <x:c r="O628" s="12" t="str">
        <x:f>IF(A628="","","مرحبًا "&amp;C628&amp;CHAR(10)&amp;CHAR(10)&amp;"إذا كانت التحديات لديكم تحتاج حلًا أشمل، فالبرنامج الكامل المناسب لكم هو: "&amp;H628&amp;"."&amp;IF(I628&lt;&gt;"",CHAR(10)&amp;"كما يمكنكم أيضًا حجز: "&amp;I628&amp;".","")&amp;IF(J628&lt;&gt;"",CHAR(10)&amp;CHAR(10)&amp;"رابط التقرير: "&amp;J628,"")&amp;CHAR(10)&amp;CHAR(10)&amp;"يسعدنا مساعدتكم في اختيار المسار الأنسب حسب وضع العيادة الحالي.")</x:f>
      </x:c>
      <x:c r="P628" s="12" t="str">
        <x:f>IF(D628="","",HYPERLINK("https://wa.me/"&amp;REGEXREPLACE(D628,"[^\d]","")&amp;"?text="&amp;ENCODEURL(O628),"واتساب 3"))</x:f>
      </x:c>
    </x:row>
    <x:row r="629" ht="15" hidden="0" customHeight="1">
      <x:c r="A629" s="12" t="str">
        <x:f>IF(Leads!A629="","",Leads!A629)</x:f>
      </x:c>
      <x:c r="B629" s="12" t="str">
        <x:f>IF(Leads!F629="","",Leads!F629)</x:f>
      </x:c>
      <x:c r="C629" s="12" t="str">
        <x:f>IF(Leads!G629="","",Leads!G629)</x:f>
      </x:c>
      <x:c r="D629" s="12" t="str">
        <x:f>IF(Leads!O629="","",Leads!O629)</x:f>
      </x:c>
      <x:c r="E629" s="12" t="str">
        <x:f>IF(Leads!AV629="","",Leads!AV629)</x:f>
      </x:c>
      <x:c r="F629" s="12" t="str">
        <x:f>IF(Leads!AX629="","",Leads!AX629)</x:f>
      </x:c>
      <x:c r="G629" s="12" t="str">
        <x:f>IF(Leads!BC629="","",Leads!BC629)</x:f>
      </x:c>
      <x:c r="H629" s="12" t="str">
        <x:f>IF(Leads!BE629="","",Leads!BE629)</x:f>
      </x:c>
      <x:c r="I629" s="12" t="str">
        <x:f>IF(Leads!BG629="","",Leads!BG629)</x:f>
      </x:c>
      <x:c r="J629" s="12" t="str">
        <x:f>IF(Leads!BH629="","",Leads!BH629)</x:f>
      </x:c>
      <x:c r="K629" s="12" t="str">
        <x:f>IF(A629="","","مرحبًا "&amp;C629&amp;CHAR(10)&amp;CHAR(10)&amp;"شكرًا لإتمام تقييم DBD الخاص بعيادة "&amp;B629&amp;"."&amp;CHAR(10)&amp;"نتيجتكم الحالية: "&amp;E629&amp;"%."&amp;CHAR(10)&amp;"أولوية التحسين الأولى: "&amp;F629&amp;"."&amp;IF(J629&lt;&gt;"",CHAR(10)&amp;CHAR(10)&amp;"رابط التقرير: "&amp;J629,"")&amp;CHAR(10)&amp;CHAR(10)&amp;"إذا أحببت، يمكننا مساعدتك في فهم التقرير وتحديد أفضل خطوة تالية لعيادتكم.")</x:f>
      </x:c>
      <x:c r="L629" s="12" t="str">
        <x:f>IF(D629="","",HYPERLINK("https://wa.me/"&amp;REGEXREPLACE(D629,"[^\d]","")&amp;"?text="&amp;ENCODEURL(K629),"واتساب 1"))</x:f>
      </x:c>
      <x:c r="M629" s="12" t="str">
        <x:f>IF(A629="","","مرحبًا "&amp;C629&amp;CHAR(10)&amp;CHAR(10)&amp;"بناءً على نتيجة تقييم عيادة "&amp;B629&amp;"، فإن الترشيح الأقوى لكم الآن هو: "&amp;G629&amp;"."&amp;CHAR(10)&amp;"هذا الخيار يساعدكم في معالجة أكبر فجوة حالية بشكل عملي ومباشر."&amp;IF(J629&lt;&gt;"",CHAR(10)&amp;CHAR(10)&amp;"رابط التقرير: "&amp;J629,"")&amp;CHAR(10)&amp;CHAR(10)&amp;"إذا رغبت، يمكننا توضيح لماذا هذا الكورس هو الأنسب لكم الآن.")</x:f>
      </x:c>
      <x:c r="N629" s="12" t="str">
        <x:f>IF(D629="","",HYPERLINK("https://wa.me/"&amp;REGEXREPLACE(D629,"[^\d]","")&amp;"?text="&amp;ENCODEURL(M629),"واتساب 2"))</x:f>
      </x:c>
      <x:c r="O629" s="12" t="str">
        <x:f>IF(A629="","","مرحبًا "&amp;C629&amp;CHAR(10)&amp;CHAR(10)&amp;"إذا كانت التحديات لديكم تحتاج حلًا أشمل، فالبرنامج الكامل المناسب لكم هو: "&amp;H629&amp;"."&amp;IF(I629&lt;&gt;"",CHAR(10)&amp;"كما يمكنكم أيضًا حجز: "&amp;I629&amp;".","")&amp;IF(J629&lt;&gt;"",CHAR(10)&amp;CHAR(10)&amp;"رابط التقرير: "&amp;J629,"")&amp;CHAR(10)&amp;CHAR(10)&amp;"يسعدنا مساعدتكم في اختيار المسار الأنسب حسب وضع العيادة الحالي.")</x:f>
      </x:c>
      <x:c r="P629" s="12" t="str">
        <x:f>IF(D629="","",HYPERLINK("https://wa.me/"&amp;REGEXREPLACE(D629,"[^\d]","")&amp;"?text="&amp;ENCODEURL(O629),"واتساب 3"))</x:f>
      </x:c>
    </x:row>
    <x:row r="630" ht="15" hidden="0" customHeight="1">
      <x:c r="A630" s="12" t="str">
        <x:f>IF(Leads!A630="","",Leads!A630)</x:f>
      </x:c>
      <x:c r="B630" s="12" t="str">
        <x:f>IF(Leads!F630="","",Leads!F630)</x:f>
      </x:c>
      <x:c r="C630" s="12" t="str">
        <x:f>IF(Leads!G630="","",Leads!G630)</x:f>
      </x:c>
      <x:c r="D630" s="12" t="str">
        <x:f>IF(Leads!O630="","",Leads!O630)</x:f>
      </x:c>
      <x:c r="E630" s="12" t="str">
        <x:f>IF(Leads!AV630="","",Leads!AV630)</x:f>
      </x:c>
      <x:c r="F630" s="12" t="str">
        <x:f>IF(Leads!AX630="","",Leads!AX630)</x:f>
      </x:c>
      <x:c r="G630" s="12" t="str">
        <x:f>IF(Leads!BC630="","",Leads!BC630)</x:f>
      </x:c>
      <x:c r="H630" s="12" t="str">
        <x:f>IF(Leads!BE630="","",Leads!BE630)</x:f>
      </x:c>
      <x:c r="I630" s="12" t="str">
        <x:f>IF(Leads!BG630="","",Leads!BG630)</x:f>
      </x:c>
      <x:c r="J630" s="12" t="str">
        <x:f>IF(Leads!BH630="","",Leads!BH630)</x:f>
      </x:c>
      <x:c r="K630" s="12" t="str">
        <x:f>IF(A630="","","مرحبًا "&amp;C630&amp;CHAR(10)&amp;CHAR(10)&amp;"شكرًا لإتمام تقييم DBD الخاص بعيادة "&amp;B630&amp;"."&amp;CHAR(10)&amp;"نتيجتكم الحالية: "&amp;E630&amp;"%."&amp;CHAR(10)&amp;"أولوية التحسين الأولى: "&amp;F630&amp;"."&amp;IF(J630&lt;&gt;"",CHAR(10)&amp;CHAR(10)&amp;"رابط التقرير: "&amp;J630,"")&amp;CHAR(10)&amp;CHAR(10)&amp;"إذا أحببت، يمكننا مساعدتك في فهم التقرير وتحديد أفضل خطوة تالية لعيادتكم.")</x:f>
      </x:c>
      <x:c r="L630" s="12" t="str">
        <x:f>IF(D630="","",HYPERLINK("https://wa.me/"&amp;REGEXREPLACE(D630,"[^\d]","")&amp;"?text="&amp;ENCODEURL(K630),"واتساب 1"))</x:f>
      </x:c>
      <x:c r="M630" s="12" t="str">
        <x:f>IF(A630="","","مرحبًا "&amp;C630&amp;CHAR(10)&amp;CHAR(10)&amp;"بناءً على نتيجة تقييم عيادة "&amp;B630&amp;"، فإن الترشيح الأقوى لكم الآن هو: "&amp;G630&amp;"."&amp;CHAR(10)&amp;"هذا الخيار يساعدكم في معالجة أكبر فجوة حالية بشكل عملي ومباشر."&amp;IF(J630&lt;&gt;"",CHAR(10)&amp;CHAR(10)&amp;"رابط التقرير: "&amp;J630,"")&amp;CHAR(10)&amp;CHAR(10)&amp;"إذا رغبت، يمكننا توضيح لماذا هذا الكورس هو الأنسب لكم الآن.")</x:f>
      </x:c>
      <x:c r="N630" s="12" t="str">
        <x:f>IF(D630="","",HYPERLINK("https://wa.me/"&amp;REGEXREPLACE(D630,"[^\d]","")&amp;"?text="&amp;ENCODEURL(M630),"واتساب 2"))</x:f>
      </x:c>
      <x:c r="O630" s="12" t="str">
        <x:f>IF(A630="","","مرحبًا "&amp;C630&amp;CHAR(10)&amp;CHAR(10)&amp;"إذا كانت التحديات لديكم تحتاج حلًا أشمل، فالبرنامج الكامل المناسب لكم هو: "&amp;H630&amp;"."&amp;IF(I630&lt;&gt;"",CHAR(10)&amp;"كما يمكنكم أيضًا حجز: "&amp;I630&amp;".","")&amp;IF(J630&lt;&gt;"",CHAR(10)&amp;CHAR(10)&amp;"رابط التقرير: "&amp;J630,"")&amp;CHAR(10)&amp;CHAR(10)&amp;"يسعدنا مساعدتكم في اختيار المسار الأنسب حسب وضع العيادة الحالي.")</x:f>
      </x:c>
      <x:c r="P630" s="12" t="str">
        <x:f>IF(D630="","",HYPERLINK("https://wa.me/"&amp;REGEXREPLACE(D630,"[^\d]","")&amp;"?text="&amp;ENCODEURL(O630),"واتساب 3"))</x:f>
      </x:c>
    </x:row>
    <x:row r="631" ht="15" hidden="0" customHeight="1">
      <x:c r="A631" s="12" t="str">
        <x:f>IF(Leads!A631="","",Leads!A631)</x:f>
      </x:c>
      <x:c r="B631" s="12" t="str">
        <x:f>IF(Leads!F631="","",Leads!F631)</x:f>
      </x:c>
      <x:c r="C631" s="12" t="str">
        <x:f>IF(Leads!G631="","",Leads!G631)</x:f>
      </x:c>
      <x:c r="D631" s="12" t="str">
        <x:f>IF(Leads!O631="","",Leads!O631)</x:f>
      </x:c>
      <x:c r="E631" s="12" t="str">
        <x:f>IF(Leads!AV631="","",Leads!AV631)</x:f>
      </x:c>
      <x:c r="F631" s="12" t="str">
        <x:f>IF(Leads!AX631="","",Leads!AX631)</x:f>
      </x:c>
      <x:c r="G631" s="12" t="str">
        <x:f>IF(Leads!BC631="","",Leads!BC631)</x:f>
      </x:c>
      <x:c r="H631" s="12" t="str">
        <x:f>IF(Leads!BE631="","",Leads!BE631)</x:f>
      </x:c>
      <x:c r="I631" s="12" t="str">
        <x:f>IF(Leads!BG631="","",Leads!BG631)</x:f>
      </x:c>
      <x:c r="J631" s="12" t="str">
        <x:f>IF(Leads!BH631="","",Leads!BH631)</x:f>
      </x:c>
      <x:c r="K631" s="12" t="str">
        <x:f>IF(A631="","","مرحبًا "&amp;C631&amp;CHAR(10)&amp;CHAR(10)&amp;"شكرًا لإتمام تقييم DBD الخاص بعيادة "&amp;B631&amp;"."&amp;CHAR(10)&amp;"نتيجتكم الحالية: "&amp;E631&amp;"%."&amp;CHAR(10)&amp;"أولوية التحسين الأولى: "&amp;F631&amp;"."&amp;IF(J631&lt;&gt;"",CHAR(10)&amp;CHAR(10)&amp;"رابط التقرير: "&amp;J631,"")&amp;CHAR(10)&amp;CHAR(10)&amp;"إذا أحببت، يمكننا مساعدتك في فهم التقرير وتحديد أفضل خطوة تالية لعيادتكم.")</x:f>
      </x:c>
      <x:c r="L631" s="12" t="str">
        <x:f>IF(D631="","",HYPERLINK("https://wa.me/"&amp;REGEXREPLACE(D631,"[^\d]","")&amp;"?text="&amp;ENCODEURL(K631),"واتساب 1"))</x:f>
      </x:c>
      <x:c r="M631" s="12" t="str">
        <x:f>IF(A631="","","مرحبًا "&amp;C631&amp;CHAR(10)&amp;CHAR(10)&amp;"بناءً على نتيجة تقييم عيادة "&amp;B631&amp;"، فإن الترشيح الأقوى لكم الآن هو: "&amp;G631&amp;"."&amp;CHAR(10)&amp;"هذا الخيار يساعدكم في معالجة أكبر فجوة حالية بشكل عملي ومباشر."&amp;IF(J631&lt;&gt;"",CHAR(10)&amp;CHAR(10)&amp;"رابط التقرير: "&amp;J631,"")&amp;CHAR(10)&amp;CHAR(10)&amp;"إذا رغبت، يمكننا توضيح لماذا هذا الكورس هو الأنسب لكم الآن.")</x:f>
      </x:c>
      <x:c r="N631" s="12" t="str">
        <x:f>IF(D631="","",HYPERLINK("https://wa.me/"&amp;REGEXREPLACE(D631,"[^\d]","")&amp;"?text="&amp;ENCODEURL(M631),"واتساب 2"))</x:f>
      </x:c>
      <x:c r="O631" s="12" t="str">
        <x:f>IF(A631="","","مرحبًا "&amp;C631&amp;CHAR(10)&amp;CHAR(10)&amp;"إذا كانت التحديات لديكم تحتاج حلًا أشمل، فالبرنامج الكامل المناسب لكم هو: "&amp;H631&amp;"."&amp;IF(I631&lt;&gt;"",CHAR(10)&amp;"كما يمكنكم أيضًا حجز: "&amp;I631&amp;".","")&amp;IF(J631&lt;&gt;"",CHAR(10)&amp;CHAR(10)&amp;"رابط التقرير: "&amp;J631,"")&amp;CHAR(10)&amp;CHAR(10)&amp;"يسعدنا مساعدتكم في اختيار المسار الأنسب حسب وضع العيادة الحالي.")</x:f>
      </x:c>
      <x:c r="P631" s="12" t="str">
        <x:f>IF(D631="","",HYPERLINK("https://wa.me/"&amp;REGEXREPLACE(D631,"[^\d]","")&amp;"?text="&amp;ENCODEURL(O631),"واتساب 3"))</x:f>
      </x:c>
    </x:row>
    <x:row r="632" ht="15" hidden="0" customHeight="1">
      <x:c r="A632" s="12" t="str">
        <x:f>IF(Leads!A632="","",Leads!A632)</x:f>
      </x:c>
      <x:c r="B632" s="12" t="str">
        <x:f>IF(Leads!F632="","",Leads!F632)</x:f>
      </x:c>
      <x:c r="C632" s="12" t="str">
        <x:f>IF(Leads!G632="","",Leads!G632)</x:f>
      </x:c>
      <x:c r="D632" s="12" t="str">
        <x:f>IF(Leads!O632="","",Leads!O632)</x:f>
      </x:c>
      <x:c r="E632" s="12" t="str">
        <x:f>IF(Leads!AV632="","",Leads!AV632)</x:f>
      </x:c>
      <x:c r="F632" s="12" t="str">
        <x:f>IF(Leads!AX632="","",Leads!AX632)</x:f>
      </x:c>
      <x:c r="G632" s="12" t="str">
        <x:f>IF(Leads!BC632="","",Leads!BC632)</x:f>
      </x:c>
      <x:c r="H632" s="12" t="str">
        <x:f>IF(Leads!BE632="","",Leads!BE632)</x:f>
      </x:c>
      <x:c r="I632" s="12" t="str">
        <x:f>IF(Leads!BG632="","",Leads!BG632)</x:f>
      </x:c>
      <x:c r="J632" s="12" t="str">
        <x:f>IF(Leads!BH632="","",Leads!BH632)</x:f>
      </x:c>
      <x:c r="K632" s="12" t="str">
        <x:f>IF(A632="","","مرحبًا "&amp;C632&amp;CHAR(10)&amp;CHAR(10)&amp;"شكرًا لإتمام تقييم DBD الخاص بعيادة "&amp;B632&amp;"."&amp;CHAR(10)&amp;"نتيجتكم الحالية: "&amp;E632&amp;"%."&amp;CHAR(10)&amp;"أولوية التحسين الأولى: "&amp;F632&amp;"."&amp;IF(J632&lt;&gt;"",CHAR(10)&amp;CHAR(10)&amp;"رابط التقرير: "&amp;J632,"")&amp;CHAR(10)&amp;CHAR(10)&amp;"إذا أحببت، يمكننا مساعدتك في فهم التقرير وتحديد أفضل خطوة تالية لعيادتكم.")</x:f>
      </x:c>
      <x:c r="L632" s="12" t="str">
        <x:f>IF(D632="","",HYPERLINK("https://wa.me/"&amp;REGEXREPLACE(D632,"[^\d]","")&amp;"?text="&amp;ENCODEURL(K632),"واتساب 1"))</x:f>
      </x:c>
      <x:c r="M632" s="12" t="str">
        <x:f>IF(A632="","","مرحبًا "&amp;C632&amp;CHAR(10)&amp;CHAR(10)&amp;"بناءً على نتيجة تقييم عيادة "&amp;B632&amp;"، فإن الترشيح الأقوى لكم الآن هو: "&amp;G632&amp;"."&amp;CHAR(10)&amp;"هذا الخيار يساعدكم في معالجة أكبر فجوة حالية بشكل عملي ومباشر."&amp;IF(J632&lt;&gt;"",CHAR(10)&amp;CHAR(10)&amp;"رابط التقرير: "&amp;J632,"")&amp;CHAR(10)&amp;CHAR(10)&amp;"إذا رغبت، يمكننا توضيح لماذا هذا الكورس هو الأنسب لكم الآن.")</x:f>
      </x:c>
      <x:c r="N632" s="12" t="str">
        <x:f>IF(D632="","",HYPERLINK("https://wa.me/"&amp;REGEXREPLACE(D632,"[^\d]","")&amp;"?text="&amp;ENCODEURL(M632),"واتساب 2"))</x:f>
      </x:c>
      <x:c r="O632" s="12" t="str">
        <x:f>IF(A632="","","مرحبًا "&amp;C632&amp;CHAR(10)&amp;CHAR(10)&amp;"إذا كانت التحديات لديكم تحتاج حلًا أشمل، فالبرنامج الكامل المناسب لكم هو: "&amp;H632&amp;"."&amp;IF(I632&lt;&gt;"",CHAR(10)&amp;"كما يمكنكم أيضًا حجز: "&amp;I632&amp;".","")&amp;IF(J632&lt;&gt;"",CHAR(10)&amp;CHAR(10)&amp;"رابط التقرير: "&amp;J632,"")&amp;CHAR(10)&amp;CHAR(10)&amp;"يسعدنا مساعدتكم في اختيار المسار الأنسب حسب وضع العيادة الحالي.")</x:f>
      </x:c>
      <x:c r="P632" s="12" t="str">
        <x:f>IF(D632="","",HYPERLINK("https://wa.me/"&amp;REGEXREPLACE(D632,"[^\d]","")&amp;"?text="&amp;ENCODEURL(O632),"واتساب 3"))</x:f>
      </x:c>
    </x:row>
    <x:row r="633" ht="15" hidden="0" customHeight="1">
      <x:c r="A633" s="12" t="str">
        <x:f>IF(Leads!A633="","",Leads!A633)</x:f>
      </x:c>
      <x:c r="B633" s="12" t="str">
        <x:f>IF(Leads!F633="","",Leads!F633)</x:f>
      </x:c>
      <x:c r="C633" s="12" t="str">
        <x:f>IF(Leads!G633="","",Leads!G633)</x:f>
      </x:c>
      <x:c r="D633" s="12" t="str">
        <x:f>IF(Leads!O633="","",Leads!O633)</x:f>
      </x:c>
      <x:c r="E633" s="12" t="str">
        <x:f>IF(Leads!AV633="","",Leads!AV633)</x:f>
      </x:c>
      <x:c r="F633" s="12" t="str">
        <x:f>IF(Leads!AX633="","",Leads!AX633)</x:f>
      </x:c>
      <x:c r="G633" s="12" t="str">
        <x:f>IF(Leads!BC633="","",Leads!BC633)</x:f>
      </x:c>
      <x:c r="H633" s="12" t="str">
        <x:f>IF(Leads!BE633="","",Leads!BE633)</x:f>
      </x:c>
      <x:c r="I633" s="12" t="str">
        <x:f>IF(Leads!BG633="","",Leads!BG633)</x:f>
      </x:c>
      <x:c r="J633" s="12" t="str">
        <x:f>IF(Leads!BH633="","",Leads!BH633)</x:f>
      </x:c>
      <x:c r="K633" s="12" t="str">
        <x:f>IF(A633="","","مرحبًا "&amp;C633&amp;CHAR(10)&amp;CHAR(10)&amp;"شكرًا لإتمام تقييم DBD الخاص بعيادة "&amp;B633&amp;"."&amp;CHAR(10)&amp;"نتيجتكم الحالية: "&amp;E633&amp;"%."&amp;CHAR(10)&amp;"أولوية التحسين الأولى: "&amp;F633&amp;"."&amp;IF(J633&lt;&gt;"",CHAR(10)&amp;CHAR(10)&amp;"رابط التقرير: "&amp;J633,"")&amp;CHAR(10)&amp;CHAR(10)&amp;"إذا أحببت، يمكننا مساعدتك في فهم التقرير وتحديد أفضل خطوة تالية لعيادتكم.")</x:f>
      </x:c>
      <x:c r="L633" s="12" t="str">
        <x:f>IF(D633="","",HYPERLINK("https://wa.me/"&amp;REGEXREPLACE(D633,"[^\d]","")&amp;"?text="&amp;ENCODEURL(K633),"واتساب 1"))</x:f>
      </x:c>
      <x:c r="M633" s="12" t="str">
        <x:f>IF(A633="","","مرحبًا "&amp;C633&amp;CHAR(10)&amp;CHAR(10)&amp;"بناءً على نتيجة تقييم عيادة "&amp;B633&amp;"، فإن الترشيح الأقوى لكم الآن هو: "&amp;G633&amp;"."&amp;CHAR(10)&amp;"هذا الخيار يساعدكم في معالجة أكبر فجوة حالية بشكل عملي ومباشر."&amp;IF(J633&lt;&gt;"",CHAR(10)&amp;CHAR(10)&amp;"رابط التقرير: "&amp;J633,"")&amp;CHAR(10)&amp;CHAR(10)&amp;"إذا رغبت، يمكننا توضيح لماذا هذا الكورس هو الأنسب لكم الآن.")</x:f>
      </x:c>
      <x:c r="N633" s="12" t="str">
        <x:f>IF(D633="","",HYPERLINK("https://wa.me/"&amp;REGEXREPLACE(D633,"[^\d]","")&amp;"?text="&amp;ENCODEURL(M633),"واتساب 2"))</x:f>
      </x:c>
      <x:c r="O633" s="12" t="str">
        <x:f>IF(A633="","","مرحبًا "&amp;C633&amp;CHAR(10)&amp;CHAR(10)&amp;"إذا كانت التحديات لديكم تحتاج حلًا أشمل، فالبرنامج الكامل المناسب لكم هو: "&amp;H633&amp;"."&amp;IF(I633&lt;&gt;"",CHAR(10)&amp;"كما يمكنكم أيضًا حجز: "&amp;I633&amp;".","")&amp;IF(J633&lt;&gt;"",CHAR(10)&amp;CHAR(10)&amp;"رابط التقرير: "&amp;J633,"")&amp;CHAR(10)&amp;CHAR(10)&amp;"يسعدنا مساعدتكم في اختيار المسار الأنسب حسب وضع العيادة الحالي.")</x:f>
      </x:c>
      <x:c r="P633" s="12" t="str">
        <x:f>IF(D633="","",HYPERLINK("https://wa.me/"&amp;REGEXREPLACE(D633,"[^\d]","")&amp;"?text="&amp;ENCODEURL(O633),"واتساب 3"))</x:f>
      </x:c>
    </x:row>
    <x:row r="634" ht="15" hidden="0" customHeight="1">
      <x:c r="A634" s="12" t="str">
        <x:f>IF(Leads!A634="","",Leads!A634)</x:f>
      </x:c>
      <x:c r="B634" s="12" t="str">
        <x:f>IF(Leads!F634="","",Leads!F634)</x:f>
      </x:c>
      <x:c r="C634" s="12" t="str">
        <x:f>IF(Leads!G634="","",Leads!G634)</x:f>
      </x:c>
      <x:c r="D634" s="12" t="str">
        <x:f>IF(Leads!O634="","",Leads!O634)</x:f>
      </x:c>
      <x:c r="E634" s="12" t="str">
        <x:f>IF(Leads!AV634="","",Leads!AV634)</x:f>
      </x:c>
      <x:c r="F634" s="12" t="str">
        <x:f>IF(Leads!AX634="","",Leads!AX634)</x:f>
      </x:c>
      <x:c r="G634" s="12" t="str">
        <x:f>IF(Leads!BC634="","",Leads!BC634)</x:f>
      </x:c>
      <x:c r="H634" s="12" t="str">
        <x:f>IF(Leads!BE634="","",Leads!BE634)</x:f>
      </x:c>
      <x:c r="I634" s="12" t="str">
        <x:f>IF(Leads!BG634="","",Leads!BG634)</x:f>
      </x:c>
      <x:c r="J634" s="12" t="str">
        <x:f>IF(Leads!BH634="","",Leads!BH634)</x:f>
      </x:c>
      <x:c r="K634" s="12" t="str">
        <x:f>IF(A634="","","مرحبًا "&amp;C634&amp;CHAR(10)&amp;CHAR(10)&amp;"شكرًا لإتمام تقييم DBD الخاص بعيادة "&amp;B634&amp;"."&amp;CHAR(10)&amp;"نتيجتكم الحالية: "&amp;E634&amp;"%."&amp;CHAR(10)&amp;"أولوية التحسين الأولى: "&amp;F634&amp;"."&amp;IF(J634&lt;&gt;"",CHAR(10)&amp;CHAR(10)&amp;"رابط التقرير: "&amp;J634,"")&amp;CHAR(10)&amp;CHAR(10)&amp;"إذا أحببت، يمكننا مساعدتك في فهم التقرير وتحديد أفضل خطوة تالية لعيادتكم.")</x:f>
      </x:c>
      <x:c r="L634" s="12" t="str">
        <x:f>IF(D634="","",HYPERLINK("https://wa.me/"&amp;REGEXREPLACE(D634,"[^\d]","")&amp;"?text="&amp;ENCODEURL(K634),"واتساب 1"))</x:f>
      </x:c>
      <x:c r="M634" s="12" t="str">
        <x:f>IF(A634="","","مرحبًا "&amp;C634&amp;CHAR(10)&amp;CHAR(10)&amp;"بناءً على نتيجة تقييم عيادة "&amp;B634&amp;"، فإن الترشيح الأقوى لكم الآن هو: "&amp;G634&amp;"."&amp;CHAR(10)&amp;"هذا الخيار يساعدكم في معالجة أكبر فجوة حالية بشكل عملي ومباشر."&amp;IF(J634&lt;&gt;"",CHAR(10)&amp;CHAR(10)&amp;"رابط التقرير: "&amp;J634,"")&amp;CHAR(10)&amp;CHAR(10)&amp;"إذا رغبت، يمكننا توضيح لماذا هذا الكورس هو الأنسب لكم الآن.")</x:f>
      </x:c>
      <x:c r="N634" s="12" t="str">
        <x:f>IF(D634="","",HYPERLINK("https://wa.me/"&amp;REGEXREPLACE(D634,"[^\d]","")&amp;"?text="&amp;ENCODEURL(M634),"واتساب 2"))</x:f>
      </x:c>
      <x:c r="O634" s="12" t="str">
        <x:f>IF(A634="","","مرحبًا "&amp;C634&amp;CHAR(10)&amp;CHAR(10)&amp;"إذا كانت التحديات لديكم تحتاج حلًا أشمل، فالبرنامج الكامل المناسب لكم هو: "&amp;H634&amp;"."&amp;IF(I634&lt;&gt;"",CHAR(10)&amp;"كما يمكنكم أيضًا حجز: "&amp;I634&amp;".","")&amp;IF(J634&lt;&gt;"",CHAR(10)&amp;CHAR(10)&amp;"رابط التقرير: "&amp;J634,"")&amp;CHAR(10)&amp;CHAR(10)&amp;"يسعدنا مساعدتكم في اختيار المسار الأنسب حسب وضع العيادة الحالي.")</x:f>
      </x:c>
      <x:c r="P634" s="12" t="str">
        <x:f>IF(D634="","",HYPERLINK("https://wa.me/"&amp;REGEXREPLACE(D634,"[^\d]","")&amp;"?text="&amp;ENCODEURL(O634),"واتساب 3"))</x:f>
      </x:c>
    </x:row>
    <x:row r="635" ht="15" hidden="0" customHeight="1">
      <x:c r="A635" s="12" t="str">
        <x:f>IF(Leads!A635="","",Leads!A635)</x:f>
      </x:c>
      <x:c r="B635" s="12" t="str">
        <x:f>IF(Leads!F635="","",Leads!F635)</x:f>
      </x:c>
      <x:c r="C635" s="12" t="str">
        <x:f>IF(Leads!G635="","",Leads!G635)</x:f>
      </x:c>
      <x:c r="D635" s="12" t="str">
        <x:f>IF(Leads!O635="","",Leads!O635)</x:f>
      </x:c>
      <x:c r="E635" s="12" t="str">
        <x:f>IF(Leads!AV635="","",Leads!AV635)</x:f>
      </x:c>
      <x:c r="F635" s="12" t="str">
        <x:f>IF(Leads!AX635="","",Leads!AX635)</x:f>
      </x:c>
      <x:c r="G635" s="12" t="str">
        <x:f>IF(Leads!BC635="","",Leads!BC635)</x:f>
      </x:c>
      <x:c r="H635" s="12" t="str">
        <x:f>IF(Leads!BE635="","",Leads!BE635)</x:f>
      </x:c>
      <x:c r="I635" s="12" t="str">
        <x:f>IF(Leads!BG635="","",Leads!BG635)</x:f>
      </x:c>
      <x:c r="J635" s="12" t="str">
        <x:f>IF(Leads!BH635="","",Leads!BH635)</x:f>
      </x:c>
      <x:c r="K635" s="12" t="str">
        <x:f>IF(A635="","","مرحبًا "&amp;C635&amp;CHAR(10)&amp;CHAR(10)&amp;"شكرًا لإتمام تقييم DBD الخاص بعيادة "&amp;B635&amp;"."&amp;CHAR(10)&amp;"نتيجتكم الحالية: "&amp;E635&amp;"%."&amp;CHAR(10)&amp;"أولوية التحسين الأولى: "&amp;F635&amp;"."&amp;IF(J635&lt;&gt;"",CHAR(10)&amp;CHAR(10)&amp;"رابط التقرير: "&amp;J635,"")&amp;CHAR(10)&amp;CHAR(10)&amp;"إذا أحببت، يمكننا مساعدتك في فهم التقرير وتحديد أفضل خطوة تالية لعيادتكم.")</x:f>
      </x:c>
      <x:c r="L635" s="12" t="str">
        <x:f>IF(D635="","",HYPERLINK("https://wa.me/"&amp;REGEXREPLACE(D635,"[^\d]","")&amp;"?text="&amp;ENCODEURL(K635),"واتساب 1"))</x:f>
      </x:c>
      <x:c r="M635" s="12" t="str">
        <x:f>IF(A635="","","مرحبًا "&amp;C635&amp;CHAR(10)&amp;CHAR(10)&amp;"بناءً على نتيجة تقييم عيادة "&amp;B635&amp;"، فإن الترشيح الأقوى لكم الآن هو: "&amp;G635&amp;"."&amp;CHAR(10)&amp;"هذا الخيار يساعدكم في معالجة أكبر فجوة حالية بشكل عملي ومباشر."&amp;IF(J635&lt;&gt;"",CHAR(10)&amp;CHAR(10)&amp;"رابط التقرير: "&amp;J635,"")&amp;CHAR(10)&amp;CHAR(10)&amp;"إذا رغبت، يمكننا توضيح لماذا هذا الكورس هو الأنسب لكم الآن.")</x:f>
      </x:c>
      <x:c r="N635" s="12" t="str">
        <x:f>IF(D635="","",HYPERLINK("https://wa.me/"&amp;REGEXREPLACE(D635,"[^\d]","")&amp;"?text="&amp;ENCODEURL(M635),"واتساب 2"))</x:f>
      </x:c>
      <x:c r="O635" s="12" t="str">
        <x:f>IF(A635="","","مرحبًا "&amp;C635&amp;CHAR(10)&amp;CHAR(10)&amp;"إذا كانت التحديات لديكم تحتاج حلًا أشمل، فالبرنامج الكامل المناسب لكم هو: "&amp;H635&amp;"."&amp;IF(I635&lt;&gt;"",CHAR(10)&amp;"كما يمكنكم أيضًا حجز: "&amp;I635&amp;".","")&amp;IF(J635&lt;&gt;"",CHAR(10)&amp;CHAR(10)&amp;"رابط التقرير: "&amp;J635,"")&amp;CHAR(10)&amp;CHAR(10)&amp;"يسعدنا مساعدتكم في اختيار المسار الأنسب حسب وضع العيادة الحالي.")</x:f>
      </x:c>
      <x:c r="P635" s="12" t="str">
        <x:f>IF(D635="","",HYPERLINK("https://wa.me/"&amp;REGEXREPLACE(D635,"[^\d]","")&amp;"?text="&amp;ENCODEURL(O635),"واتساب 3"))</x:f>
      </x:c>
    </x:row>
    <x:row r="636" ht="15" hidden="0" customHeight="1">
      <x:c r="A636" s="12" t="str">
        <x:f>IF(Leads!A636="","",Leads!A636)</x:f>
      </x:c>
      <x:c r="B636" s="12" t="str">
        <x:f>IF(Leads!F636="","",Leads!F636)</x:f>
      </x:c>
      <x:c r="C636" s="12" t="str">
        <x:f>IF(Leads!G636="","",Leads!G636)</x:f>
      </x:c>
      <x:c r="D636" s="12" t="str">
        <x:f>IF(Leads!O636="","",Leads!O636)</x:f>
      </x:c>
      <x:c r="E636" s="12" t="str">
        <x:f>IF(Leads!AV636="","",Leads!AV636)</x:f>
      </x:c>
      <x:c r="F636" s="12" t="str">
        <x:f>IF(Leads!AX636="","",Leads!AX636)</x:f>
      </x:c>
      <x:c r="G636" s="12" t="str">
        <x:f>IF(Leads!BC636="","",Leads!BC636)</x:f>
      </x:c>
      <x:c r="H636" s="12" t="str">
        <x:f>IF(Leads!BE636="","",Leads!BE636)</x:f>
      </x:c>
      <x:c r="I636" s="12" t="str">
        <x:f>IF(Leads!BG636="","",Leads!BG636)</x:f>
      </x:c>
      <x:c r="J636" s="12" t="str">
        <x:f>IF(Leads!BH636="","",Leads!BH636)</x:f>
      </x:c>
      <x:c r="K636" s="12" t="str">
        <x:f>IF(A636="","","مرحبًا "&amp;C636&amp;CHAR(10)&amp;CHAR(10)&amp;"شكرًا لإتمام تقييم DBD الخاص بعيادة "&amp;B636&amp;"."&amp;CHAR(10)&amp;"نتيجتكم الحالية: "&amp;E636&amp;"%."&amp;CHAR(10)&amp;"أولوية التحسين الأولى: "&amp;F636&amp;"."&amp;IF(J636&lt;&gt;"",CHAR(10)&amp;CHAR(10)&amp;"رابط التقرير: "&amp;J636,"")&amp;CHAR(10)&amp;CHAR(10)&amp;"إذا أحببت، يمكننا مساعدتك في فهم التقرير وتحديد أفضل خطوة تالية لعيادتكم.")</x:f>
      </x:c>
      <x:c r="L636" s="12" t="str">
        <x:f>IF(D636="","",HYPERLINK("https://wa.me/"&amp;REGEXREPLACE(D636,"[^\d]","")&amp;"?text="&amp;ENCODEURL(K636),"واتساب 1"))</x:f>
      </x:c>
      <x:c r="M636" s="12" t="str">
        <x:f>IF(A636="","","مرحبًا "&amp;C636&amp;CHAR(10)&amp;CHAR(10)&amp;"بناءً على نتيجة تقييم عيادة "&amp;B636&amp;"، فإن الترشيح الأقوى لكم الآن هو: "&amp;G636&amp;"."&amp;CHAR(10)&amp;"هذا الخيار يساعدكم في معالجة أكبر فجوة حالية بشكل عملي ومباشر."&amp;IF(J636&lt;&gt;"",CHAR(10)&amp;CHAR(10)&amp;"رابط التقرير: "&amp;J636,"")&amp;CHAR(10)&amp;CHAR(10)&amp;"إذا رغبت، يمكننا توضيح لماذا هذا الكورس هو الأنسب لكم الآن.")</x:f>
      </x:c>
      <x:c r="N636" s="12" t="str">
        <x:f>IF(D636="","",HYPERLINK("https://wa.me/"&amp;REGEXREPLACE(D636,"[^\d]","")&amp;"?text="&amp;ENCODEURL(M636),"واتساب 2"))</x:f>
      </x:c>
      <x:c r="O636" s="12" t="str">
        <x:f>IF(A636="","","مرحبًا "&amp;C636&amp;CHAR(10)&amp;CHAR(10)&amp;"إذا كانت التحديات لديكم تحتاج حلًا أشمل، فالبرنامج الكامل المناسب لكم هو: "&amp;H636&amp;"."&amp;IF(I636&lt;&gt;"",CHAR(10)&amp;"كما يمكنكم أيضًا حجز: "&amp;I636&amp;".","")&amp;IF(J636&lt;&gt;"",CHAR(10)&amp;CHAR(10)&amp;"رابط التقرير: "&amp;J636,"")&amp;CHAR(10)&amp;CHAR(10)&amp;"يسعدنا مساعدتكم في اختيار المسار الأنسب حسب وضع العيادة الحالي.")</x:f>
      </x:c>
      <x:c r="P636" s="12" t="str">
        <x:f>IF(D636="","",HYPERLINK("https://wa.me/"&amp;REGEXREPLACE(D636,"[^\d]","")&amp;"?text="&amp;ENCODEURL(O636),"واتساب 3"))</x:f>
      </x:c>
    </x:row>
    <x:row r="637" ht="15" hidden="0" customHeight="1">
      <x:c r="A637" s="12" t="str">
        <x:f>IF(Leads!A637="","",Leads!A637)</x:f>
      </x:c>
      <x:c r="B637" s="12" t="str">
        <x:f>IF(Leads!F637="","",Leads!F637)</x:f>
      </x:c>
      <x:c r="C637" s="12" t="str">
        <x:f>IF(Leads!G637="","",Leads!G637)</x:f>
      </x:c>
      <x:c r="D637" s="12" t="str">
        <x:f>IF(Leads!O637="","",Leads!O637)</x:f>
      </x:c>
      <x:c r="E637" s="12" t="str">
        <x:f>IF(Leads!AV637="","",Leads!AV637)</x:f>
      </x:c>
      <x:c r="F637" s="12" t="str">
        <x:f>IF(Leads!AX637="","",Leads!AX637)</x:f>
      </x:c>
      <x:c r="G637" s="12" t="str">
        <x:f>IF(Leads!BC637="","",Leads!BC637)</x:f>
      </x:c>
      <x:c r="H637" s="12" t="str">
        <x:f>IF(Leads!BE637="","",Leads!BE637)</x:f>
      </x:c>
      <x:c r="I637" s="12" t="str">
        <x:f>IF(Leads!BG637="","",Leads!BG637)</x:f>
      </x:c>
      <x:c r="J637" s="12" t="str">
        <x:f>IF(Leads!BH637="","",Leads!BH637)</x:f>
      </x:c>
      <x:c r="K637" s="12" t="str">
        <x:f>IF(A637="","","مرحبًا "&amp;C637&amp;CHAR(10)&amp;CHAR(10)&amp;"شكرًا لإتمام تقييم DBD الخاص بعيادة "&amp;B637&amp;"."&amp;CHAR(10)&amp;"نتيجتكم الحالية: "&amp;E637&amp;"%."&amp;CHAR(10)&amp;"أولوية التحسين الأولى: "&amp;F637&amp;"."&amp;IF(J637&lt;&gt;"",CHAR(10)&amp;CHAR(10)&amp;"رابط التقرير: "&amp;J637,"")&amp;CHAR(10)&amp;CHAR(10)&amp;"إذا أحببت، يمكننا مساعدتك في فهم التقرير وتحديد أفضل خطوة تالية لعيادتكم.")</x:f>
      </x:c>
      <x:c r="L637" s="12" t="str">
        <x:f>IF(D637="","",HYPERLINK("https://wa.me/"&amp;REGEXREPLACE(D637,"[^\d]","")&amp;"?text="&amp;ENCODEURL(K637),"واتساب 1"))</x:f>
      </x:c>
      <x:c r="M637" s="12" t="str">
        <x:f>IF(A637="","","مرحبًا "&amp;C637&amp;CHAR(10)&amp;CHAR(10)&amp;"بناءً على نتيجة تقييم عيادة "&amp;B637&amp;"، فإن الترشيح الأقوى لكم الآن هو: "&amp;G637&amp;"."&amp;CHAR(10)&amp;"هذا الخيار يساعدكم في معالجة أكبر فجوة حالية بشكل عملي ومباشر."&amp;IF(J637&lt;&gt;"",CHAR(10)&amp;CHAR(10)&amp;"رابط التقرير: "&amp;J637,"")&amp;CHAR(10)&amp;CHAR(10)&amp;"إذا رغبت، يمكننا توضيح لماذا هذا الكورس هو الأنسب لكم الآن.")</x:f>
      </x:c>
      <x:c r="N637" s="12" t="str">
        <x:f>IF(D637="","",HYPERLINK("https://wa.me/"&amp;REGEXREPLACE(D637,"[^\d]","")&amp;"?text="&amp;ENCODEURL(M637),"واتساب 2"))</x:f>
      </x:c>
      <x:c r="O637" s="12" t="str">
        <x:f>IF(A637="","","مرحبًا "&amp;C637&amp;CHAR(10)&amp;CHAR(10)&amp;"إذا كانت التحديات لديكم تحتاج حلًا أشمل، فالبرنامج الكامل المناسب لكم هو: "&amp;H637&amp;"."&amp;IF(I637&lt;&gt;"",CHAR(10)&amp;"كما يمكنكم أيضًا حجز: "&amp;I637&amp;".","")&amp;IF(J637&lt;&gt;"",CHAR(10)&amp;CHAR(10)&amp;"رابط التقرير: "&amp;J637,"")&amp;CHAR(10)&amp;CHAR(10)&amp;"يسعدنا مساعدتكم في اختيار المسار الأنسب حسب وضع العيادة الحالي.")</x:f>
      </x:c>
      <x:c r="P637" s="12" t="str">
        <x:f>IF(D637="","",HYPERLINK("https://wa.me/"&amp;REGEXREPLACE(D637,"[^\d]","")&amp;"?text="&amp;ENCODEURL(O637),"واتساب 3"))</x:f>
      </x:c>
    </x:row>
    <x:row r="638" ht="15" hidden="0" customHeight="1">
      <x:c r="A638" s="12" t="str">
        <x:f>IF(Leads!A638="","",Leads!A638)</x:f>
      </x:c>
      <x:c r="B638" s="12" t="str">
        <x:f>IF(Leads!F638="","",Leads!F638)</x:f>
      </x:c>
      <x:c r="C638" s="12" t="str">
        <x:f>IF(Leads!G638="","",Leads!G638)</x:f>
      </x:c>
      <x:c r="D638" s="12" t="str">
        <x:f>IF(Leads!O638="","",Leads!O638)</x:f>
      </x:c>
      <x:c r="E638" s="12" t="str">
        <x:f>IF(Leads!AV638="","",Leads!AV638)</x:f>
      </x:c>
      <x:c r="F638" s="12" t="str">
        <x:f>IF(Leads!AX638="","",Leads!AX638)</x:f>
      </x:c>
      <x:c r="G638" s="12" t="str">
        <x:f>IF(Leads!BC638="","",Leads!BC638)</x:f>
      </x:c>
      <x:c r="H638" s="12" t="str">
        <x:f>IF(Leads!BE638="","",Leads!BE638)</x:f>
      </x:c>
      <x:c r="I638" s="12" t="str">
        <x:f>IF(Leads!BG638="","",Leads!BG638)</x:f>
      </x:c>
      <x:c r="J638" s="12" t="str">
        <x:f>IF(Leads!BH638="","",Leads!BH638)</x:f>
      </x:c>
      <x:c r="K638" s="12" t="str">
        <x:f>IF(A638="","","مرحبًا "&amp;C638&amp;CHAR(10)&amp;CHAR(10)&amp;"شكرًا لإتمام تقييم DBD الخاص بعيادة "&amp;B638&amp;"."&amp;CHAR(10)&amp;"نتيجتكم الحالية: "&amp;E638&amp;"%."&amp;CHAR(10)&amp;"أولوية التحسين الأولى: "&amp;F638&amp;"."&amp;IF(J638&lt;&gt;"",CHAR(10)&amp;CHAR(10)&amp;"رابط التقرير: "&amp;J638,"")&amp;CHAR(10)&amp;CHAR(10)&amp;"إذا أحببت، يمكننا مساعدتك في فهم التقرير وتحديد أفضل خطوة تالية لعيادتكم.")</x:f>
      </x:c>
      <x:c r="L638" s="12" t="str">
        <x:f>IF(D638="","",HYPERLINK("https://wa.me/"&amp;REGEXREPLACE(D638,"[^\d]","")&amp;"?text="&amp;ENCODEURL(K638),"واتساب 1"))</x:f>
      </x:c>
      <x:c r="M638" s="12" t="str">
        <x:f>IF(A638="","","مرحبًا "&amp;C638&amp;CHAR(10)&amp;CHAR(10)&amp;"بناءً على نتيجة تقييم عيادة "&amp;B638&amp;"، فإن الترشيح الأقوى لكم الآن هو: "&amp;G638&amp;"."&amp;CHAR(10)&amp;"هذا الخيار يساعدكم في معالجة أكبر فجوة حالية بشكل عملي ومباشر."&amp;IF(J638&lt;&gt;"",CHAR(10)&amp;CHAR(10)&amp;"رابط التقرير: "&amp;J638,"")&amp;CHAR(10)&amp;CHAR(10)&amp;"إذا رغبت، يمكننا توضيح لماذا هذا الكورس هو الأنسب لكم الآن.")</x:f>
      </x:c>
      <x:c r="N638" s="12" t="str">
        <x:f>IF(D638="","",HYPERLINK("https://wa.me/"&amp;REGEXREPLACE(D638,"[^\d]","")&amp;"?text="&amp;ENCODEURL(M638),"واتساب 2"))</x:f>
      </x:c>
      <x:c r="O638" s="12" t="str">
        <x:f>IF(A638="","","مرحبًا "&amp;C638&amp;CHAR(10)&amp;CHAR(10)&amp;"إذا كانت التحديات لديكم تحتاج حلًا أشمل، فالبرنامج الكامل المناسب لكم هو: "&amp;H638&amp;"."&amp;IF(I638&lt;&gt;"",CHAR(10)&amp;"كما يمكنكم أيضًا حجز: "&amp;I638&amp;".","")&amp;IF(J638&lt;&gt;"",CHAR(10)&amp;CHAR(10)&amp;"رابط التقرير: "&amp;J638,"")&amp;CHAR(10)&amp;CHAR(10)&amp;"يسعدنا مساعدتكم في اختيار المسار الأنسب حسب وضع العيادة الحالي.")</x:f>
      </x:c>
      <x:c r="P638" s="12" t="str">
        <x:f>IF(D638="","",HYPERLINK("https://wa.me/"&amp;REGEXREPLACE(D638,"[^\d]","")&amp;"?text="&amp;ENCODEURL(O638),"واتساب 3"))</x:f>
      </x:c>
    </x:row>
    <x:row r="639" ht="15" hidden="0" customHeight="1">
      <x:c r="A639" s="12" t="str">
        <x:f>IF(Leads!A639="","",Leads!A639)</x:f>
      </x:c>
      <x:c r="B639" s="12" t="str">
        <x:f>IF(Leads!F639="","",Leads!F639)</x:f>
      </x:c>
      <x:c r="C639" s="12" t="str">
        <x:f>IF(Leads!G639="","",Leads!G639)</x:f>
      </x:c>
      <x:c r="D639" s="12" t="str">
        <x:f>IF(Leads!O639="","",Leads!O639)</x:f>
      </x:c>
      <x:c r="E639" s="12" t="str">
        <x:f>IF(Leads!AV639="","",Leads!AV639)</x:f>
      </x:c>
      <x:c r="F639" s="12" t="str">
        <x:f>IF(Leads!AX639="","",Leads!AX639)</x:f>
      </x:c>
      <x:c r="G639" s="12" t="str">
        <x:f>IF(Leads!BC639="","",Leads!BC639)</x:f>
      </x:c>
      <x:c r="H639" s="12" t="str">
        <x:f>IF(Leads!BE639="","",Leads!BE639)</x:f>
      </x:c>
      <x:c r="I639" s="12" t="str">
        <x:f>IF(Leads!BG639="","",Leads!BG639)</x:f>
      </x:c>
      <x:c r="J639" s="12" t="str">
        <x:f>IF(Leads!BH639="","",Leads!BH639)</x:f>
      </x:c>
      <x:c r="K639" s="12" t="str">
        <x:f>IF(A639="","","مرحبًا "&amp;C639&amp;CHAR(10)&amp;CHAR(10)&amp;"شكرًا لإتمام تقييم DBD الخاص بعيادة "&amp;B639&amp;"."&amp;CHAR(10)&amp;"نتيجتكم الحالية: "&amp;E639&amp;"%."&amp;CHAR(10)&amp;"أولوية التحسين الأولى: "&amp;F639&amp;"."&amp;IF(J639&lt;&gt;"",CHAR(10)&amp;CHAR(10)&amp;"رابط التقرير: "&amp;J639,"")&amp;CHAR(10)&amp;CHAR(10)&amp;"إذا أحببت، يمكننا مساعدتك في فهم التقرير وتحديد أفضل خطوة تالية لعيادتكم.")</x:f>
      </x:c>
      <x:c r="L639" s="12" t="str">
        <x:f>IF(D639="","",HYPERLINK("https://wa.me/"&amp;REGEXREPLACE(D639,"[^\d]","")&amp;"?text="&amp;ENCODEURL(K639),"واتساب 1"))</x:f>
      </x:c>
      <x:c r="M639" s="12" t="str">
        <x:f>IF(A639="","","مرحبًا "&amp;C639&amp;CHAR(10)&amp;CHAR(10)&amp;"بناءً على نتيجة تقييم عيادة "&amp;B639&amp;"، فإن الترشيح الأقوى لكم الآن هو: "&amp;G639&amp;"."&amp;CHAR(10)&amp;"هذا الخيار يساعدكم في معالجة أكبر فجوة حالية بشكل عملي ومباشر."&amp;IF(J639&lt;&gt;"",CHAR(10)&amp;CHAR(10)&amp;"رابط التقرير: "&amp;J639,"")&amp;CHAR(10)&amp;CHAR(10)&amp;"إذا رغبت، يمكننا توضيح لماذا هذا الكورس هو الأنسب لكم الآن.")</x:f>
      </x:c>
      <x:c r="N639" s="12" t="str">
        <x:f>IF(D639="","",HYPERLINK("https://wa.me/"&amp;REGEXREPLACE(D639,"[^\d]","")&amp;"?text="&amp;ENCODEURL(M639),"واتساب 2"))</x:f>
      </x:c>
      <x:c r="O639" s="12" t="str">
        <x:f>IF(A639="","","مرحبًا "&amp;C639&amp;CHAR(10)&amp;CHAR(10)&amp;"إذا كانت التحديات لديكم تحتاج حلًا أشمل، فالبرنامج الكامل المناسب لكم هو: "&amp;H639&amp;"."&amp;IF(I639&lt;&gt;"",CHAR(10)&amp;"كما يمكنكم أيضًا حجز: "&amp;I639&amp;".","")&amp;IF(J639&lt;&gt;"",CHAR(10)&amp;CHAR(10)&amp;"رابط التقرير: "&amp;J639,"")&amp;CHAR(10)&amp;CHAR(10)&amp;"يسعدنا مساعدتكم في اختيار المسار الأنسب حسب وضع العيادة الحالي.")</x:f>
      </x:c>
      <x:c r="P639" s="12" t="str">
        <x:f>IF(D639="","",HYPERLINK("https://wa.me/"&amp;REGEXREPLACE(D639,"[^\d]","")&amp;"?text="&amp;ENCODEURL(O639),"واتساب 3"))</x:f>
      </x:c>
    </x:row>
    <x:row r="640" ht="15" hidden="0" customHeight="1">
      <x:c r="A640" s="12" t="str">
        <x:f>IF(Leads!A640="","",Leads!A640)</x:f>
      </x:c>
      <x:c r="B640" s="12" t="str">
        <x:f>IF(Leads!F640="","",Leads!F640)</x:f>
      </x:c>
      <x:c r="C640" s="12" t="str">
        <x:f>IF(Leads!G640="","",Leads!G640)</x:f>
      </x:c>
      <x:c r="D640" s="12" t="str">
        <x:f>IF(Leads!O640="","",Leads!O640)</x:f>
      </x:c>
      <x:c r="E640" s="12" t="str">
        <x:f>IF(Leads!AV640="","",Leads!AV640)</x:f>
      </x:c>
      <x:c r="F640" s="12" t="str">
        <x:f>IF(Leads!AX640="","",Leads!AX640)</x:f>
      </x:c>
      <x:c r="G640" s="12" t="str">
        <x:f>IF(Leads!BC640="","",Leads!BC640)</x:f>
      </x:c>
      <x:c r="H640" s="12" t="str">
        <x:f>IF(Leads!BE640="","",Leads!BE640)</x:f>
      </x:c>
      <x:c r="I640" s="12" t="str">
        <x:f>IF(Leads!BG640="","",Leads!BG640)</x:f>
      </x:c>
      <x:c r="J640" s="12" t="str">
        <x:f>IF(Leads!BH640="","",Leads!BH640)</x:f>
      </x:c>
      <x:c r="K640" s="12" t="str">
        <x:f>IF(A640="","","مرحبًا "&amp;C640&amp;CHAR(10)&amp;CHAR(10)&amp;"شكرًا لإتمام تقييم DBD الخاص بعيادة "&amp;B640&amp;"."&amp;CHAR(10)&amp;"نتيجتكم الحالية: "&amp;E640&amp;"%."&amp;CHAR(10)&amp;"أولوية التحسين الأولى: "&amp;F640&amp;"."&amp;IF(J640&lt;&gt;"",CHAR(10)&amp;CHAR(10)&amp;"رابط التقرير: "&amp;J640,"")&amp;CHAR(10)&amp;CHAR(10)&amp;"إذا أحببت، يمكننا مساعدتك في فهم التقرير وتحديد أفضل خطوة تالية لعيادتكم.")</x:f>
      </x:c>
      <x:c r="L640" s="12" t="str">
        <x:f>IF(D640="","",HYPERLINK("https://wa.me/"&amp;REGEXREPLACE(D640,"[^\d]","")&amp;"?text="&amp;ENCODEURL(K640),"واتساب 1"))</x:f>
      </x:c>
      <x:c r="M640" s="12" t="str">
        <x:f>IF(A640="","","مرحبًا "&amp;C640&amp;CHAR(10)&amp;CHAR(10)&amp;"بناءً على نتيجة تقييم عيادة "&amp;B640&amp;"، فإن الترشيح الأقوى لكم الآن هو: "&amp;G640&amp;"."&amp;CHAR(10)&amp;"هذا الخيار يساعدكم في معالجة أكبر فجوة حالية بشكل عملي ومباشر."&amp;IF(J640&lt;&gt;"",CHAR(10)&amp;CHAR(10)&amp;"رابط التقرير: "&amp;J640,"")&amp;CHAR(10)&amp;CHAR(10)&amp;"إذا رغبت، يمكننا توضيح لماذا هذا الكورس هو الأنسب لكم الآن.")</x:f>
      </x:c>
      <x:c r="N640" s="12" t="str">
        <x:f>IF(D640="","",HYPERLINK("https://wa.me/"&amp;REGEXREPLACE(D640,"[^\d]","")&amp;"?text="&amp;ENCODEURL(M640),"واتساب 2"))</x:f>
      </x:c>
      <x:c r="O640" s="12" t="str">
        <x:f>IF(A640="","","مرحبًا "&amp;C640&amp;CHAR(10)&amp;CHAR(10)&amp;"إذا كانت التحديات لديكم تحتاج حلًا أشمل، فالبرنامج الكامل المناسب لكم هو: "&amp;H640&amp;"."&amp;IF(I640&lt;&gt;"",CHAR(10)&amp;"كما يمكنكم أيضًا حجز: "&amp;I640&amp;".","")&amp;IF(J640&lt;&gt;"",CHAR(10)&amp;CHAR(10)&amp;"رابط التقرير: "&amp;J640,"")&amp;CHAR(10)&amp;CHAR(10)&amp;"يسعدنا مساعدتكم في اختيار المسار الأنسب حسب وضع العيادة الحالي.")</x:f>
      </x:c>
      <x:c r="P640" s="12" t="str">
        <x:f>IF(D640="","",HYPERLINK("https://wa.me/"&amp;REGEXREPLACE(D640,"[^\d]","")&amp;"?text="&amp;ENCODEURL(O640),"واتساب 3"))</x:f>
      </x:c>
    </x:row>
    <x:row r="641" ht="15" hidden="0" customHeight="1">
      <x:c r="A641" s="12" t="str">
        <x:f>IF(Leads!A641="","",Leads!A641)</x:f>
      </x:c>
      <x:c r="B641" s="12" t="str">
        <x:f>IF(Leads!F641="","",Leads!F641)</x:f>
      </x:c>
      <x:c r="C641" s="12" t="str">
        <x:f>IF(Leads!G641="","",Leads!G641)</x:f>
      </x:c>
      <x:c r="D641" s="12" t="str">
        <x:f>IF(Leads!O641="","",Leads!O641)</x:f>
      </x:c>
      <x:c r="E641" s="12" t="str">
        <x:f>IF(Leads!AV641="","",Leads!AV641)</x:f>
      </x:c>
      <x:c r="F641" s="12" t="str">
        <x:f>IF(Leads!AX641="","",Leads!AX641)</x:f>
      </x:c>
      <x:c r="G641" s="12" t="str">
        <x:f>IF(Leads!BC641="","",Leads!BC641)</x:f>
      </x:c>
      <x:c r="H641" s="12" t="str">
        <x:f>IF(Leads!BE641="","",Leads!BE641)</x:f>
      </x:c>
      <x:c r="I641" s="12" t="str">
        <x:f>IF(Leads!BG641="","",Leads!BG641)</x:f>
      </x:c>
      <x:c r="J641" s="12" t="str">
        <x:f>IF(Leads!BH641="","",Leads!BH641)</x:f>
      </x:c>
      <x:c r="K641" s="12" t="str">
        <x:f>IF(A641="","","مرحبًا "&amp;C641&amp;CHAR(10)&amp;CHAR(10)&amp;"شكرًا لإتمام تقييم DBD الخاص بعيادة "&amp;B641&amp;"."&amp;CHAR(10)&amp;"نتيجتكم الحالية: "&amp;E641&amp;"%."&amp;CHAR(10)&amp;"أولوية التحسين الأولى: "&amp;F641&amp;"."&amp;IF(J641&lt;&gt;"",CHAR(10)&amp;CHAR(10)&amp;"رابط التقرير: "&amp;J641,"")&amp;CHAR(10)&amp;CHAR(10)&amp;"إذا أحببت، يمكننا مساعدتك في فهم التقرير وتحديد أفضل خطوة تالية لعيادتكم.")</x:f>
      </x:c>
      <x:c r="L641" s="12" t="str">
        <x:f>IF(D641="","",HYPERLINK("https://wa.me/"&amp;REGEXREPLACE(D641,"[^\d]","")&amp;"?text="&amp;ENCODEURL(K641),"واتساب 1"))</x:f>
      </x:c>
      <x:c r="M641" s="12" t="str">
        <x:f>IF(A641="","","مرحبًا "&amp;C641&amp;CHAR(10)&amp;CHAR(10)&amp;"بناءً على نتيجة تقييم عيادة "&amp;B641&amp;"، فإن الترشيح الأقوى لكم الآن هو: "&amp;G641&amp;"."&amp;CHAR(10)&amp;"هذا الخيار يساعدكم في معالجة أكبر فجوة حالية بشكل عملي ومباشر."&amp;IF(J641&lt;&gt;"",CHAR(10)&amp;CHAR(10)&amp;"رابط التقرير: "&amp;J641,"")&amp;CHAR(10)&amp;CHAR(10)&amp;"إذا رغبت، يمكننا توضيح لماذا هذا الكورس هو الأنسب لكم الآن.")</x:f>
      </x:c>
      <x:c r="N641" s="12" t="str">
        <x:f>IF(D641="","",HYPERLINK("https://wa.me/"&amp;REGEXREPLACE(D641,"[^\d]","")&amp;"?text="&amp;ENCODEURL(M641),"واتساب 2"))</x:f>
      </x:c>
      <x:c r="O641" s="12" t="str">
        <x:f>IF(A641="","","مرحبًا "&amp;C641&amp;CHAR(10)&amp;CHAR(10)&amp;"إذا كانت التحديات لديكم تحتاج حلًا أشمل، فالبرنامج الكامل المناسب لكم هو: "&amp;H641&amp;"."&amp;IF(I641&lt;&gt;"",CHAR(10)&amp;"كما يمكنكم أيضًا حجز: "&amp;I641&amp;".","")&amp;IF(J641&lt;&gt;"",CHAR(10)&amp;CHAR(10)&amp;"رابط التقرير: "&amp;J641,"")&amp;CHAR(10)&amp;CHAR(10)&amp;"يسعدنا مساعدتكم في اختيار المسار الأنسب حسب وضع العيادة الحالي.")</x:f>
      </x:c>
      <x:c r="P641" s="12" t="str">
        <x:f>IF(D641="","",HYPERLINK("https://wa.me/"&amp;REGEXREPLACE(D641,"[^\d]","")&amp;"?text="&amp;ENCODEURL(O641),"واتساب 3"))</x:f>
      </x:c>
    </x:row>
    <x:row r="642" ht="15" hidden="0" customHeight="1">
      <x:c r="A642" s="12" t="str">
        <x:f>IF(Leads!A642="","",Leads!A642)</x:f>
      </x:c>
      <x:c r="B642" s="12" t="str">
        <x:f>IF(Leads!F642="","",Leads!F642)</x:f>
      </x:c>
      <x:c r="C642" s="12" t="str">
        <x:f>IF(Leads!G642="","",Leads!G642)</x:f>
      </x:c>
      <x:c r="D642" s="12" t="str">
        <x:f>IF(Leads!O642="","",Leads!O642)</x:f>
      </x:c>
      <x:c r="E642" s="12" t="str">
        <x:f>IF(Leads!AV642="","",Leads!AV642)</x:f>
      </x:c>
      <x:c r="F642" s="12" t="str">
        <x:f>IF(Leads!AX642="","",Leads!AX642)</x:f>
      </x:c>
      <x:c r="G642" s="12" t="str">
        <x:f>IF(Leads!BC642="","",Leads!BC642)</x:f>
      </x:c>
      <x:c r="H642" s="12" t="str">
        <x:f>IF(Leads!BE642="","",Leads!BE642)</x:f>
      </x:c>
      <x:c r="I642" s="12" t="str">
        <x:f>IF(Leads!BG642="","",Leads!BG642)</x:f>
      </x:c>
      <x:c r="J642" s="12" t="str">
        <x:f>IF(Leads!BH642="","",Leads!BH642)</x:f>
      </x:c>
      <x:c r="K642" s="12" t="str">
        <x:f>IF(A642="","","مرحبًا "&amp;C642&amp;CHAR(10)&amp;CHAR(10)&amp;"شكرًا لإتمام تقييم DBD الخاص بعيادة "&amp;B642&amp;"."&amp;CHAR(10)&amp;"نتيجتكم الحالية: "&amp;E642&amp;"%."&amp;CHAR(10)&amp;"أولوية التحسين الأولى: "&amp;F642&amp;"."&amp;IF(J642&lt;&gt;"",CHAR(10)&amp;CHAR(10)&amp;"رابط التقرير: "&amp;J642,"")&amp;CHAR(10)&amp;CHAR(10)&amp;"إذا أحببت، يمكننا مساعدتك في فهم التقرير وتحديد أفضل خطوة تالية لعيادتكم.")</x:f>
      </x:c>
      <x:c r="L642" s="12" t="str">
        <x:f>IF(D642="","",HYPERLINK("https://wa.me/"&amp;REGEXREPLACE(D642,"[^\d]","")&amp;"?text="&amp;ENCODEURL(K642),"واتساب 1"))</x:f>
      </x:c>
      <x:c r="M642" s="12" t="str">
        <x:f>IF(A642="","","مرحبًا "&amp;C642&amp;CHAR(10)&amp;CHAR(10)&amp;"بناءً على نتيجة تقييم عيادة "&amp;B642&amp;"، فإن الترشيح الأقوى لكم الآن هو: "&amp;G642&amp;"."&amp;CHAR(10)&amp;"هذا الخيار يساعدكم في معالجة أكبر فجوة حالية بشكل عملي ومباشر."&amp;IF(J642&lt;&gt;"",CHAR(10)&amp;CHAR(10)&amp;"رابط التقرير: "&amp;J642,"")&amp;CHAR(10)&amp;CHAR(10)&amp;"إذا رغبت، يمكننا توضيح لماذا هذا الكورس هو الأنسب لكم الآن.")</x:f>
      </x:c>
      <x:c r="N642" s="12" t="str">
        <x:f>IF(D642="","",HYPERLINK("https://wa.me/"&amp;REGEXREPLACE(D642,"[^\d]","")&amp;"?text="&amp;ENCODEURL(M642),"واتساب 2"))</x:f>
      </x:c>
      <x:c r="O642" s="12" t="str">
        <x:f>IF(A642="","","مرحبًا "&amp;C642&amp;CHAR(10)&amp;CHAR(10)&amp;"إذا كانت التحديات لديكم تحتاج حلًا أشمل، فالبرنامج الكامل المناسب لكم هو: "&amp;H642&amp;"."&amp;IF(I642&lt;&gt;"",CHAR(10)&amp;"كما يمكنكم أيضًا حجز: "&amp;I642&amp;".","")&amp;IF(J642&lt;&gt;"",CHAR(10)&amp;CHAR(10)&amp;"رابط التقرير: "&amp;J642,"")&amp;CHAR(10)&amp;CHAR(10)&amp;"يسعدنا مساعدتكم في اختيار المسار الأنسب حسب وضع العيادة الحالي.")</x:f>
      </x:c>
      <x:c r="P642" s="12" t="str">
        <x:f>IF(D642="","",HYPERLINK("https://wa.me/"&amp;REGEXREPLACE(D642,"[^\d]","")&amp;"?text="&amp;ENCODEURL(O642),"واتساب 3"))</x:f>
      </x:c>
    </x:row>
    <x:row r="643" ht="15" hidden="0" customHeight="1">
      <x:c r="A643" s="12" t="str">
        <x:f>IF(Leads!A643="","",Leads!A643)</x:f>
      </x:c>
      <x:c r="B643" s="12" t="str">
        <x:f>IF(Leads!F643="","",Leads!F643)</x:f>
      </x:c>
      <x:c r="C643" s="12" t="str">
        <x:f>IF(Leads!G643="","",Leads!G643)</x:f>
      </x:c>
      <x:c r="D643" s="12" t="str">
        <x:f>IF(Leads!O643="","",Leads!O643)</x:f>
      </x:c>
      <x:c r="E643" s="12" t="str">
        <x:f>IF(Leads!AV643="","",Leads!AV643)</x:f>
      </x:c>
      <x:c r="F643" s="12" t="str">
        <x:f>IF(Leads!AX643="","",Leads!AX643)</x:f>
      </x:c>
      <x:c r="G643" s="12" t="str">
        <x:f>IF(Leads!BC643="","",Leads!BC643)</x:f>
      </x:c>
      <x:c r="H643" s="12" t="str">
        <x:f>IF(Leads!BE643="","",Leads!BE643)</x:f>
      </x:c>
      <x:c r="I643" s="12" t="str">
        <x:f>IF(Leads!BG643="","",Leads!BG643)</x:f>
      </x:c>
      <x:c r="J643" s="12" t="str">
        <x:f>IF(Leads!BH643="","",Leads!BH643)</x:f>
      </x:c>
      <x:c r="K643" s="12" t="str">
        <x:f>IF(A643="","","مرحبًا "&amp;C643&amp;CHAR(10)&amp;CHAR(10)&amp;"شكرًا لإتمام تقييم DBD الخاص بعيادة "&amp;B643&amp;"."&amp;CHAR(10)&amp;"نتيجتكم الحالية: "&amp;E643&amp;"%."&amp;CHAR(10)&amp;"أولوية التحسين الأولى: "&amp;F643&amp;"."&amp;IF(J643&lt;&gt;"",CHAR(10)&amp;CHAR(10)&amp;"رابط التقرير: "&amp;J643,"")&amp;CHAR(10)&amp;CHAR(10)&amp;"إذا أحببت، يمكننا مساعدتك في فهم التقرير وتحديد أفضل خطوة تالية لعيادتكم.")</x:f>
      </x:c>
      <x:c r="L643" s="12" t="str">
        <x:f>IF(D643="","",HYPERLINK("https://wa.me/"&amp;REGEXREPLACE(D643,"[^\d]","")&amp;"?text="&amp;ENCODEURL(K643),"واتساب 1"))</x:f>
      </x:c>
      <x:c r="M643" s="12" t="str">
        <x:f>IF(A643="","","مرحبًا "&amp;C643&amp;CHAR(10)&amp;CHAR(10)&amp;"بناءً على نتيجة تقييم عيادة "&amp;B643&amp;"، فإن الترشيح الأقوى لكم الآن هو: "&amp;G643&amp;"."&amp;CHAR(10)&amp;"هذا الخيار يساعدكم في معالجة أكبر فجوة حالية بشكل عملي ومباشر."&amp;IF(J643&lt;&gt;"",CHAR(10)&amp;CHAR(10)&amp;"رابط التقرير: "&amp;J643,"")&amp;CHAR(10)&amp;CHAR(10)&amp;"إذا رغبت، يمكننا توضيح لماذا هذا الكورس هو الأنسب لكم الآن.")</x:f>
      </x:c>
      <x:c r="N643" s="12" t="str">
        <x:f>IF(D643="","",HYPERLINK("https://wa.me/"&amp;REGEXREPLACE(D643,"[^\d]","")&amp;"?text="&amp;ENCODEURL(M643),"واتساب 2"))</x:f>
      </x:c>
      <x:c r="O643" s="12" t="str">
        <x:f>IF(A643="","","مرحبًا "&amp;C643&amp;CHAR(10)&amp;CHAR(10)&amp;"إذا كانت التحديات لديكم تحتاج حلًا أشمل، فالبرنامج الكامل المناسب لكم هو: "&amp;H643&amp;"."&amp;IF(I643&lt;&gt;"",CHAR(10)&amp;"كما يمكنكم أيضًا حجز: "&amp;I643&amp;".","")&amp;IF(J643&lt;&gt;"",CHAR(10)&amp;CHAR(10)&amp;"رابط التقرير: "&amp;J643,"")&amp;CHAR(10)&amp;CHAR(10)&amp;"يسعدنا مساعدتكم في اختيار المسار الأنسب حسب وضع العيادة الحالي.")</x:f>
      </x:c>
      <x:c r="P643" s="12" t="str">
        <x:f>IF(D643="","",HYPERLINK("https://wa.me/"&amp;REGEXREPLACE(D643,"[^\d]","")&amp;"?text="&amp;ENCODEURL(O643),"واتساب 3"))</x:f>
      </x:c>
    </x:row>
    <x:row r="644" ht="15" hidden="0" customHeight="1">
      <x:c r="A644" s="12" t="str">
        <x:f>IF(Leads!A644="","",Leads!A644)</x:f>
      </x:c>
      <x:c r="B644" s="12" t="str">
        <x:f>IF(Leads!F644="","",Leads!F644)</x:f>
      </x:c>
      <x:c r="C644" s="12" t="str">
        <x:f>IF(Leads!G644="","",Leads!G644)</x:f>
      </x:c>
      <x:c r="D644" s="12" t="str">
        <x:f>IF(Leads!O644="","",Leads!O644)</x:f>
      </x:c>
      <x:c r="E644" s="12" t="str">
        <x:f>IF(Leads!AV644="","",Leads!AV644)</x:f>
      </x:c>
      <x:c r="F644" s="12" t="str">
        <x:f>IF(Leads!AX644="","",Leads!AX644)</x:f>
      </x:c>
      <x:c r="G644" s="12" t="str">
        <x:f>IF(Leads!BC644="","",Leads!BC644)</x:f>
      </x:c>
      <x:c r="H644" s="12" t="str">
        <x:f>IF(Leads!BE644="","",Leads!BE644)</x:f>
      </x:c>
      <x:c r="I644" s="12" t="str">
        <x:f>IF(Leads!BG644="","",Leads!BG644)</x:f>
      </x:c>
      <x:c r="J644" s="12" t="str">
        <x:f>IF(Leads!BH644="","",Leads!BH644)</x:f>
      </x:c>
      <x:c r="K644" s="12" t="str">
        <x:f>IF(A644="","","مرحبًا "&amp;C644&amp;CHAR(10)&amp;CHAR(10)&amp;"شكرًا لإتمام تقييم DBD الخاص بعيادة "&amp;B644&amp;"."&amp;CHAR(10)&amp;"نتيجتكم الحالية: "&amp;E644&amp;"%."&amp;CHAR(10)&amp;"أولوية التحسين الأولى: "&amp;F644&amp;"."&amp;IF(J644&lt;&gt;"",CHAR(10)&amp;CHAR(10)&amp;"رابط التقرير: "&amp;J644,"")&amp;CHAR(10)&amp;CHAR(10)&amp;"إذا أحببت، يمكننا مساعدتك في فهم التقرير وتحديد أفضل خطوة تالية لعيادتكم.")</x:f>
      </x:c>
      <x:c r="L644" s="12" t="str">
        <x:f>IF(D644="","",HYPERLINK("https://wa.me/"&amp;REGEXREPLACE(D644,"[^\d]","")&amp;"?text="&amp;ENCODEURL(K644),"واتساب 1"))</x:f>
      </x:c>
      <x:c r="M644" s="12" t="str">
        <x:f>IF(A644="","","مرحبًا "&amp;C644&amp;CHAR(10)&amp;CHAR(10)&amp;"بناءً على نتيجة تقييم عيادة "&amp;B644&amp;"، فإن الترشيح الأقوى لكم الآن هو: "&amp;G644&amp;"."&amp;CHAR(10)&amp;"هذا الخيار يساعدكم في معالجة أكبر فجوة حالية بشكل عملي ومباشر."&amp;IF(J644&lt;&gt;"",CHAR(10)&amp;CHAR(10)&amp;"رابط التقرير: "&amp;J644,"")&amp;CHAR(10)&amp;CHAR(10)&amp;"إذا رغبت، يمكننا توضيح لماذا هذا الكورس هو الأنسب لكم الآن.")</x:f>
      </x:c>
      <x:c r="N644" s="12" t="str">
        <x:f>IF(D644="","",HYPERLINK("https://wa.me/"&amp;REGEXREPLACE(D644,"[^\d]","")&amp;"?text="&amp;ENCODEURL(M644),"واتساب 2"))</x:f>
      </x:c>
      <x:c r="O644" s="12" t="str">
        <x:f>IF(A644="","","مرحبًا "&amp;C644&amp;CHAR(10)&amp;CHAR(10)&amp;"إذا كانت التحديات لديكم تحتاج حلًا أشمل، فالبرنامج الكامل المناسب لكم هو: "&amp;H644&amp;"."&amp;IF(I644&lt;&gt;"",CHAR(10)&amp;"كما يمكنكم أيضًا حجز: "&amp;I644&amp;".","")&amp;IF(J644&lt;&gt;"",CHAR(10)&amp;CHAR(10)&amp;"رابط التقرير: "&amp;J644,"")&amp;CHAR(10)&amp;CHAR(10)&amp;"يسعدنا مساعدتكم في اختيار المسار الأنسب حسب وضع العيادة الحالي.")</x:f>
      </x:c>
      <x:c r="P644" s="12" t="str">
        <x:f>IF(D644="","",HYPERLINK("https://wa.me/"&amp;REGEXREPLACE(D644,"[^\d]","")&amp;"?text="&amp;ENCODEURL(O644),"واتساب 3"))</x:f>
      </x:c>
    </x:row>
    <x:row r="645" ht="15" hidden="0" customHeight="1">
      <x:c r="A645" s="12" t="str">
        <x:f>IF(Leads!A645="","",Leads!A645)</x:f>
      </x:c>
      <x:c r="B645" s="12" t="str">
        <x:f>IF(Leads!F645="","",Leads!F645)</x:f>
      </x:c>
      <x:c r="C645" s="12" t="str">
        <x:f>IF(Leads!G645="","",Leads!G645)</x:f>
      </x:c>
      <x:c r="D645" s="12" t="str">
        <x:f>IF(Leads!O645="","",Leads!O645)</x:f>
      </x:c>
      <x:c r="E645" s="12" t="str">
        <x:f>IF(Leads!AV645="","",Leads!AV645)</x:f>
      </x:c>
      <x:c r="F645" s="12" t="str">
        <x:f>IF(Leads!AX645="","",Leads!AX645)</x:f>
      </x:c>
      <x:c r="G645" s="12" t="str">
        <x:f>IF(Leads!BC645="","",Leads!BC645)</x:f>
      </x:c>
      <x:c r="H645" s="12" t="str">
        <x:f>IF(Leads!BE645="","",Leads!BE645)</x:f>
      </x:c>
      <x:c r="I645" s="12" t="str">
        <x:f>IF(Leads!BG645="","",Leads!BG645)</x:f>
      </x:c>
      <x:c r="J645" s="12" t="str">
        <x:f>IF(Leads!BH645="","",Leads!BH645)</x:f>
      </x:c>
      <x:c r="K645" s="12" t="str">
        <x:f>IF(A645="","","مرحبًا "&amp;C645&amp;CHAR(10)&amp;CHAR(10)&amp;"شكرًا لإتمام تقييم DBD الخاص بعيادة "&amp;B645&amp;"."&amp;CHAR(10)&amp;"نتيجتكم الحالية: "&amp;E645&amp;"%."&amp;CHAR(10)&amp;"أولوية التحسين الأولى: "&amp;F645&amp;"."&amp;IF(J645&lt;&gt;"",CHAR(10)&amp;CHAR(10)&amp;"رابط التقرير: "&amp;J645,"")&amp;CHAR(10)&amp;CHAR(10)&amp;"إذا أحببت، يمكننا مساعدتك في فهم التقرير وتحديد أفضل خطوة تالية لعيادتكم.")</x:f>
      </x:c>
      <x:c r="L645" s="12" t="str">
        <x:f>IF(D645="","",HYPERLINK("https://wa.me/"&amp;REGEXREPLACE(D645,"[^\d]","")&amp;"?text="&amp;ENCODEURL(K645),"واتساب 1"))</x:f>
      </x:c>
      <x:c r="M645" s="12" t="str">
        <x:f>IF(A645="","","مرحبًا "&amp;C645&amp;CHAR(10)&amp;CHAR(10)&amp;"بناءً على نتيجة تقييم عيادة "&amp;B645&amp;"، فإن الترشيح الأقوى لكم الآن هو: "&amp;G645&amp;"."&amp;CHAR(10)&amp;"هذا الخيار يساعدكم في معالجة أكبر فجوة حالية بشكل عملي ومباشر."&amp;IF(J645&lt;&gt;"",CHAR(10)&amp;CHAR(10)&amp;"رابط التقرير: "&amp;J645,"")&amp;CHAR(10)&amp;CHAR(10)&amp;"إذا رغبت، يمكننا توضيح لماذا هذا الكورس هو الأنسب لكم الآن.")</x:f>
      </x:c>
      <x:c r="N645" s="12" t="str">
        <x:f>IF(D645="","",HYPERLINK("https://wa.me/"&amp;REGEXREPLACE(D645,"[^\d]","")&amp;"?text="&amp;ENCODEURL(M645),"واتساب 2"))</x:f>
      </x:c>
      <x:c r="O645" s="12" t="str">
        <x:f>IF(A645="","","مرحبًا "&amp;C645&amp;CHAR(10)&amp;CHAR(10)&amp;"إذا كانت التحديات لديكم تحتاج حلًا أشمل، فالبرنامج الكامل المناسب لكم هو: "&amp;H645&amp;"."&amp;IF(I645&lt;&gt;"",CHAR(10)&amp;"كما يمكنكم أيضًا حجز: "&amp;I645&amp;".","")&amp;IF(J645&lt;&gt;"",CHAR(10)&amp;CHAR(10)&amp;"رابط التقرير: "&amp;J645,"")&amp;CHAR(10)&amp;CHAR(10)&amp;"يسعدنا مساعدتكم في اختيار المسار الأنسب حسب وضع العيادة الحالي.")</x:f>
      </x:c>
      <x:c r="P645" s="12" t="str">
        <x:f>IF(D645="","",HYPERLINK("https://wa.me/"&amp;REGEXREPLACE(D645,"[^\d]","")&amp;"?text="&amp;ENCODEURL(O645),"واتساب 3"))</x:f>
      </x:c>
    </x:row>
    <x:row r="646" ht="15" hidden="0" customHeight="1">
      <x:c r="A646" s="12" t="str">
        <x:f>IF(Leads!A646="","",Leads!A646)</x:f>
      </x:c>
      <x:c r="B646" s="12" t="str">
        <x:f>IF(Leads!F646="","",Leads!F646)</x:f>
      </x:c>
      <x:c r="C646" s="12" t="str">
        <x:f>IF(Leads!G646="","",Leads!G646)</x:f>
      </x:c>
      <x:c r="D646" s="12" t="str">
        <x:f>IF(Leads!O646="","",Leads!O646)</x:f>
      </x:c>
      <x:c r="E646" s="12" t="str">
        <x:f>IF(Leads!AV646="","",Leads!AV646)</x:f>
      </x:c>
      <x:c r="F646" s="12" t="str">
        <x:f>IF(Leads!AX646="","",Leads!AX646)</x:f>
      </x:c>
      <x:c r="G646" s="12" t="str">
        <x:f>IF(Leads!BC646="","",Leads!BC646)</x:f>
      </x:c>
      <x:c r="H646" s="12" t="str">
        <x:f>IF(Leads!BE646="","",Leads!BE646)</x:f>
      </x:c>
      <x:c r="I646" s="12" t="str">
        <x:f>IF(Leads!BG646="","",Leads!BG646)</x:f>
      </x:c>
      <x:c r="J646" s="12" t="str">
        <x:f>IF(Leads!BH646="","",Leads!BH646)</x:f>
      </x:c>
      <x:c r="K646" s="12" t="str">
        <x:f>IF(A646="","","مرحبًا "&amp;C646&amp;CHAR(10)&amp;CHAR(10)&amp;"شكرًا لإتمام تقييم DBD الخاص بعيادة "&amp;B646&amp;"."&amp;CHAR(10)&amp;"نتيجتكم الحالية: "&amp;E646&amp;"%."&amp;CHAR(10)&amp;"أولوية التحسين الأولى: "&amp;F646&amp;"."&amp;IF(J646&lt;&gt;"",CHAR(10)&amp;CHAR(10)&amp;"رابط التقرير: "&amp;J646,"")&amp;CHAR(10)&amp;CHAR(10)&amp;"إذا أحببت، يمكننا مساعدتك في فهم التقرير وتحديد أفضل خطوة تالية لعيادتكم.")</x:f>
      </x:c>
      <x:c r="L646" s="12" t="str">
        <x:f>IF(D646="","",HYPERLINK("https://wa.me/"&amp;REGEXREPLACE(D646,"[^\d]","")&amp;"?text="&amp;ENCODEURL(K646),"واتساب 1"))</x:f>
      </x:c>
      <x:c r="M646" s="12" t="str">
        <x:f>IF(A646="","","مرحبًا "&amp;C646&amp;CHAR(10)&amp;CHAR(10)&amp;"بناءً على نتيجة تقييم عيادة "&amp;B646&amp;"، فإن الترشيح الأقوى لكم الآن هو: "&amp;G646&amp;"."&amp;CHAR(10)&amp;"هذا الخيار يساعدكم في معالجة أكبر فجوة حالية بشكل عملي ومباشر."&amp;IF(J646&lt;&gt;"",CHAR(10)&amp;CHAR(10)&amp;"رابط التقرير: "&amp;J646,"")&amp;CHAR(10)&amp;CHAR(10)&amp;"إذا رغبت، يمكننا توضيح لماذا هذا الكورس هو الأنسب لكم الآن.")</x:f>
      </x:c>
      <x:c r="N646" s="12" t="str">
        <x:f>IF(D646="","",HYPERLINK("https://wa.me/"&amp;REGEXREPLACE(D646,"[^\d]","")&amp;"?text="&amp;ENCODEURL(M646),"واتساب 2"))</x:f>
      </x:c>
      <x:c r="O646" s="12" t="str">
        <x:f>IF(A646="","","مرحبًا "&amp;C646&amp;CHAR(10)&amp;CHAR(10)&amp;"إذا كانت التحديات لديكم تحتاج حلًا أشمل، فالبرنامج الكامل المناسب لكم هو: "&amp;H646&amp;"."&amp;IF(I646&lt;&gt;"",CHAR(10)&amp;"كما يمكنكم أيضًا حجز: "&amp;I646&amp;".","")&amp;IF(J646&lt;&gt;"",CHAR(10)&amp;CHAR(10)&amp;"رابط التقرير: "&amp;J646,"")&amp;CHAR(10)&amp;CHAR(10)&amp;"يسعدنا مساعدتكم في اختيار المسار الأنسب حسب وضع العيادة الحالي.")</x:f>
      </x:c>
      <x:c r="P646" s="12" t="str">
        <x:f>IF(D646="","",HYPERLINK("https://wa.me/"&amp;REGEXREPLACE(D646,"[^\d]","")&amp;"?text="&amp;ENCODEURL(O646),"واتساب 3"))</x:f>
      </x:c>
    </x:row>
    <x:row r="647" ht="15" hidden="0" customHeight="1">
      <x:c r="A647" s="12" t="str">
        <x:f>IF(Leads!A647="","",Leads!A647)</x:f>
      </x:c>
      <x:c r="B647" s="12" t="str">
        <x:f>IF(Leads!F647="","",Leads!F647)</x:f>
      </x:c>
      <x:c r="C647" s="12" t="str">
        <x:f>IF(Leads!G647="","",Leads!G647)</x:f>
      </x:c>
      <x:c r="D647" s="12" t="str">
        <x:f>IF(Leads!O647="","",Leads!O647)</x:f>
      </x:c>
      <x:c r="E647" s="12" t="str">
        <x:f>IF(Leads!AV647="","",Leads!AV647)</x:f>
      </x:c>
      <x:c r="F647" s="12" t="str">
        <x:f>IF(Leads!AX647="","",Leads!AX647)</x:f>
      </x:c>
      <x:c r="G647" s="12" t="str">
        <x:f>IF(Leads!BC647="","",Leads!BC647)</x:f>
      </x:c>
      <x:c r="H647" s="12" t="str">
        <x:f>IF(Leads!BE647="","",Leads!BE647)</x:f>
      </x:c>
      <x:c r="I647" s="12" t="str">
        <x:f>IF(Leads!BG647="","",Leads!BG647)</x:f>
      </x:c>
      <x:c r="J647" s="12" t="str">
        <x:f>IF(Leads!BH647="","",Leads!BH647)</x:f>
      </x:c>
      <x:c r="K647" s="12" t="str">
        <x:f>IF(A647="","","مرحبًا "&amp;C647&amp;CHAR(10)&amp;CHAR(10)&amp;"شكرًا لإتمام تقييم DBD الخاص بعيادة "&amp;B647&amp;"."&amp;CHAR(10)&amp;"نتيجتكم الحالية: "&amp;E647&amp;"%."&amp;CHAR(10)&amp;"أولوية التحسين الأولى: "&amp;F647&amp;"."&amp;IF(J647&lt;&gt;"",CHAR(10)&amp;CHAR(10)&amp;"رابط التقرير: "&amp;J647,"")&amp;CHAR(10)&amp;CHAR(10)&amp;"إذا أحببت، يمكننا مساعدتك في فهم التقرير وتحديد أفضل خطوة تالية لعيادتكم.")</x:f>
      </x:c>
      <x:c r="L647" s="12" t="str">
        <x:f>IF(D647="","",HYPERLINK("https://wa.me/"&amp;REGEXREPLACE(D647,"[^\d]","")&amp;"?text="&amp;ENCODEURL(K647),"واتساب 1"))</x:f>
      </x:c>
      <x:c r="M647" s="12" t="str">
        <x:f>IF(A647="","","مرحبًا "&amp;C647&amp;CHAR(10)&amp;CHAR(10)&amp;"بناءً على نتيجة تقييم عيادة "&amp;B647&amp;"، فإن الترشيح الأقوى لكم الآن هو: "&amp;G647&amp;"."&amp;CHAR(10)&amp;"هذا الخيار يساعدكم في معالجة أكبر فجوة حالية بشكل عملي ومباشر."&amp;IF(J647&lt;&gt;"",CHAR(10)&amp;CHAR(10)&amp;"رابط التقرير: "&amp;J647,"")&amp;CHAR(10)&amp;CHAR(10)&amp;"إذا رغبت، يمكننا توضيح لماذا هذا الكورس هو الأنسب لكم الآن.")</x:f>
      </x:c>
      <x:c r="N647" s="12" t="str">
        <x:f>IF(D647="","",HYPERLINK("https://wa.me/"&amp;REGEXREPLACE(D647,"[^\d]","")&amp;"?text="&amp;ENCODEURL(M647),"واتساب 2"))</x:f>
      </x:c>
      <x:c r="O647" s="12" t="str">
        <x:f>IF(A647="","","مرحبًا "&amp;C647&amp;CHAR(10)&amp;CHAR(10)&amp;"إذا كانت التحديات لديكم تحتاج حلًا أشمل، فالبرنامج الكامل المناسب لكم هو: "&amp;H647&amp;"."&amp;IF(I647&lt;&gt;"",CHAR(10)&amp;"كما يمكنكم أيضًا حجز: "&amp;I647&amp;".","")&amp;IF(J647&lt;&gt;"",CHAR(10)&amp;CHAR(10)&amp;"رابط التقرير: "&amp;J647,"")&amp;CHAR(10)&amp;CHAR(10)&amp;"يسعدنا مساعدتكم في اختيار المسار الأنسب حسب وضع العيادة الحالي.")</x:f>
      </x:c>
      <x:c r="P647" s="12" t="str">
        <x:f>IF(D647="","",HYPERLINK("https://wa.me/"&amp;REGEXREPLACE(D647,"[^\d]","")&amp;"?text="&amp;ENCODEURL(O647),"واتساب 3"))</x:f>
      </x:c>
    </x:row>
    <x:row r="648" ht="15" hidden="0" customHeight="1">
      <x:c r="A648" s="12" t="str">
        <x:f>IF(Leads!A648="","",Leads!A648)</x:f>
      </x:c>
      <x:c r="B648" s="12" t="str">
        <x:f>IF(Leads!F648="","",Leads!F648)</x:f>
      </x:c>
      <x:c r="C648" s="12" t="str">
        <x:f>IF(Leads!G648="","",Leads!G648)</x:f>
      </x:c>
      <x:c r="D648" s="12" t="str">
        <x:f>IF(Leads!O648="","",Leads!O648)</x:f>
      </x:c>
      <x:c r="E648" s="12" t="str">
        <x:f>IF(Leads!AV648="","",Leads!AV648)</x:f>
      </x:c>
      <x:c r="F648" s="12" t="str">
        <x:f>IF(Leads!AX648="","",Leads!AX648)</x:f>
      </x:c>
      <x:c r="G648" s="12" t="str">
        <x:f>IF(Leads!BC648="","",Leads!BC648)</x:f>
      </x:c>
      <x:c r="H648" s="12" t="str">
        <x:f>IF(Leads!BE648="","",Leads!BE648)</x:f>
      </x:c>
      <x:c r="I648" s="12" t="str">
        <x:f>IF(Leads!BG648="","",Leads!BG648)</x:f>
      </x:c>
      <x:c r="J648" s="12" t="str">
        <x:f>IF(Leads!BH648="","",Leads!BH648)</x:f>
      </x:c>
      <x:c r="K648" s="12" t="str">
        <x:f>IF(A648="","","مرحبًا "&amp;C648&amp;CHAR(10)&amp;CHAR(10)&amp;"شكرًا لإتمام تقييم DBD الخاص بعيادة "&amp;B648&amp;"."&amp;CHAR(10)&amp;"نتيجتكم الحالية: "&amp;E648&amp;"%."&amp;CHAR(10)&amp;"أولوية التحسين الأولى: "&amp;F648&amp;"."&amp;IF(J648&lt;&gt;"",CHAR(10)&amp;CHAR(10)&amp;"رابط التقرير: "&amp;J648,"")&amp;CHAR(10)&amp;CHAR(10)&amp;"إذا أحببت، يمكننا مساعدتك في فهم التقرير وتحديد أفضل خطوة تالية لعيادتكم.")</x:f>
      </x:c>
      <x:c r="L648" s="12" t="str">
        <x:f>IF(D648="","",HYPERLINK("https://wa.me/"&amp;REGEXREPLACE(D648,"[^\d]","")&amp;"?text="&amp;ENCODEURL(K648),"واتساب 1"))</x:f>
      </x:c>
      <x:c r="M648" s="12" t="str">
        <x:f>IF(A648="","","مرحبًا "&amp;C648&amp;CHAR(10)&amp;CHAR(10)&amp;"بناءً على نتيجة تقييم عيادة "&amp;B648&amp;"، فإن الترشيح الأقوى لكم الآن هو: "&amp;G648&amp;"."&amp;CHAR(10)&amp;"هذا الخيار يساعدكم في معالجة أكبر فجوة حالية بشكل عملي ومباشر."&amp;IF(J648&lt;&gt;"",CHAR(10)&amp;CHAR(10)&amp;"رابط التقرير: "&amp;J648,"")&amp;CHAR(10)&amp;CHAR(10)&amp;"إذا رغبت، يمكننا توضيح لماذا هذا الكورس هو الأنسب لكم الآن.")</x:f>
      </x:c>
      <x:c r="N648" s="12" t="str">
        <x:f>IF(D648="","",HYPERLINK("https://wa.me/"&amp;REGEXREPLACE(D648,"[^\d]","")&amp;"?text="&amp;ENCODEURL(M648),"واتساب 2"))</x:f>
      </x:c>
      <x:c r="O648" s="12" t="str">
        <x:f>IF(A648="","","مرحبًا "&amp;C648&amp;CHAR(10)&amp;CHAR(10)&amp;"إذا كانت التحديات لديكم تحتاج حلًا أشمل، فالبرنامج الكامل المناسب لكم هو: "&amp;H648&amp;"."&amp;IF(I648&lt;&gt;"",CHAR(10)&amp;"كما يمكنكم أيضًا حجز: "&amp;I648&amp;".","")&amp;IF(J648&lt;&gt;"",CHAR(10)&amp;CHAR(10)&amp;"رابط التقرير: "&amp;J648,"")&amp;CHAR(10)&amp;CHAR(10)&amp;"يسعدنا مساعدتكم في اختيار المسار الأنسب حسب وضع العيادة الحالي.")</x:f>
      </x:c>
      <x:c r="P648" s="12" t="str">
        <x:f>IF(D648="","",HYPERLINK("https://wa.me/"&amp;REGEXREPLACE(D648,"[^\d]","")&amp;"?text="&amp;ENCODEURL(O648),"واتساب 3"))</x:f>
      </x:c>
    </x:row>
    <x:row r="649" ht="15" hidden="0" customHeight="1">
      <x:c r="A649" s="12" t="str">
        <x:f>IF(Leads!A649="","",Leads!A649)</x:f>
      </x:c>
      <x:c r="B649" s="12" t="str">
        <x:f>IF(Leads!F649="","",Leads!F649)</x:f>
      </x:c>
      <x:c r="C649" s="12" t="str">
        <x:f>IF(Leads!G649="","",Leads!G649)</x:f>
      </x:c>
      <x:c r="D649" s="12" t="str">
        <x:f>IF(Leads!O649="","",Leads!O649)</x:f>
      </x:c>
      <x:c r="E649" s="12" t="str">
        <x:f>IF(Leads!AV649="","",Leads!AV649)</x:f>
      </x:c>
      <x:c r="F649" s="12" t="str">
        <x:f>IF(Leads!AX649="","",Leads!AX649)</x:f>
      </x:c>
      <x:c r="G649" s="12" t="str">
        <x:f>IF(Leads!BC649="","",Leads!BC649)</x:f>
      </x:c>
      <x:c r="H649" s="12" t="str">
        <x:f>IF(Leads!BE649="","",Leads!BE649)</x:f>
      </x:c>
      <x:c r="I649" s="12" t="str">
        <x:f>IF(Leads!BG649="","",Leads!BG649)</x:f>
      </x:c>
      <x:c r="J649" s="12" t="str">
        <x:f>IF(Leads!BH649="","",Leads!BH649)</x:f>
      </x:c>
      <x:c r="K649" s="12" t="str">
        <x:f>IF(A649="","","مرحبًا "&amp;C649&amp;CHAR(10)&amp;CHAR(10)&amp;"شكرًا لإتمام تقييم DBD الخاص بعيادة "&amp;B649&amp;"."&amp;CHAR(10)&amp;"نتيجتكم الحالية: "&amp;E649&amp;"%."&amp;CHAR(10)&amp;"أولوية التحسين الأولى: "&amp;F649&amp;"."&amp;IF(J649&lt;&gt;"",CHAR(10)&amp;CHAR(10)&amp;"رابط التقرير: "&amp;J649,"")&amp;CHAR(10)&amp;CHAR(10)&amp;"إذا أحببت، يمكننا مساعدتك في فهم التقرير وتحديد أفضل خطوة تالية لعيادتكم.")</x:f>
      </x:c>
      <x:c r="L649" s="12" t="str">
        <x:f>IF(D649="","",HYPERLINK("https://wa.me/"&amp;REGEXREPLACE(D649,"[^\d]","")&amp;"?text="&amp;ENCODEURL(K649),"واتساب 1"))</x:f>
      </x:c>
      <x:c r="M649" s="12" t="str">
        <x:f>IF(A649="","","مرحبًا "&amp;C649&amp;CHAR(10)&amp;CHAR(10)&amp;"بناءً على نتيجة تقييم عيادة "&amp;B649&amp;"، فإن الترشيح الأقوى لكم الآن هو: "&amp;G649&amp;"."&amp;CHAR(10)&amp;"هذا الخيار يساعدكم في معالجة أكبر فجوة حالية بشكل عملي ومباشر."&amp;IF(J649&lt;&gt;"",CHAR(10)&amp;CHAR(10)&amp;"رابط التقرير: "&amp;J649,"")&amp;CHAR(10)&amp;CHAR(10)&amp;"إذا رغبت، يمكننا توضيح لماذا هذا الكورس هو الأنسب لكم الآن.")</x:f>
      </x:c>
      <x:c r="N649" s="12" t="str">
        <x:f>IF(D649="","",HYPERLINK("https://wa.me/"&amp;REGEXREPLACE(D649,"[^\d]","")&amp;"?text="&amp;ENCODEURL(M649),"واتساب 2"))</x:f>
      </x:c>
      <x:c r="O649" s="12" t="str">
        <x:f>IF(A649="","","مرحبًا "&amp;C649&amp;CHAR(10)&amp;CHAR(10)&amp;"إذا كانت التحديات لديكم تحتاج حلًا أشمل، فالبرنامج الكامل المناسب لكم هو: "&amp;H649&amp;"."&amp;IF(I649&lt;&gt;"",CHAR(10)&amp;"كما يمكنكم أيضًا حجز: "&amp;I649&amp;".","")&amp;IF(J649&lt;&gt;"",CHAR(10)&amp;CHAR(10)&amp;"رابط التقرير: "&amp;J649,"")&amp;CHAR(10)&amp;CHAR(10)&amp;"يسعدنا مساعدتكم في اختيار المسار الأنسب حسب وضع العيادة الحالي.")</x:f>
      </x:c>
      <x:c r="P649" s="12" t="str">
        <x:f>IF(D649="","",HYPERLINK("https://wa.me/"&amp;REGEXREPLACE(D649,"[^\d]","")&amp;"?text="&amp;ENCODEURL(O649),"واتساب 3"))</x:f>
      </x:c>
    </x:row>
    <x:row r="650" ht="15" hidden="0" customHeight="1">
      <x:c r="A650" s="12" t="str">
        <x:f>IF(Leads!A650="","",Leads!A650)</x:f>
      </x:c>
      <x:c r="B650" s="12" t="str">
        <x:f>IF(Leads!F650="","",Leads!F650)</x:f>
      </x:c>
      <x:c r="C650" s="12" t="str">
        <x:f>IF(Leads!G650="","",Leads!G650)</x:f>
      </x:c>
      <x:c r="D650" s="12" t="str">
        <x:f>IF(Leads!O650="","",Leads!O650)</x:f>
      </x:c>
      <x:c r="E650" s="12" t="str">
        <x:f>IF(Leads!AV650="","",Leads!AV650)</x:f>
      </x:c>
      <x:c r="F650" s="12" t="str">
        <x:f>IF(Leads!AX650="","",Leads!AX650)</x:f>
      </x:c>
      <x:c r="G650" s="12" t="str">
        <x:f>IF(Leads!BC650="","",Leads!BC650)</x:f>
      </x:c>
      <x:c r="H650" s="12" t="str">
        <x:f>IF(Leads!BE650="","",Leads!BE650)</x:f>
      </x:c>
      <x:c r="I650" s="12" t="str">
        <x:f>IF(Leads!BG650="","",Leads!BG650)</x:f>
      </x:c>
      <x:c r="J650" s="12" t="str">
        <x:f>IF(Leads!BH650="","",Leads!BH650)</x:f>
      </x:c>
      <x:c r="K650" s="12" t="str">
        <x:f>IF(A650="","","مرحبًا "&amp;C650&amp;CHAR(10)&amp;CHAR(10)&amp;"شكرًا لإتمام تقييم DBD الخاص بعيادة "&amp;B650&amp;"."&amp;CHAR(10)&amp;"نتيجتكم الحالية: "&amp;E650&amp;"%."&amp;CHAR(10)&amp;"أولوية التحسين الأولى: "&amp;F650&amp;"."&amp;IF(J650&lt;&gt;"",CHAR(10)&amp;CHAR(10)&amp;"رابط التقرير: "&amp;J650,"")&amp;CHAR(10)&amp;CHAR(10)&amp;"إذا أحببت، يمكننا مساعدتك في فهم التقرير وتحديد أفضل خطوة تالية لعيادتكم.")</x:f>
      </x:c>
      <x:c r="L650" s="12" t="str">
        <x:f>IF(D650="","",HYPERLINK("https://wa.me/"&amp;REGEXREPLACE(D650,"[^\d]","")&amp;"?text="&amp;ENCODEURL(K650),"واتساب 1"))</x:f>
      </x:c>
      <x:c r="M650" s="12" t="str">
        <x:f>IF(A650="","","مرحبًا "&amp;C650&amp;CHAR(10)&amp;CHAR(10)&amp;"بناءً على نتيجة تقييم عيادة "&amp;B650&amp;"، فإن الترشيح الأقوى لكم الآن هو: "&amp;G650&amp;"."&amp;CHAR(10)&amp;"هذا الخيار يساعدكم في معالجة أكبر فجوة حالية بشكل عملي ومباشر."&amp;IF(J650&lt;&gt;"",CHAR(10)&amp;CHAR(10)&amp;"رابط التقرير: "&amp;J650,"")&amp;CHAR(10)&amp;CHAR(10)&amp;"إذا رغبت، يمكننا توضيح لماذا هذا الكورس هو الأنسب لكم الآن.")</x:f>
      </x:c>
      <x:c r="N650" s="12" t="str">
        <x:f>IF(D650="","",HYPERLINK("https://wa.me/"&amp;REGEXREPLACE(D650,"[^\d]","")&amp;"?text="&amp;ENCODEURL(M650),"واتساب 2"))</x:f>
      </x:c>
      <x:c r="O650" s="12" t="str">
        <x:f>IF(A650="","","مرحبًا "&amp;C650&amp;CHAR(10)&amp;CHAR(10)&amp;"إذا كانت التحديات لديكم تحتاج حلًا أشمل، فالبرنامج الكامل المناسب لكم هو: "&amp;H650&amp;"."&amp;IF(I650&lt;&gt;"",CHAR(10)&amp;"كما يمكنكم أيضًا حجز: "&amp;I650&amp;".","")&amp;IF(J650&lt;&gt;"",CHAR(10)&amp;CHAR(10)&amp;"رابط التقرير: "&amp;J650,"")&amp;CHAR(10)&amp;CHAR(10)&amp;"يسعدنا مساعدتكم في اختيار المسار الأنسب حسب وضع العيادة الحالي.")</x:f>
      </x:c>
      <x:c r="P650" s="12" t="str">
        <x:f>IF(D650="","",HYPERLINK("https://wa.me/"&amp;REGEXREPLACE(D650,"[^\d]","")&amp;"?text="&amp;ENCODEURL(O650),"واتساب 3"))</x:f>
      </x:c>
    </x:row>
    <x:row r="651" ht="15" hidden="0" customHeight="1">
      <x:c r="A651" s="12" t="str">
        <x:f>IF(Leads!A651="","",Leads!A651)</x:f>
      </x:c>
      <x:c r="B651" s="12" t="str">
        <x:f>IF(Leads!F651="","",Leads!F651)</x:f>
      </x:c>
      <x:c r="C651" s="12" t="str">
        <x:f>IF(Leads!G651="","",Leads!G651)</x:f>
      </x:c>
      <x:c r="D651" s="12" t="str">
        <x:f>IF(Leads!O651="","",Leads!O651)</x:f>
      </x:c>
      <x:c r="E651" s="12" t="str">
        <x:f>IF(Leads!AV651="","",Leads!AV651)</x:f>
      </x:c>
      <x:c r="F651" s="12" t="str">
        <x:f>IF(Leads!AX651="","",Leads!AX651)</x:f>
      </x:c>
      <x:c r="G651" s="12" t="str">
        <x:f>IF(Leads!BC651="","",Leads!BC651)</x:f>
      </x:c>
      <x:c r="H651" s="12" t="str">
        <x:f>IF(Leads!BE651="","",Leads!BE651)</x:f>
      </x:c>
      <x:c r="I651" s="12" t="str">
        <x:f>IF(Leads!BG651="","",Leads!BG651)</x:f>
      </x:c>
      <x:c r="J651" s="12" t="str">
        <x:f>IF(Leads!BH651="","",Leads!BH651)</x:f>
      </x:c>
      <x:c r="K651" s="12" t="str">
        <x:f>IF(A651="","","مرحبًا "&amp;C651&amp;CHAR(10)&amp;CHAR(10)&amp;"شكرًا لإتمام تقييم DBD الخاص بعيادة "&amp;B651&amp;"."&amp;CHAR(10)&amp;"نتيجتكم الحالية: "&amp;E651&amp;"%."&amp;CHAR(10)&amp;"أولوية التحسين الأولى: "&amp;F651&amp;"."&amp;IF(J651&lt;&gt;"",CHAR(10)&amp;CHAR(10)&amp;"رابط التقرير: "&amp;J651,"")&amp;CHAR(10)&amp;CHAR(10)&amp;"إذا أحببت، يمكننا مساعدتك في فهم التقرير وتحديد أفضل خطوة تالية لعيادتكم.")</x:f>
      </x:c>
      <x:c r="L651" s="12" t="str">
        <x:f>IF(D651="","",HYPERLINK("https://wa.me/"&amp;REGEXREPLACE(D651,"[^\d]","")&amp;"?text="&amp;ENCODEURL(K651),"واتساب 1"))</x:f>
      </x:c>
      <x:c r="M651" s="12" t="str">
        <x:f>IF(A651="","","مرحبًا "&amp;C651&amp;CHAR(10)&amp;CHAR(10)&amp;"بناءً على نتيجة تقييم عيادة "&amp;B651&amp;"، فإن الترشيح الأقوى لكم الآن هو: "&amp;G651&amp;"."&amp;CHAR(10)&amp;"هذا الخيار يساعدكم في معالجة أكبر فجوة حالية بشكل عملي ومباشر."&amp;IF(J651&lt;&gt;"",CHAR(10)&amp;CHAR(10)&amp;"رابط التقرير: "&amp;J651,"")&amp;CHAR(10)&amp;CHAR(10)&amp;"إذا رغبت، يمكننا توضيح لماذا هذا الكورس هو الأنسب لكم الآن.")</x:f>
      </x:c>
      <x:c r="N651" s="12" t="str">
        <x:f>IF(D651="","",HYPERLINK("https://wa.me/"&amp;REGEXREPLACE(D651,"[^\d]","")&amp;"?text="&amp;ENCODEURL(M651),"واتساب 2"))</x:f>
      </x:c>
      <x:c r="O651" s="12" t="str">
        <x:f>IF(A651="","","مرحبًا "&amp;C651&amp;CHAR(10)&amp;CHAR(10)&amp;"إذا كانت التحديات لديكم تحتاج حلًا أشمل، فالبرنامج الكامل المناسب لكم هو: "&amp;H651&amp;"."&amp;IF(I651&lt;&gt;"",CHAR(10)&amp;"كما يمكنكم أيضًا حجز: "&amp;I651&amp;".","")&amp;IF(J651&lt;&gt;"",CHAR(10)&amp;CHAR(10)&amp;"رابط التقرير: "&amp;J651,"")&amp;CHAR(10)&amp;CHAR(10)&amp;"يسعدنا مساعدتكم في اختيار المسار الأنسب حسب وضع العيادة الحالي.")</x:f>
      </x:c>
      <x:c r="P651" s="12" t="str">
        <x:f>IF(D651="","",HYPERLINK("https://wa.me/"&amp;REGEXREPLACE(D651,"[^\d]","")&amp;"?text="&amp;ENCODEURL(O651),"واتساب 3"))</x:f>
      </x:c>
    </x:row>
    <x:row r="652" ht="15" hidden="0" customHeight="1">
      <x:c r="A652" s="12" t="str">
        <x:f>IF(Leads!A652="","",Leads!A652)</x:f>
      </x:c>
      <x:c r="B652" s="12" t="str">
        <x:f>IF(Leads!F652="","",Leads!F652)</x:f>
      </x:c>
      <x:c r="C652" s="12" t="str">
        <x:f>IF(Leads!G652="","",Leads!G652)</x:f>
      </x:c>
      <x:c r="D652" s="12" t="str">
        <x:f>IF(Leads!O652="","",Leads!O652)</x:f>
      </x:c>
      <x:c r="E652" s="12" t="str">
        <x:f>IF(Leads!AV652="","",Leads!AV652)</x:f>
      </x:c>
      <x:c r="F652" s="12" t="str">
        <x:f>IF(Leads!AX652="","",Leads!AX652)</x:f>
      </x:c>
      <x:c r="G652" s="12" t="str">
        <x:f>IF(Leads!BC652="","",Leads!BC652)</x:f>
      </x:c>
      <x:c r="H652" s="12" t="str">
        <x:f>IF(Leads!BE652="","",Leads!BE652)</x:f>
      </x:c>
      <x:c r="I652" s="12" t="str">
        <x:f>IF(Leads!BG652="","",Leads!BG652)</x:f>
      </x:c>
      <x:c r="J652" s="12" t="str">
        <x:f>IF(Leads!BH652="","",Leads!BH652)</x:f>
      </x:c>
      <x:c r="K652" s="12" t="str">
        <x:f>IF(A652="","","مرحبًا "&amp;C652&amp;CHAR(10)&amp;CHAR(10)&amp;"شكرًا لإتمام تقييم DBD الخاص بعيادة "&amp;B652&amp;"."&amp;CHAR(10)&amp;"نتيجتكم الحالية: "&amp;E652&amp;"%."&amp;CHAR(10)&amp;"أولوية التحسين الأولى: "&amp;F652&amp;"."&amp;IF(J652&lt;&gt;"",CHAR(10)&amp;CHAR(10)&amp;"رابط التقرير: "&amp;J652,"")&amp;CHAR(10)&amp;CHAR(10)&amp;"إذا أحببت، يمكننا مساعدتك في فهم التقرير وتحديد أفضل خطوة تالية لعيادتكم.")</x:f>
      </x:c>
      <x:c r="L652" s="12" t="str">
        <x:f>IF(D652="","",HYPERLINK("https://wa.me/"&amp;REGEXREPLACE(D652,"[^\d]","")&amp;"?text="&amp;ENCODEURL(K652),"واتساب 1"))</x:f>
      </x:c>
      <x:c r="M652" s="12" t="str">
        <x:f>IF(A652="","","مرحبًا "&amp;C652&amp;CHAR(10)&amp;CHAR(10)&amp;"بناءً على نتيجة تقييم عيادة "&amp;B652&amp;"، فإن الترشيح الأقوى لكم الآن هو: "&amp;G652&amp;"."&amp;CHAR(10)&amp;"هذا الخيار يساعدكم في معالجة أكبر فجوة حالية بشكل عملي ومباشر."&amp;IF(J652&lt;&gt;"",CHAR(10)&amp;CHAR(10)&amp;"رابط التقرير: "&amp;J652,"")&amp;CHAR(10)&amp;CHAR(10)&amp;"إذا رغبت، يمكننا توضيح لماذا هذا الكورس هو الأنسب لكم الآن.")</x:f>
      </x:c>
      <x:c r="N652" s="12" t="str">
        <x:f>IF(D652="","",HYPERLINK("https://wa.me/"&amp;REGEXREPLACE(D652,"[^\d]","")&amp;"?text="&amp;ENCODEURL(M652),"واتساب 2"))</x:f>
      </x:c>
      <x:c r="O652" s="12" t="str">
        <x:f>IF(A652="","","مرحبًا "&amp;C652&amp;CHAR(10)&amp;CHAR(10)&amp;"إذا كانت التحديات لديكم تحتاج حلًا أشمل، فالبرنامج الكامل المناسب لكم هو: "&amp;H652&amp;"."&amp;IF(I652&lt;&gt;"",CHAR(10)&amp;"كما يمكنكم أيضًا حجز: "&amp;I652&amp;".","")&amp;IF(J652&lt;&gt;"",CHAR(10)&amp;CHAR(10)&amp;"رابط التقرير: "&amp;J652,"")&amp;CHAR(10)&amp;CHAR(10)&amp;"يسعدنا مساعدتكم في اختيار المسار الأنسب حسب وضع العيادة الحالي.")</x:f>
      </x:c>
      <x:c r="P652" s="12" t="str">
        <x:f>IF(D652="","",HYPERLINK("https://wa.me/"&amp;REGEXREPLACE(D652,"[^\d]","")&amp;"?text="&amp;ENCODEURL(O652),"واتساب 3"))</x:f>
      </x:c>
    </x:row>
    <x:row r="653" ht="15" hidden="0" customHeight="1">
      <x:c r="A653" s="12" t="str">
        <x:f>IF(Leads!A653="","",Leads!A653)</x:f>
      </x:c>
      <x:c r="B653" s="12" t="str">
        <x:f>IF(Leads!F653="","",Leads!F653)</x:f>
      </x:c>
      <x:c r="C653" s="12" t="str">
        <x:f>IF(Leads!G653="","",Leads!G653)</x:f>
      </x:c>
      <x:c r="D653" s="12" t="str">
        <x:f>IF(Leads!O653="","",Leads!O653)</x:f>
      </x:c>
      <x:c r="E653" s="12" t="str">
        <x:f>IF(Leads!AV653="","",Leads!AV653)</x:f>
      </x:c>
      <x:c r="F653" s="12" t="str">
        <x:f>IF(Leads!AX653="","",Leads!AX653)</x:f>
      </x:c>
      <x:c r="G653" s="12" t="str">
        <x:f>IF(Leads!BC653="","",Leads!BC653)</x:f>
      </x:c>
      <x:c r="H653" s="12" t="str">
        <x:f>IF(Leads!BE653="","",Leads!BE653)</x:f>
      </x:c>
      <x:c r="I653" s="12" t="str">
        <x:f>IF(Leads!BG653="","",Leads!BG653)</x:f>
      </x:c>
      <x:c r="J653" s="12" t="str">
        <x:f>IF(Leads!BH653="","",Leads!BH653)</x:f>
      </x:c>
      <x:c r="K653" s="12" t="str">
        <x:f>IF(A653="","","مرحبًا "&amp;C653&amp;CHAR(10)&amp;CHAR(10)&amp;"شكرًا لإتمام تقييم DBD الخاص بعيادة "&amp;B653&amp;"."&amp;CHAR(10)&amp;"نتيجتكم الحالية: "&amp;E653&amp;"%."&amp;CHAR(10)&amp;"أولوية التحسين الأولى: "&amp;F653&amp;"."&amp;IF(J653&lt;&gt;"",CHAR(10)&amp;CHAR(10)&amp;"رابط التقرير: "&amp;J653,"")&amp;CHAR(10)&amp;CHAR(10)&amp;"إذا أحببت، يمكننا مساعدتك في فهم التقرير وتحديد أفضل خطوة تالية لعيادتكم.")</x:f>
      </x:c>
      <x:c r="L653" s="12" t="str">
        <x:f>IF(D653="","",HYPERLINK("https://wa.me/"&amp;REGEXREPLACE(D653,"[^\d]","")&amp;"?text="&amp;ENCODEURL(K653),"واتساب 1"))</x:f>
      </x:c>
      <x:c r="M653" s="12" t="str">
        <x:f>IF(A653="","","مرحبًا "&amp;C653&amp;CHAR(10)&amp;CHAR(10)&amp;"بناءً على نتيجة تقييم عيادة "&amp;B653&amp;"، فإن الترشيح الأقوى لكم الآن هو: "&amp;G653&amp;"."&amp;CHAR(10)&amp;"هذا الخيار يساعدكم في معالجة أكبر فجوة حالية بشكل عملي ومباشر."&amp;IF(J653&lt;&gt;"",CHAR(10)&amp;CHAR(10)&amp;"رابط التقرير: "&amp;J653,"")&amp;CHAR(10)&amp;CHAR(10)&amp;"إذا رغبت، يمكننا توضيح لماذا هذا الكورس هو الأنسب لكم الآن.")</x:f>
      </x:c>
      <x:c r="N653" s="12" t="str">
        <x:f>IF(D653="","",HYPERLINK("https://wa.me/"&amp;REGEXREPLACE(D653,"[^\d]","")&amp;"?text="&amp;ENCODEURL(M653),"واتساب 2"))</x:f>
      </x:c>
      <x:c r="O653" s="12" t="str">
        <x:f>IF(A653="","","مرحبًا "&amp;C653&amp;CHAR(10)&amp;CHAR(10)&amp;"إذا كانت التحديات لديكم تحتاج حلًا أشمل، فالبرنامج الكامل المناسب لكم هو: "&amp;H653&amp;"."&amp;IF(I653&lt;&gt;"",CHAR(10)&amp;"كما يمكنكم أيضًا حجز: "&amp;I653&amp;".","")&amp;IF(J653&lt;&gt;"",CHAR(10)&amp;CHAR(10)&amp;"رابط التقرير: "&amp;J653,"")&amp;CHAR(10)&amp;CHAR(10)&amp;"يسعدنا مساعدتكم في اختيار المسار الأنسب حسب وضع العيادة الحالي.")</x:f>
      </x:c>
      <x:c r="P653" s="12" t="str">
        <x:f>IF(D653="","",HYPERLINK("https://wa.me/"&amp;REGEXREPLACE(D653,"[^\d]","")&amp;"?text="&amp;ENCODEURL(O653),"واتساب 3"))</x:f>
      </x:c>
    </x:row>
    <x:row r="654" ht="15" hidden="0" customHeight="1">
      <x:c r="A654" s="12" t="str">
        <x:f>IF(Leads!A654="","",Leads!A654)</x:f>
      </x:c>
      <x:c r="B654" s="12" t="str">
        <x:f>IF(Leads!F654="","",Leads!F654)</x:f>
      </x:c>
      <x:c r="C654" s="12" t="str">
        <x:f>IF(Leads!G654="","",Leads!G654)</x:f>
      </x:c>
      <x:c r="D654" s="12" t="str">
        <x:f>IF(Leads!O654="","",Leads!O654)</x:f>
      </x:c>
      <x:c r="E654" s="12" t="str">
        <x:f>IF(Leads!AV654="","",Leads!AV654)</x:f>
      </x:c>
      <x:c r="F654" s="12" t="str">
        <x:f>IF(Leads!AX654="","",Leads!AX654)</x:f>
      </x:c>
      <x:c r="G654" s="12" t="str">
        <x:f>IF(Leads!BC654="","",Leads!BC654)</x:f>
      </x:c>
      <x:c r="H654" s="12" t="str">
        <x:f>IF(Leads!BE654="","",Leads!BE654)</x:f>
      </x:c>
      <x:c r="I654" s="12" t="str">
        <x:f>IF(Leads!BG654="","",Leads!BG654)</x:f>
      </x:c>
      <x:c r="J654" s="12" t="str">
        <x:f>IF(Leads!BH654="","",Leads!BH654)</x:f>
      </x:c>
      <x:c r="K654" s="12" t="str">
        <x:f>IF(A654="","","مرحبًا "&amp;C654&amp;CHAR(10)&amp;CHAR(10)&amp;"شكرًا لإتمام تقييم DBD الخاص بعيادة "&amp;B654&amp;"."&amp;CHAR(10)&amp;"نتيجتكم الحالية: "&amp;E654&amp;"%."&amp;CHAR(10)&amp;"أولوية التحسين الأولى: "&amp;F654&amp;"."&amp;IF(J654&lt;&gt;"",CHAR(10)&amp;CHAR(10)&amp;"رابط التقرير: "&amp;J654,"")&amp;CHAR(10)&amp;CHAR(10)&amp;"إذا أحببت، يمكننا مساعدتك في فهم التقرير وتحديد أفضل خطوة تالية لعيادتكم.")</x:f>
      </x:c>
      <x:c r="L654" s="12" t="str">
        <x:f>IF(D654="","",HYPERLINK("https://wa.me/"&amp;REGEXREPLACE(D654,"[^\d]","")&amp;"?text="&amp;ENCODEURL(K654),"واتساب 1"))</x:f>
      </x:c>
      <x:c r="M654" s="12" t="str">
        <x:f>IF(A654="","","مرحبًا "&amp;C654&amp;CHAR(10)&amp;CHAR(10)&amp;"بناءً على نتيجة تقييم عيادة "&amp;B654&amp;"، فإن الترشيح الأقوى لكم الآن هو: "&amp;G654&amp;"."&amp;CHAR(10)&amp;"هذا الخيار يساعدكم في معالجة أكبر فجوة حالية بشكل عملي ومباشر."&amp;IF(J654&lt;&gt;"",CHAR(10)&amp;CHAR(10)&amp;"رابط التقرير: "&amp;J654,"")&amp;CHAR(10)&amp;CHAR(10)&amp;"إذا رغبت، يمكننا توضيح لماذا هذا الكورس هو الأنسب لكم الآن.")</x:f>
      </x:c>
      <x:c r="N654" s="12" t="str">
        <x:f>IF(D654="","",HYPERLINK("https://wa.me/"&amp;REGEXREPLACE(D654,"[^\d]","")&amp;"?text="&amp;ENCODEURL(M654),"واتساب 2"))</x:f>
      </x:c>
      <x:c r="O654" s="12" t="str">
        <x:f>IF(A654="","","مرحبًا "&amp;C654&amp;CHAR(10)&amp;CHAR(10)&amp;"إذا كانت التحديات لديكم تحتاج حلًا أشمل، فالبرنامج الكامل المناسب لكم هو: "&amp;H654&amp;"."&amp;IF(I654&lt;&gt;"",CHAR(10)&amp;"كما يمكنكم أيضًا حجز: "&amp;I654&amp;".","")&amp;IF(J654&lt;&gt;"",CHAR(10)&amp;CHAR(10)&amp;"رابط التقرير: "&amp;J654,"")&amp;CHAR(10)&amp;CHAR(10)&amp;"يسعدنا مساعدتكم في اختيار المسار الأنسب حسب وضع العيادة الحالي.")</x:f>
      </x:c>
      <x:c r="P654" s="12" t="str">
        <x:f>IF(D654="","",HYPERLINK("https://wa.me/"&amp;REGEXREPLACE(D654,"[^\d]","")&amp;"?text="&amp;ENCODEURL(O654),"واتساب 3"))</x:f>
      </x:c>
    </x:row>
    <x:row r="655" ht="15" hidden="0" customHeight="1">
      <x:c r="A655" s="12" t="str">
        <x:f>IF(Leads!A655="","",Leads!A655)</x:f>
      </x:c>
      <x:c r="B655" s="12" t="str">
        <x:f>IF(Leads!F655="","",Leads!F655)</x:f>
      </x:c>
      <x:c r="C655" s="12" t="str">
        <x:f>IF(Leads!G655="","",Leads!G655)</x:f>
      </x:c>
      <x:c r="D655" s="12" t="str">
        <x:f>IF(Leads!O655="","",Leads!O655)</x:f>
      </x:c>
      <x:c r="E655" s="12" t="str">
        <x:f>IF(Leads!AV655="","",Leads!AV655)</x:f>
      </x:c>
      <x:c r="F655" s="12" t="str">
        <x:f>IF(Leads!AX655="","",Leads!AX655)</x:f>
      </x:c>
      <x:c r="G655" s="12" t="str">
        <x:f>IF(Leads!BC655="","",Leads!BC655)</x:f>
      </x:c>
      <x:c r="H655" s="12" t="str">
        <x:f>IF(Leads!BE655="","",Leads!BE655)</x:f>
      </x:c>
      <x:c r="I655" s="12" t="str">
        <x:f>IF(Leads!BG655="","",Leads!BG655)</x:f>
      </x:c>
      <x:c r="J655" s="12" t="str">
        <x:f>IF(Leads!BH655="","",Leads!BH655)</x:f>
      </x:c>
      <x:c r="K655" s="12" t="str">
        <x:f>IF(A655="","","مرحبًا "&amp;C655&amp;CHAR(10)&amp;CHAR(10)&amp;"شكرًا لإتمام تقييم DBD الخاص بعيادة "&amp;B655&amp;"."&amp;CHAR(10)&amp;"نتيجتكم الحالية: "&amp;E655&amp;"%."&amp;CHAR(10)&amp;"أولوية التحسين الأولى: "&amp;F655&amp;"."&amp;IF(J655&lt;&gt;"",CHAR(10)&amp;CHAR(10)&amp;"رابط التقرير: "&amp;J655,"")&amp;CHAR(10)&amp;CHAR(10)&amp;"إذا أحببت، يمكننا مساعدتك في فهم التقرير وتحديد أفضل خطوة تالية لعيادتكم.")</x:f>
      </x:c>
      <x:c r="L655" s="12" t="str">
        <x:f>IF(D655="","",HYPERLINK("https://wa.me/"&amp;REGEXREPLACE(D655,"[^\d]","")&amp;"?text="&amp;ENCODEURL(K655),"واتساب 1"))</x:f>
      </x:c>
      <x:c r="M655" s="12" t="str">
        <x:f>IF(A655="","","مرحبًا "&amp;C655&amp;CHAR(10)&amp;CHAR(10)&amp;"بناءً على نتيجة تقييم عيادة "&amp;B655&amp;"، فإن الترشيح الأقوى لكم الآن هو: "&amp;G655&amp;"."&amp;CHAR(10)&amp;"هذا الخيار يساعدكم في معالجة أكبر فجوة حالية بشكل عملي ومباشر."&amp;IF(J655&lt;&gt;"",CHAR(10)&amp;CHAR(10)&amp;"رابط التقرير: "&amp;J655,"")&amp;CHAR(10)&amp;CHAR(10)&amp;"إذا رغبت، يمكننا توضيح لماذا هذا الكورس هو الأنسب لكم الآن.")</x:f>
      </x:c>
      <x:c r="N655" s="12" t="str">
        <x:f>IF(D655="","",HYPERLINK("https://wa.me/"&amp;REGEXREPLACE(D655,"[^\d]","")&amp;"?text="&amp;ENCODEURL(M655),"واتساب 2"))</x:f>
      </x:c>
      <x:c r="O655" s="12" t="str">
        <x:f>IF(A655="","","مرحبًا "&amp;C655&amp;CHAR(10)&amp;CHAR(10)&amp;"إذا كانت التحديات لديكم تحتاج حلًا أشمل، فالبرنامج الكامل المناسب لكم هو: "&amp;H655&amp;"."&amp;IF(I655&lt;&gt;"",CHAR(10)&amp;"كما يمكنكم أيضًا حجز: "&amp;I655&amp;".","")&amp;IF(J655&lt;&gt;"",CHAR(10)&amp;CHAR(10)&amp;"رابط التقرير: "&amp;J655,"")&amp;CHAR(10)&amp;CHAR(10)&amp;"يسعدنا مساعدتكم في اختيار المسار الأنسب حسب وضع العيادة الحالي.")</x:f>
      </x:c>
      <x:c r="P655" s="12" t="str">
        <x:f>IF(D655="","",HYPERLINK("https://wa.me/"&amp;REGEXREPLACE(D655,"[^\d]","")&amp;"?text="&amp;ENCODEURL(O655),"واتساب 3"))</x:f>
      </x:c>
    </x:row>
    <x:row r="656" ht="15" hidden="0" customHeight="1">
      <x:c r="A656" s="12" t="str">
        <x:f>IF(Leads!A656="","",Leads!A656)</x:f>
      </x:c>
      <x:c r="B656" s="12" t="str">
        <x:f>IF(Leads!F656="","",Leads!F656)</x:f>
      </x:c>
      <x:c r="C656" s="12" t="str">
        <x:f>IF(Leads!G656="","",Leads!G656)</x:f>
      </x:c>
      <x:c r="D656" s="12" t="str">
        <x:f>IF(Leads!O656="","",Leads!O656)</x:f>
      </x:c>
      <x:c r="E656" s="12" t="str">
        <x:f>IF(Leads!AV656="","",Leads!AV656)</x:f>
      </x:c>
      <x:c r="F656" s="12" t="str">
        <x:f>IF(Leads!AX656="","",Leads!AX656)</x:f>
      </x:c>
      <x:c r="G656" s="12" t="str">
        <x:f>IF(Leads!BC656="","",Leads!BC656)</x:f>
      </x:c>
      <x:c r="H656" s="12" t="str">
        <x:f>IF(Leads!BE656="","",Leads!BE656)</x:f>
      </x:c>
      <x:c r="I656" s="12" t="str">
        <x:f>IF(Leads!BG656="","",Leads!BG656)</x:f>
      </x:c>
      <x:c r="J656" s="12" t="str">
        <x:f>IF(Leads!BH656="","",Leads!BH656)</x:f>
      </x:c>
      <x:c r="K656" s="12" t="str">
        <x:f>IF(A656="","","مرحبًا "&amp;C656&amp;CHAR(10)&amp;CHAR(10)&amp;"شكرًا لإتمام تقييم DBD الخاص بعيادة "&amp;B656&amp;"."&amp;CHAR(10)&amp;"نتيجتكم الحالية: "&amp;E656&amp;"%."&amp;CHAR(10)&amp;"أولوية التحسين الأولى: "&amp;F656&amp;"."&amp;IF(J656&lt;&gt;"",CHAR(10)&amp;CHAR(10)&amp;"رابط التقرير: "&amp;J656,"")&amp;CHAR(10)&amp;CHAR(10)&amp;"إذا أحببت، يمكننا مساعدتك في فهم التقرير وتحديد أفضل خطوة تالية لعيادتكم.")</x:f>
      </x:c>
      <x:c r="L656" s="12" t="str">
        <x:f>IF(D656="","",HYPERLINK("https://wa.me/"&amp;REGEXREPLACE(D656,"[^\d]","")&amp;"?text="&amp;ENCODEURL(K656),"واتساب 1"))</x:f>
      </x:c>
      <x:c r="M656" s="12" t="str">
        <x:f>IF(A656="","","مرحبًا "&amp;C656&amp;CHAR(10)&amp;CHAR(10)&amp;"بناءً على نتيجة تقييم عيادة "&amp;B656&amp;"، فإن الترشيح الأقوى لكم الآن هو: "&amp;G656&amp;"."&amp;CHAR(10)&amp;"هذا الخيار يساعدكم في معالجة أكبر فجوة حالية بشكل عملي ومباشر."&amp;IF(J656&lt;&gt;"",CHAR(10)&amp;CHAR(10)&amp;"رابط التقرير: "&amp;J656,"")&amp;CHAR(10)&amp;CHAR(10)&amp;"إذا رغبت، يمكننا توضيح لماذا هذا الكورس هو الأنسب لكم الآن.")</x:f>
      </x:c>
      <x:c r="N656" s="12" t="str">
        <x:f>IF(D656="","",HYPERLINK("https://wa.me/"&amp;REGEXREPLACE(D656,"[^\d]","")&amp;"?text="&amp;ENCODEURL(M656),"واتساب 2"))</x:f>
      </x:c>
      <x:c r="O656" s="12" t="str">
        <x:f>IF(A656="","","مرحبًا "&amp;C656&amp;CHAR(10)&amp;CHAR(10)&amp;"إذا كانت التحديات لديكم تحتاج حلًا أشمل، فالبرنامج الكامل المناسب لكم هو: "&amp;H656&amp;"."&amp;IF(I656&lt;&gt;"",CHAR(10)&amp;"كما يمكنكم أيضًا حجز: "&amp;I656&amp;".","")&amp;IF(J656&lt;&gt;"",CHAR(10)&amp;CHAR(10)&amp;"رابط التقرير: "&amp;J656,"")&amp;CHAR(10)&amp;CHAR(10)&amp;"يسعدنا مساعدتكم في اختيار المسار الأنسب حسب وضع العيادة الحالي.")</x:f>
      </x:c>
      <x:c r="P656" s="12" t="str">
        <x:f>IF(D656="","",HYPERLINK("https://wa.me/"&amp;REGEXREPLACE(D656,"[^\d]","")&amp;"?text="&amp;ENCODEURL(O656),"واتساب 3"))</x:f>
      </x:c>
    </x:row>
    <x:row r="657" ht="15" hidden="0" customHeight="1">
      <x:c r="A657" s="12" t="str">
        <x:f>IF(Leads!A657="","",Leads!A657)</x:f>
      </x:c>
      <x:c r="B657" s="12" t="str">
        <x:f>IF(Leads!F657="","",Leads!F657)</x:f>
      </x:c>
      <x:c r="C657" s="12" t="str">
        <x:f>IF(Leads!G657="","",Leads!G657)</x:f>
      </x:c>
      <x:c r="D657" s="12" t="str">
        <x:f>IF(Leads!O657="","",Leads!O657)</x:f>
      </x:c>
      <x:c r="E657" s="12" t="str">
        <x:f>IF(Leads!AV657="","",Leads!AV657)</x:f>
      </x:c>
      <x:c r="F657" s="12" t="str">
        <x:f>IF(Leads!AX657="","",Leads!AX657)</x:f>
      </x:c>
      <x:c r="G657" s="12" t="str">
        <x:f>IF(Leads!BC657="","",Leads!BC657)</x:f>
      </x:c>
      <x:c r="H657" s="12" t="str">
        <x:f>IF(Leads!BE657="","",Leads!BE657)</x:f>
      </x:c>
      <x:c r="I657" s="12" t="str">
        <x:f>IF(Leads!BG657="","",Leads!BG657)</x:f>
      </x:c>
      <x:c r="J657" s="12" t="str">
        <x:f>IF(Leads!BH657="","",Leads!BH657)</x:f>
      </x:c>
      <x:c r="K657" s="12" t="str">
        <x:f>IF(A657="","","مرحبًا "&amp;C657&amp;CHAR(10)&amp;CHAR(10)&amp;"شكرًا لإتمام تقييم DBD الخاص بعيادة "&amp;B657&amp;"."&amp;CHAR(10)&amp;"نتيجتكم الحالية: "&amp;E657&amp;"%."&amp;CHAR(10)&amp;"أولوية التحسين الأولى: "&amp;F657&amp;"."&amp;IF(J657&lt;&gt;"",CHAR(10)&amp;CHAR(10)&amp;"رابط التقرير: "&amp;J657,"")&amp;CHAR(10)&amp;CHAR(10)&amp;"إذا أحببت، يمكننا مساعدتك في فهم التقرير وتحديد أفضل خطوة تالية لعيادتكم.")</x:f>
      </x:c>
      <x:c r="L657" s="12" t="str">
        <x:f>IF(D657="","",HYPERLINK("https://wa.me/"&amp;REGEXREPLACE(D657,"[^\d]","")&amp;"?text="&amp;ENCODEURL(K657),"واتساب 1"))</x:f>
      </x:c>
      <x:c r="M657" s="12" t="str">
        <x:f>IF(A657="","","مرحبًا "&amp;C657&amp;CHAR(10)&amp;CHAR(10)&amp;"بناءً على نتيجة تقييم عيادة "&amp;B657&amp;"، فإن الترشيح الأقوى لكم الآن هو: "&amp;G657&amp;"."&amp;CHAR(10)&amp;"هذا الخيار يساعدكم في معالجة أكبر فجوة حالية بشكل عملي ومباشر."&amp;IF(J657&lt;&gt;"",CHAR(10)&amp;CHAR(10)&amp;"رابط التقرير: "&amp;J657,"")&amp;CHAR(10)&amp;CHAR(10)&amp;"إذا رغبت، يمكننا توضيح لماذا هذا الكورس هو الأنسب لكم الآن.")</x:f>
      </x:c>
      <x:c r="N657" s="12" t="str">
        <x:f>IF(D657="","",HYPERLINK("https://wa.me/"&amp;REGEXREPLACE(D657,"[^\d]","")&amp;"?text="&amp;ENCODEURL(M657),"واتساب 2"))</x:f>
      </x:c>
      <x:c r="O657" s="12" t="str">
        <x:f>IF(A657="","","مرحبًا "&amp;C657&amp;CHAR(10)&amp;CHAR(10)&amp;"إذا كانت التحديات لديكم تحتاج حلًا أشمل، فالبرنامج الكامل المناسب لكم هو: "&amp;H657&amp;"."&amp;IF(I657&lt;&gt;"",CHAR(10)&amp;"كما يمكنكم أيضًا حجز: "&amp;I657&amp;".","")&amp;IF(J657&lt;&gt;"",CHAR(10)&amp;CHAR(10)&amp;"رابط التقرير: "&amp;J657,"")&amp;CHAR(10)&amp;CHAR(10)&amp;"يسعدنا مساعدتكم في اختيار المسار الأنسب حسب وضع العيادة الحالي.")</x:f>
      </x:c>
      <x:c r="P657" s="12" t="str">
        <x:f>IF(D657="","",HYPERLINK("https://wa.me/"&amp;REGEXREPLACE(D657,"[^\d]","")&amp;"?text="&amp;ENCODEURL(O657),"واتساب 3"))</x:f>
      </x:c>
    </x:row>
    <x:row r="658" ht="15" hidden="0" customHeight="1">
      <x:c r="A658" s="12" t="str">
        <x:f>IF(Leads!A658="","",Leads!A658)</x:f>
      </x:c>
      <x:c r="B658" s="12" t="str">
        <x:f>IF(Leads!F658="","",Leads!F658)</x:f>
      </x:c>
      <x:c r="C658" s="12" t="str">
        <x:f>IF(Leads!G658="","",Leads!G658)</x:f>
      </x:c>
      <x:c r="D658" s="12" t="str">
        <x:f>IF(Leads!O658="","",Leads!O658)</x:f>
      </x:c>
      <x:c r="E658" s="12" t="str">
        <x:f>IF(Leads!AV658="","",Leads!AV658)</x:f>
      </x:c>
      <x:c r="F658" s="12" t="str">
        <x:f>IF(Leads!AX658="","",Leads!AX658)</x:f>
      </x:c>
      <x:c r="G658" s="12" t="str">
        <x:f>IF(Leads!BC658="","",Leads!BC658)</x:f>
      </x:c>
      <x:c r="H658" s="12" t="str">
        <x:f>IF(Leads!BE658="","",Leads!BE658)</x:f>
      </x:c>
      <x:c r="I658" s="12" t="str">
        <x:f>IF(Leads!BG658="","",Leads!BG658)</x:f>
      </x:c>
      <x:c r="J658" s="12" t="str">
        <x:f>IF(Leads!BH658="","",Leads!BH658)</x:f>
      </x:c>
      <x:c r="K658" s="12" t="str">
        <x:f>IF(A658="","","مرحبًا "&amp;C658&amp;CHAR(10)&amp;CHAR(10)&amp;"شكرًا لإتمام تقييم DBD الخاص بعيادة "&amp;B658&amp;"."&amp;CHAR(10)&amp;"نتيجتكم الحالية: "&amp;E658&amp;"%."&amp;CHAR(10)&amp;"أولوية التحسين الأولى: "&amp;F658&amp;"."&amp;IF(J658&lt;&gt;"",CHAR(10)&amp;CHAR(10)&amp;"رابط التقرير: "&amp;J658,"")&amp;CHAR(10)&amp;CHAR(10)&amp;"إذا أحببت، يمكننا مساعدتك في فهم التقرير وتحديد أفضل خطوة تالية لعيادتكم.")</x:f>
      </x:c>
      <x:c r="L658" s="12" t="str">
        <x:f>IF(D658="","",HYPERLINK("https://wa.me/"&amp;REGEXREPLACE(D658,"[^\d]","")&amp;"?text="&amp;ENCODEURL(K658),"واتساب 1"))</x:f>
      </x:c>
      <x:c r="M658" s="12" t="str">
        <x:f>IF(A658="","","مرحبًا "&amp;C658&amp;CHAR(10)&amp;CHAR(10)&amp;"بناءً على نتيجة تقييم عيادة "&amp;B658&amp;"، فإن الترشيح الأقوى لكم الآن هو: "&amp;G658&amp;"."&amp;CHAR(10)&amp;"هذا الخيار يساعدكم في معالجة أكبر فجوة حالية بشكل عملي ومباشر."&amp;IF(J658&lt;&gt;"",CHAR(10)&amp;CHAR(10)&amp;"رابط التقرير: "&amp;J658,"")&amp;CHAR(10)&amp;CHAR(10)&amp;"إذا رغبت، يمكننا توضيح لماذا هذا الكورس هو الأنسب لكم الآن.")</x:f>
      </x:c>
      <x:c r="N658" s="12" t="str">
        <x:f>IF(D658="","",HYPERLINK("https://wa.me/"&amp;REGEXREPLACE(D658,"[^\d]","")&amp;"?text="&amp;ENCODEURL(M658),"واتساب 2"))</x:f>
      </x:c>
      <x:c r="O658" s="12" t="str">
        <x:f>IF(A658="","","مرحبًا "&amp;C658&amp;CHAR(10)&amp;CHAR(10)&amp;"إذا كانت التحديات لديكم تحتاج حلًا أشمل، فالبرنامج الكامل المناسب لكم هو: "&amp;H658&amp;"."&amp;IF(I658&lt;&gt;"",CHAR(10)&amp;"كما يمكنكم أيضًا حجز: "&amp;I658&amp;".","")&amp;IF(J658&lt;&gt;"",CHAR(10)&amp;CHAR(10)&amp;"رابط التقرير: "&amp;J658,"")&amp;CHAR(10)&amp;CHAR(10)&amp;"يسعدنا مساعدتكم في اختيار المسار الأنسب حسب وضع العيادة الحالي.")</x:f>
      </x:c>
      <x:c r="P658" s="12" t="str">
        <x:f>IF(D658="","",HYPERLINK("https://wa.me/"&amp;REGEXREPLACE(D658,"[^\d]","")&amp;"?text="&amp;ENCODEURL(O658),"واتساب 3"))</x:f>
      </x:c>
    </x:row>
    <x:row r="659" ht="15" hidden="0" customHeight="1">
      <x:c r="A659" s="12" t="str">
        <x:f>IF(Leads!A659="","",Leads!A659)</x:f>
      </x:c>
      <x:c r="B659" s="12" t="str">
        <x:f>IF(Leads!F659="","",Leads!F659)</x:f>
      </x:c>
      <x:c r="C659" s="12" t="str">
        <x:f>IF(Leads!G659="","",Leads!G659)</x:f>
      </x:c>
      <x:c r="D659" s="12" t="str">
        <x:f>IF(Leads!O659="","",Leads!O659)</x:f>
      </x:c>
      <x:c r="E659" s="12" t="str">
        <x:f>IF(Leads!AV659="","",Leads!AV659)</x:f>
      </x:c>
      <x:c r="F659" s="12" t="str">
        <x:f>IF(Leads!AX659="","",Leads!AX659)</x:f>
      </x:c>
      <x:c r="G659" s="12" t="str">
        <x:f>IF(Leads!BC659="","",Leads!BC659)</x:f>
      </x:c>
      <x:c r="H659" s="12" t="str">
        <x:f>IF(Leads!BE659="","",Leads!BE659)</x:f>
      </x:c>
      <x:c r="I659" s="12" t="str">
        <x:f>IF(Leads!BG659="","",Leads!BG659)</x:f>
      </x:c>
      <x:c r="J659" s="12" t="str">
        <x:f>IF(Leads!BH659="","",Leads!BH659)</x:f>
      </x:c>
      <x:c r="K659" s="12" t="str">
        <x:f>IF(A659="","","مرحبًا "&amp;C659&amp;CHAR(10)&amp;CHAR(10)&amp;"شكرًا لإتمام تقييم DBD الخاص بعيادة "&amp;B659&amp;"."&amp;CHAR(10)&amp;"نتيجتكم الحالية: "&amp;E659&amp;"%."&amp;CHAR(10)&amp;"أولوية التحسين الأولى: "&amp;F659&amp;"."&amp;IF(J659&lt;&gt;"",CHAR(10)&amp;CHAR(10)&amp;"رابط التقرير: "&amp;J659,"")&amp;CHAR(10)&amp;CHAR(10)&amp;"إذا أحببت، يمكننا مساعدتك في فهم التقرير وتحديد أفضل خطوة تالية لعيادتكم.")</x:f>
      </x:c>
      <x:c r="L659" s="12" t="str">
        <x:f>IF(D659="","",HYPERLINK("https://wa.me/"&amp;REGEXREPLACE(D659,"[^\d]","")&amp;"?text="&amp;ENCODEURL(K659),"واتساب 1"))</x:f>
      </x:c>
      <x:c r="M659" s="12" t="str">
        <x:f>IF(A659="","","مرحبًا "&amp;C659&amp;CHAR(10)&amp;CHAR(10)&amp;"بناءً على نتيجة تقييم عيادة "&amp;B659&amp;"، فإن الترشيح الأقوى لكم الآن هو: "&amp;G659&amp;"."&amp;CHAR(10)&amp;"هذا الخيار يساعدكم في معالجة أكبر فجوة حالية بشكل عملي ومباشر."&amp;IF(J659&lt;&gt;"",CHAR(10)&amp;CHAR(10)&amp;"رابط التقرير: "&amp;J659,"")&amp;CHAR(10)&amp;CHAR(10)&amp;"إذا رغبت، يمكننا توضيح لماذا هذا الكورس هو الأنسب لكم الآن.")</x:f>
      </x:c>
      <x:c r="N659" s="12" t="str">
        <x:f>IF(D659="","",HYPERLINK("https://wa.me/"&amp;REGEXREPLACE(D659,"[^\d]","")&amp;"?text="&amp;ENCODEURL(M659),"واتساب 2"))</x:f>
      </x:c>
      <x:c r="O659" s="12" t="str">
        <x:f>IF(A659="","","مرحبًا "&amp;C659&amp;CHAR(10)&amp;CHAR(10)&amp;"إذا كانت التحديات لديكم تحتاج حلًا أشمل، فالبرنامج الكامل المناسب لكم هو: "&amp;H659&amp;"."&amp;IF(I659&lt;&gt;"",CHAR(10)&amp;"كما يمكنكم أيضًا حجز: "&amp;I659&amp;".","")&amp;IF(J659&lt;&gt;"",CHAR(10)&amp;CHAR(10)&amp;"رابط التقرير: "&amp;J659,"")&amp;CHAR(10)&amp;CHAR(10)&amp;"يسعدنا مساعدتكم في اختيار المسار الأنسب حسب وضع العيادة الحالي.")</x:f>
      </x:c>
      <x:c r="P659" s="12" t="str">
        <x:f>IF(D659="","",HYPERLINK("https://wa.me/"&amp;REGEXREPLACE(D659,"[^\d]","")&amp;"?text="&amp;ENCODEURL(O659),"واتساب 3"))</x:f>
      </x:c>
    </x:row>
    <x:row r="660" ht="15" hidden="0" customHeight="1">
      <x:c r="A660" s="12" t="str">
        <x:f>IF(Leads!A660="","",Leads!A660)</x:f>
      </x:c>
      <x:c r="B660" s="12" t="str">
        <x:f>IF(Leads!F660="","",Leads!F660)</x:f>
      </x:c>
      <x:c r="C660" s="12" t="str">
        <x:f>IF(Leads!G660="","",Leads!G660)</x:f>
      </x:c>
      <x:c r="D660" s="12" t="str">
        <x:f>IF(Leads!O660="","",Leads!O660)</x:f>
      </x:c>
      <x:c r="E660" s="12" t="str">
        <x:f>IF(Leads!AV660="","",Leads!AV660)</x:f>
      </x:c>
      <x:c r="F660" s="12" t="str">
        <x:f>IF(Leads!AX660="","",Leads!AX660)</x:f>
      </x:c>
      <x:c r="G660" s="12" t="str">
        <x:f>IF(Leads!BC660="","",Leads!BC660)</x:f>
      </x:c>
      <x:c r="H660" s="12" t="str">
        <x:f>IF(Leads!BE660="","",Leads!BE660)</x:f>
      </x:c>
      <x:c r="I660" s="12" t="str">
        <x:f>IF(Leads!BG660="","",Leads!BG660)</x:f>
      </x:c>
      <x:c r="J660" s="12" t="str">
        <x:f>IF(Leads!BH660="","",Leads!BH660)</x:f>
      </x:c>
      <x:c r="K660" s="12" t="str">
        <x:f>IF(A660="","","مرحبًا "&amp;C660&amp;CHAR(10)&amp;CHAR(10)&amp;"شكرًا لإتمام تقييم DBD الخاص بعيادة "&amp;B660&amp;"."&amp;CHAR(10)&amp;"نتيجتكم الحالية: "&amp;E660&amp;"%."&amp;CHAR(10)&amp;"أولوية التحسين الأولى: "&amp;F660&amp;"."&amp;IF(J660&lt;&gt;"",CHAR(10)&amp;CHAR(10)&amp;"رابط التقرير: "&amp;J660,"")&amp;CHAR(10)&amp;CHAR(10)&amp;"إذا أحببت، يمكننا مساعدتك في فهم التقرير وتحديد أفضل خطوة تالية لعيادتكم.")</x:f>
      </x:c>
      <x:c r="L660" s="12" t="str">
        <x:f>IF(D660="","",HYPERLINK("https://wa.me/"&amp;REGEXREPLACE(D660,"[^\d]","")&amp;"?text="&amp;ENCODEURL(K660),"واتساب 1"))</x:f>
      </x:c>
      <x:c r="M660" s="12" t="str">
        <x:f>IF(A660="","","مرحبًا "&amp;C660&amp;CHAR(10)&amp;CHAR(10)&amp;"بناءً على نتيجة تقييم عيادة "&amp;B660&amp;"، فإن الترشيح الأقوى لكم الآن هو: "&amp;G660&amp;"."&amp;CHAR(10)&amp;"هذا الخيار يساعدكم في معالجة أكبر فجوة حالية بشكل عملي ومباشر."&amp;IF(J660&lt;&gt;"",CHAR(10)&amp;CHAR(10)&amp;"رابط التقرير: "&amp;J660,"")&amp;CHAR(10)&amp;CHAR(10)&amp;"إذا رغبت، يمكننا توضيح لماذا هذا الكورس هو الأنسب لكم الآن.")</x:f>
      </x:c>
      <x:c r="N660" s="12" t="str">
        <x:f>IF(D660="","",HYPERLINK("https://wa.me/"&amp;REGEXREPLACE(D660,"[^\d]","")&amp;"?text="&amp;ENCODEURL(M660),"واتساب 2"))</x:f>
      </x:c>
      <x:c r="O660" s="12" t="str">
        <x:f>IF(A660="","","مرحبًا "&amp;C660&amp;CHAR(10)&amp;CHAR(10)&amp;"إذا كانت التحديات لديكم تحتاج حلًا أشمل، فالبرنامج الكامل المناسب لكم هو: "&amp;H660&amp;"."&amp;IF(I660&lt;&gt;"",CHAR(10)&amp;"كما يمكنكم أيضًا حجز: "&amp;I660&amp;".","")&amp;IF(J660&lt;&gt;"",CHAR(10)&amp;CHAR(10)&amp;"رابط التقرير: "&amp;J660,"")&amp;CHAR(10)&amp;CHAR(10)&amp;"يسعدنا مساعدتكم في اختيار المسار الأنسب حسب وضع العيادة الحالي.")</x:f>
      </x:c>
      <x:c r="P660" s="12" t="str">
        <x:f>IF(D660="","",HYPERLINK("https://wa.me/"&amp;REGEXREPLACE(D660,"[^\d]","")&amp;"?text="&amp;ENCODEURL(O660),"واتساب 3"))</x:f>
      </x:c>
    </x:row>
    <x:row r="661" ht="15" hidden="0" customHeight="1">
      <x:c r="A661" s="12" t="str">
        <x:f>IF(Leads!A661="","",Leads!A661)</x:f>
      </x:c>
      <x:c r="B661" s="12" t="str">
        <x:f>IF(Leads!F661="","",Leads!F661)</x:f>
      </x:c>
      <x:c r="C661" s="12" t="str">
        <x:f>IF(Leads!G661="","",Leads!G661)</x:f>
      </x:c>
      <x:c r="D661" s="12" t="str">
        <x:f>IF(Leads!O661="","",Leads!O661)</x:f>
      </x:c>
      <x:c r="E661" s="12" t="str">
        <x:f>IF(Leads!AV661="","",Leads!AV661)</x:f>
      </x:c>
      <x:c r="F661" s="12" t="str">
        <x:f>IF(Leads!AX661="","",Leads!AX661)</x:f>
      </x:c>
      <x:c r="G661" s="12" t="str">
        <x:f>IF(Leads!BC661="","",Leads!BC661)</x:f>
      </x:c>
      <x:c r="H661" s="12" t="str">
        <x:f>IF(Leads!BE661="","",Leads!BE661)</x:f>
      </x:c>
      <x:c r="I661" s="12" t="str">
        <x:f>IF(Leads!BG661="","",Leads!BG661)</x:f>
      </x:c>
      <x:c r="J661" s="12" t="str">
        <x:f>IF(Leads!BH661="","",Leads!BH661)</x:f>
      </x:c>
      <x:c r="K661" s="12" t="str">
        <x:f>IF(A661="","","مرحبًا "&amp;C661&amp;CHAR(10)&amp;CHAR(10)&amp;"شكرًا لإتمام تقييم DBD الخاص بعيادة "&amp;B661&amp;"."&amp;CHAR(10)&amp;"نتيجتكم الحالية: "&amp;E661&amp;"%."&amp;CHAR(10)&amp;"أولوية التحسين الأولى: "&amp;F661&amp;"."&amp;IF(J661&lt;&gt;"",CHAR(10)&amp;CHAR(10)&amp;"رابط التقرير: "&amp;J661,"")&amp;CHAR(10)&amp;CHAR(10)&amp;"إذا أحببت، يمكننا مساعدتك في فهم التقرير وتحديد أفضل خطوة تالية لعيادتكم.")</x:f>
      </x:c>
      <x:c r="L661" s="12" t="str">
        <x:f>IF(D661="","",HYPERLINK("https://wa.me/"&amp;REGEXREPLACE(D661,"[^\d]","")&amp;"?text="&amp;ENCODEURL(K661),"واتساب 1"))</x:f>
      </x:c>
      <x:c r="M661" s="12" t="str">
        <x:f>IF(A661="","","مرحبًا "&amp;C661&amp;CHAR(10)&amp;CHAR(10)&amp;"بناءً على نتيجة تقييم عيادة "&amp;B661&amp;"، فإن الترشيح الأقوى لكم الآن هو: "&amp;G661&amp;"."&amp;CHAR(10)&amp;"هذا الخيار يساعدكم في معالجة أكبر فجوة حالية بشكل عملي ومباشر."&amp;IF(J661&lt;&gt;"",CHAR(10)&amp;CHAR(10)&amp;"رابط التقرير: "&amp;J661,"")&amp;CHAR(10)&amp;CHAR(10)&amp;"إذا رغبت، يمكننا توضيح لماذا هذا الكورس هو الأنسب لكم الآن.")</x:f>
      </x:c>
      <x:c r="N661" s="12" t="str">
        <x:f>IF(D661="","",HYPERLINK("https://wa.me/"&amp;REGEXREPLACE(D661,"[^\d]","")&amp;"?text="&amp;ENCODEURL(M661),"واتساب 2"))</x:f>
      </x:c>
      <x:c r="O661" s="12" t="str">
        <x:f>IF(A661="","","مرحبًا "&amp;C661&amp;CHAR(10)&amp;CHAR(10)&amp;"إذا كانت التحديات لديكم تحتاج حلًا أشمل، فالبرنامج الكامل المناسب لكم هو: "&amp;H661&amp;"."&amp;IF(I661&lt;&gt;"",CHAR(10)&amp;"كما يمكنكم أيضًا حجز: "&amp;I661&amp;".","")&amp;IF(J661&lt;&gt;"",CHAR(10)&amp;CHAR(10)&amp;"رابط التقرير: "&amp;J661,"")&amp;CHAR(10)&amp;CHAR(10)&amp;"يسعدنا مساعدتكم في اختيار المسار الأنسب حسب وضع العيادة الحالي.")</x:f>
      </x:c>
      <x:c r="P661" s="12" t="str">
        <x:f>IF(D661="","",HYPERLINK("https://wa.me/"&amp;REGEXREPLACE(D661,"[^\d]","")&amp;"?text="&amp;ENCODEURL(O661),"واتساب 3"))</x:f>
      </x:c>
    </x:row>
    <x:row r="662" ht="15" hidden="0" customHeight="1">
      <x:c r="A662" s="12" t="str">
        <x:f>IF(Leads!A662="","",Leads!A662)</x:f>
      </x:c>
      <x:c r="B662" s="12" t="str">
        <x:f>IF(Leads!F662="","",Leads!F662)</x:f>
      </x:c>
      <x:c r="C662" s="12" t="str">
        <x:f>IF(Leads!G662="","",Leads!G662)</x:f>
      </x:c>
      <x:c r="D662" s="12" t="str">
        <x:f>IF(Leads!O662="","",Leads!O662)</x:f>
      </x:c>
      <x:c r="E662" s="12" t="str">
        <x:f>IF(Leads!AV662="","",Leads!AV662)</x:f>
      </x:c>
      <x:c r="F662" s="12" t="str">
        <x:f>IF(Leads!AX662="","",Leads!AX662)</x:f>
      </x:c>
      <x:c r="G662" s="12" t="str">
        <x:f>IF(Leads!BC662="","",Leads!BC662)</x:f>
      </x:c>
      <x:c r="H662" s="12" t="str">
        <x:f>IF(Leads!BE662="","",Leads!BE662)</x:f>
      </x:c>
      <x:c r="I662" s="12" t="str">
        <x:f>IF(Leads!BG662="","",Leads!BG662)</x:f>
      </x:c>
      <x:c r="J662" s="12" t="str">
        <x:f>IF(Leads!BH662="","",Leads!BH662)</x:f>
      </x:c>
      <x:c r="K662" s="12" t="str">
        <x:f>IF(A662="","","مرحبًا "&amp;C662&amp;CHAR(10)&amp;CHAR(10)&amp;"شكرًا لإتمام تقييم DBD الخاص بعيادة "&amp;B662&amp;"."&amp;CHAR(10)&amp;"نتيجتكم الحالية: "&amp;E662&amp;"%."&amp;CHAR(10)&amp;"أولوية التحسين الأولى: "&amp;F662&amp;"."&amp;IF(J662&lt;&gt;"",CHAR(10)&amp;CHAR(10)&amp;"رابط التقرير: "&amp;J662,"")&amp;CHAR(10)&amp;CHAR(10)&amp;"إذا أحببت، يمكننا مساعدتك في فهم التقرير وتحديد أفضل خطوة تالية لعيادتكم.")</x:f>
      </x:c>
      <x:c r="L662" s="12" t="str">
        <x:f>IF(D662="","",HYPERLINK("https://wa.me/"&amp;REGEXREPLACE(D662,"[^\d]","")&amp;"?text="&amp;ENCODEURL(K662),"واتساب 1"))</x:f>
      </x:c>
      <x:c r="M662" s="12" t="str">
        <x:f>IF(A662="","","مرحبًا "&amp;C662&amp;CHAR(10)&amp;CHAR(10)&amp;"بناءً على نتيجة تقييم عيادة "&amp;B662&amp;"، فإن الترشيح الأقوى لكم الآن هو: "&amp;G662&amp;"."&amp;CHAR(10)&amp;"هذا الخيار يساعدكم في معالجة أكبر فجوة حالية بشكل عملي ومباشر."&amp;IF(J662&lt;&gt;"",CHAR(10)&amp;CHAR(10)&amp;"رابط التقرير: "&amp;J662,"")&amp;CHAR(10)&amp;CHAR(10)&amp;"إذا رغبت، يمكننا توضيح لماذا هذا الكورس هو الأنسب لكم الآن.")</x:f>
      </x:c>
      <x:c r="N662" s="12" t="str">
        <x:f>IF(D662="","",HYPERLINK("https://wa.me/"&amp;REGEXREPLACE(D662,"[^\d]","")&amp;"?text="&amp;ENCODEURL(M662),"واتساب 2"))</x:f>
      </x:c>
      <x:c r="O662" s="12" t="str">
        <x:f>IF(A662="","","مرحبًا "&amp;C662&amp;CHAR(10)&amp;CHAR(10)&amp;"إذا كانت التحديات لديكم تحتاج حلًا أشمل، فالبرنامج الكامل المناسب لكم هو: "&amp;H662&amp;"."&amp;IF(I662&lt;&gt;"",CHAR(10)&amp;"كما يمكنكم أيضًا حجز: "&amp;I662&amp;".","")&amp;IF(J662&lt;&gt;"",CHAR(10)&amp;CHAR(10)&amp;"رابط التقرير: "&amp;J662,"")&amp;CHAR(10)&amp;CHAR(10)&amp;"يسعدنا مساعدتكم في اختيار المسار الأنسب حسب وضع العيادة الحالي.")</x:f>
      </x:c>
      <x:c r="P662" s="12" t="str">
        <x:f>IF(D662="","",HYPERLINK("https://wa.me/"&amp;REGEXREPLACE(D662,"[^\d]","")&amp;"?text="&amp;ENCODEURL(O662),"واتساب 3"))</x:f>
      </x:c>
    </x:row>
    <x:row r="663" ht="15" hidden="0" customHeight="1">
      <x:c r="A663" s="12" t="str">
        <x:f>IF(Leads!A663="","",Leads!A663)</x:f>
      </x:c>
      <x:c r="B663" s="12" t="str">
        <x:f>IF(Leads!F663="","",Leads!F663)</x:f>
      </x:c>
      <x:c r="C663" s="12" t="str">
        <x:f>IF(Leads!G663="","",Leads!G663)</x:f>
      </x:c>
      <x:c r="D663" s="12" t="str">
        <x:f>IF(Leads!O663="","",Leads!O663)</x:f>
      </x:c>
      <x:c r="E663" s="12" t="str">
        <x:f>IF(Leads!AV663="","",Leads!AV663)</x:f>
      </x:c>
      <x:c r="F663" s="12" t="str">
        <x:f>IF(Leads!AX663="","",Leads!AX663)</x:f>
      </x:c>
      <x:c r="G663" s="12" t="str">
        <x:f>IF(Leads!BC663="","",Leads!BC663)</x:f>
      </x:c>
      <x:c r="H663" s="12" t="str">
        <x:f>IF(Leads!BE663="","",Leads!BE663)</x:f>
      </x:c>
      <x:c r="I663" s="12" t="str">
        <x:f>IF(Leads!BG663="","",Leads!BG663)</x:f>
      </x:c>
      <x:c r="J663" s="12" t="str">
        <x:f>IF(Leads!BH663="","",Leads!BH663)</x:f>
      </x:c>
      <x:c r="K663" s="12" t="str">
        <x:f>IF(A663="","","مرحبًا "&amp;C663&amp;CHAR(10)&amp;CHAR(10)&amp;"شكرًا لإتمام تقييم DBD الخاص بعيادة "&amp;B663&amp;"."&amp;CHAR(10)&amp;"نتيجتكم الحالية: "&amp;E663&amp;"%."&amp;CHAR(10)&amp;"أولوية التحسين الأولى: "&amp;F663&amp;"."&amp;IF(J663&lt;&gt;"",CHAR(10)&amp;CHAR(10)&amp;"رابط التقرير: "&amp;J663,"")&amp;CHAR(10)&amp;CHAR(10)&amp;"إذا أحببت، يمكننا مساعدتك في فهم التقرير وتحديد أفضل خطوة تالية لعيادتكم.")</x:f>
      </x:c>
      <x:c r="L663" s="12" t="str">
        <x:f>IF(D663="","",HYPERLINK("https://wa.me/"&amp;REGEXREPLACE(D663,"[^\d]","")&amp;"?text="&amp;ENCODEURL(K663),"واتساب 1"))</x:f>
      </x:c>
      <x:c r="M663" s="12" t="str">
        <x:f>IF(A663="","","مرحبًا "&amp;C663&amp;CHAR(10)&amp;CHAR(10)&amp;"بناءً على نتيجة تقييم عيادة "&amp;B663&amp;"، فإن الترشيح الأقوى لكم الآن هو: "&amp;G663&amp;"."&amp;CHAR(10)&amp;"هذا الخيار يساعدكم في معالجة أكبر فجوة حالية بشكل عملي ومباشر."&amp;IF(J663&lt;&gt;"",CHAR(10)&amp;CHAR(10)&amp;"رابط التقرير: "&amp;J663,"")&amp;CHAR(10)&amp;CHAR(10)&amp;"إذا رغبت، يمكننا توضيح لماذا هذا الكورس هو الأنسب لكم الآن.")</x:f>
      </x:c>
      <x:c r="N663" s="12" t="str">
        <x:f>IF(D663="","",HYPERLINK("https://wa.me/"&amp;REGEXREPLACE(D663,"[^\d]","")&amp;"?text="&amp;ENCODEURL(M663),"واتساب 2"))</x:f>
      </x:c>
      <x:c r="O663" s="12" t="str">
        <x:f>IF(A663="","","مرحبًا "&amp;C663&amp;CHAR(10)&amp;CHAR(10)&amp;"إذا كانت التحديات لديكم تحتاج حلًا أشمل، فالبرنامج الكامل المناسب لكم هو: "&amp;H663&amp;"."&amp;IF(I663&lt;&gt;"",CHAR(10)&amp;"كما يمكنكم أيضًا حجز: "&amp;I663&amp;".","")&amp;IF(J663&lt;&gt;"",CHAR(10)&amp;CHAR(10)&amp;"رابط التقرير: "&amp;J663,"")&amp;CHAR(10)&amp;CHAR(10)&amp;"يسعدنا مساعدتكم في اختيار المسار الأنسب حسب وضع العيادة الحالي.")</x:f>
      </x:c>
      <x:c r="P663" s="12" t="str">
        <x:f>IF(D663="","",HYPERLINK("https://wa.me/"&amp;REGEXREPLACE(D663,"[^\d]","")&amp;"?text="&amp;ENCODEURL(O663),"واتساب 3"))</x:f>
      </x:c>
    </x:row>
    <x:row r="664" ht="15" hidden="0" customHeight="1">
      <x:c r="A664" s="12" t="str">
        <x:f>IF(Leads!A664="","",Leads!A664)</x:f>
      </x:c>
      <x:c r="B664" s="12" t="str">
        <x:f>IF(Leads!F664="","",Leads!F664)</x:f>
      </x:c>
      <x:c r="C664" s="12" t="str">
        <x:f>IF(Leads!G664="","",Leads!G664)</x:f>
      </x:c>
      <x:c r="D664" s="12" t="str">
        <x:f>IF(Leads!O664="","",Leads!O664)</x:f>
      </x:c>
      <x:c r="E664" s="12" t="str">
        <x:f>IF(Leads!AV664="","",Leads!AV664)</x:f>
      </x:c>
      <x:c r="F664" s="12" t="str">
        <x:f>IF(Leads!AX664="","",Leads!AX664)</x:f>
      </x:c>
      <x:c r="G664" s="12" t="str">
        <x:f>IF(Leads!BC664="","",Leads!BC664)</x:f>
      </x:c>
      <x:c r="H664" s="12" t="str">
        <x:f>IF(Leads!BE664="","",Leads!BE664)</x:f>
      </x:c>
      <x:c r="I664" s="12" t="str">
        <x:f>IF(Leads!BG664="","",Leads!BG664)</x:f>
      </x:c>
      <x:c r="J664" s="12" t="str">
        <x:f>IF(Leads!BH664="","",Leads!BH664)</x:f>
      </x:c>
      <x:c r="K664" s="12" t="str">
        <x:f>IF(A664="","","مرحبًا "&amp;C664&amp;CHAR(10)&amp;CHAR(10)&amp;"شكرًا لإتمام تقييم DBD الخاص بعيادة "&amp;B664&amp;"."&amp;CHAR(10)&amp;"نتيجتكم الحالية: "&amp;E664&amp;"%."&amp;CHAR(10)&amp;"أولوية التحسين الأولى: "&amp;F664&amp;"."&amp;IF(J664&lt;&gt;"",CHAR(10)&amp;CHAR(10)&amp;"رابط التقرير: "&amp;J664,"")&amp;CHAR(10)&amp;CHAR(10)&amp;"إذا أحببت، يمكننا مساعدتك في فهم التقرير وتحديد أفضل خطوة تالية لعيادتكم.")</x:f>
      </x:c>
      <x:c r="L664" s="12" t="str">
        <x:f>IF(D664="","",HYPERLINK("https://wa.me/"&amp;REGEXREPLACE(D664,"[^\d]","")&amp;"?text="&amp;ENCODEURL(K664),"واتساب 1"))</x:f>
      </x:c>
      <x:c r="M664" s="12" t="str">
        <x:f>IF(A664="","","مرحبًا "&amp;C664&amp;CHAR(10)&amp;CHAR(10)&amp;"بناءً على نتيجة تقييم عيادة "&amp;B664&amp;"، فإن الترشيح الأقوى لكم الآن هو: "&amp;G664&amp;"."&amp;CHAR(10)&amp;"هذا الخيار يساعدكم في معالجة أكبر فجوة حالية بشكل عملي ومباشر."&amp;IF(J664&lt;&gt;"",CHAR(10)&amp;CHAR(10)&amp;"رابط التقرير: "&amp;J664,"")&amp;CHAR(10)&amp;CHAR(10)&amp;"إذا رغبت، يمكننا توضيح لماذا هذا الكورس هو الأنسب لكم الآن.")</x:f>
      </x:c>
      <x:c r="N664" s="12" t="str">
        <x:f>IF(D664="","",HYPERLINK("https://wa.me/"&amp;REGEXREPLACE(D664,"[^\d]","")&amp;"?text="&amp;ENCODEURL(M664),"واتساب 2"))</x:f>
      </x:c>
      <x:c r="O664" s="12" t="str">
        <x:f>IF(A664="","","مرحبًا "&amp;C664&amp;CHAR(10)&amp;CHAR(10)&amp;"إذا كانت التحديات لديكم تحتاج حلًا أشمل، فالبرنامج الكامل المناسب لكم هو: "&amp;H664&amp;"."&amp;IF(I664&lt;&gt;"",CHAR(10)&amp;"كما يمكنكم أيضًا حجز: "&amp;I664&amp;".","")&amp;IF(J664&lt;&gt;"",CHAR(10)&amp;CHAR(10)&amp;"رابط التقرير: "&amp;J664,"")&amp;CHAR(10)&amp;CHAR(10)&amp;"يسعدنا مساعدتكم في اختيار المسار الأنسب حسب وضع العيادة الحالي.")</x:f>
      </x:c>
      <x:c r="P664" s="12" t="str">
        <x:f>IF(D664="","",HYPERLINK("https://wa.me/"&amp;REGEXREPLACE(D664,"[^\d]","")&amp;"?text="&amp;ENCODEURL(O664),"واتساب 3"))</x:f>
      </x:c>
    </x:row>
    <x:row r="665" ht="15" hidden="0" customHeight="1">
      <x:c r="A665" s="12" t="str">
        <x:f>IF(Leads!A665="","",Leads!A665)</x:f>
      </x:c>
      <x:c r="B665" s="12" t="str">
        <x:f>IF(Leads!F665="","",Leads!F665)</x:f>
      </x:c>
      <x:c r="C665" s="12" t="str">
        <x:f>IF(Leads!G665="","",Leads!G665)</x:f>
      </x:c>
      <x:c r="D665" s="12" t="str">
        <x:f>IF(Leads!O665="","",Leads!O665)</x:f>
      </x:c>
      <x:c r="E665" s="12" t="str">
        <x:f>IF(Leads!AV665="","",Leads!AV665)</x:f>
      </x:c>
      <x:c r="F665" s="12" t="str">
        <x:f>IF(Leads!AX665="","",Leads!AX665)</x:f>
      </x:c>
      <x:c r="G665" s="12" t="str">
        <x:f>IF(Leads!BC665="","",Leads!BC665)</x:f>
      </x:c>
      <x:c r="H665" s="12" t="str">
        <x:f>IF(Leads!BE665="","",Leads!BE665)</x:f>
      </x:c>
      <x:c r="I665" s="12" t="str">
        <x:f>IF(Leads!BG665="","",Leads!BG665)</x:f>
      </x:c>
      <x:c r="J665" s="12" t="str">
        <x:f>IF(Leads!BH665="","",Leads!BH665)</x:f>
      </x:c>
      <x:c r="K665" s="12" t="str">
        <x:f>IF(A665="","","مرحبًا "&amp;C665&amp;CHAR(10)&amp;CHAR(10)&amp;"شكرًا لإتمام تقييم DBD الخاص بعيادة "&amp;B665&amp;"."&amp;CHAR(10)&amp;"نتيجتكم الحالية: "&amp;E665&amp;"%."&amp;CHAR(10)&amp;"أولوية التحسين الأولى: "&amp;F665&amp;"."&amp;IF(J665&lt;&gt;"",CHAR(10)&amp;CHAR(10)&amp;"رابط التقرير: "&amp;J665,"")&amp;CHAR(10)&amp;CHAR(10)&amp;"إذا أحببت، يمكننا مساعدتك في فهم التقرير وتحديد أفضل خطوة تالية لعيادتكم.")</x:f>
      </x:c>
      <x:c r="L665" s="12" t="str">
        <x:f>IF(D665="","",HYPERLINK("https://wa.me/"&amp;REGEXREPLACE(D665,"[^\d]","")&amp;"?text="&amp;ENCODEURL(K665),"واتساب 1"))</x:f>
      </x:c>
      <x:c r="M665" s="12" t="str">
        <x:f>IF(A665="","","مرحبًا "&amp;C665&amp;CHAR(10)&amp;CHAR(10)&amp;"بناءً على نتيجة تقييم عيادة "&amp;B665&amp;"، فإن الترشيح الأقوى لكم الآن هو: "&amp;G665&amp;"."&amp;CHAR(10)&amp;"هذا الخيار يساعدكم في معالجة أكبر فجوة حالية بشكل عملي ومباشر."&amp;IF(J665&lt;&gt;"",CHAR(10)&amp;CHAR(10)&amp;"رابط التقرير: "&amp;J665,"")&amp;CHAR(10)&amp;CHAR(10)&amp;"إذا رغبت، يمكننا توضيح لماذا هذا الكورس هو الأنسب لكم الآن.")</x:f>
      </x:c>
      <x:c r="N665" s="12" t="str">
        <x:f>IF(D665="","",HYPERLINK("https://wa.me/"&amp;REGEXREPLACE(D665,"[^\d]","")&amp;"?text="&amp;ENCODEURL(M665),"واتساب 2"))</x:f>
      </x:c>
      <x:c r="O665" s="12" t="str">
        <x:f>IF(A665="","","مرحبًا "&amp;C665&amp;CHAR(10)&amp;CHAR(10)&amp;"إذا كانت التحديات لديكم تحتاج حلًا أشمل، فالبرنامج الكامل المناسب لكم هو: "&amp;H665&amp;"."&amp;IF(I665&lt;&gt;"",CHAR(10)&amp;"كما يمكنكم أيضًا حجز: "&amp;I665&amp;".","")&amp;IF(J665&lt;&gt;"",CHAR(10)&amp;CHAR(10)&amp;"رابط التقرير: "&amp;J665,"")&amp;CHAR(10)&amp;CHAR(10)&amp;"يسعدنا مساعدتكم في اختيار المسار الأنسب حسب وضع العيادة الحالي.")</x:f>
      </x:c>
      <x:c r="P665" s="12" t="str">
        <x:f>IF(D665="","",HYPERLINK("https://wa.me/"&amp;REGEXREPLACE(D665,"[^\d]","")&amp;"?text="&amp;ENCODEURL(O665),"واتساب 3"))</x:f>
      </x:c>
    </x:row>
    <x:row r="666" ht="15" hidden="0" customHeight="1">
      <x:c r="A666" s="12" t="str">
        <x:f>IF(Leads!A666="","",Leads!A666)</x:f>
      </x:c>
      <x:c r="B666" s="12" t="str">
        <x:f>IF(Leads!F666="","",Leads!F666)</x:f>
      </x:c>
      <x:c r="C666" s="12" t="str">
        <x:f>IF(Leads!G666="","",Leads!G666)</x:f>
      </x:c>
      <x:c r="D666" s="12" t="str">
        <x:f>IF(Leads!O666="","",Leads!O666)</x:f>
      </x:c>
      <x:c r="E666" s="12" t="str">
        <x:f>IF(Leads!AV666="","",Leads!AV666)</x:f>
      </x:c>
      <x:c r="F666" s="12" t="str">
        <x:f>IF(Leads!AX666="","",Leads!AX666)</x:f>
      </x:c>
      <x:c r="G666" s="12" t="str">
        <x:f>IF(Leads!BC666="","",Leads!BC666)</x:f>
      </x:c>
      <x:c r="H666" s="12" t="str">
        <x:f>IF(Leads!BE666="","",Leads!BE666)</x:f>
      </x:c>
      <x:c r="I666" s="12" t="str">
        <x:f>IF(Leads!BG666="","",Leads!BG666)</x:f>
      </x:c>
      <x:c r="J666" s="12" t="str">
        <x:f>IF(Leads!BH666="","",Leads!BH666)</x:f>
      </x:c>
      <x:c r="K666" s="12" t="str">
        <x:f>IF(A666="","","مرحبًا "&amp;C666&amp;CHAR(10)&amp;CHAR(10)&amp;"شكرًا لإتمام تقييم DBD الخاص بعيادة "&amp;B666&amp;"."&amp;CHAR(10)&amp;"نتيجتكم الحالية: "&amp;E666&amp;"%."&amp;CHAR(10)&amp;"أولوية التحسين الأولى: "&amp;F666&amp;"."&amp;IF(J666&lt;&gt;"",CHAR(10)&amp;CHAR(10)&amp;"رابط التقرير: "&amp;J666,"")&amp;CHAR(10)&amp;CHAR(10)&amp;"إذا أحببت، يمكننا مساعدتك في فهم التقرير وتحديد أفضل خطوة تالية لعيادتكم.")</x:f>
      </x:c>
      <x:c r="L666" s="12" t="str">
        <x:f>IF(D666="","",HYPERLINK("https://wa.me/"&amp;REGEXREPLACE(D666,"[^\d]","")&amp;"?text="&amp;ENCODEURL(K666),"واتساب 1"))</x:f>
      </x:c>
      <x:c r="M666" s="12" t="str">
        <x:f>IF(A666="","","مرحبًا "&amp;C666&amp;CHAR(10)&amp;CHAR(10)&amp;"بناءً على نتيجة تقييم عيادة "&amp;B666&amp;"، فإن الترشيح الأقوى لكم الآن هو: "&amp;G666&amp;"."&amp;CHAR(10)&amp;"هذا الخيار يساعدكم في معالجة أكبر فجوة حالية بشكل عملي ومباشر."&amp;IF(J666&lt;&gt;"",CHAR(10)&amp;CHAR(10)&amp;"رابط التقرير: "&amp;J666,"")&amp;CHAR(10)&amp;CHAR(10)&amp;"إذا رغبت، يمكننا توضيح لماذا هذا الكورس هو الأنسب لكم الآن.")</x:f>
      </x:c>
      <x:c r="N666" s="12" t="str">
        <x:f>IF(D666="","",HYPERLINK("https://wa.me/"&amp;REGEXREPLACE(D666,"[^\d]","")&amp;"?text="&amp;ENCODEURL(M666),"واتساب 2"))</x:f>
      </x:c>
      <x:c r="O666" s="12" t="str">
        <x:f>IF(A666="","","مرحبًا "&amp;C666&amp;CHAR(10)&amp;CHAR(10)&amp;"إذا كانت التحديات لديكم تحتاج حلًا أشمل، فالبرنامج الكامل المناسب لكم هو: "&amp;H666&amp;"."&amp;IF(I666&lt;&gt;"",CHAR(10)&amp;"كما يمكنكم أيضًا حجز: "&amp;I666&amp;".","")&amp;IF(J666&lt;&gt;"",CHAR(10)&amp;CHAR(10)&amp;"رابط التقرير: "&amp;J666,"")&amp;CHAR(10)&amp;CHAR(10)&amp;"يسعدنا مساعدتكم في اختيار المسار الأنسب حسب وضع العيادة الحالي.")</x:f>
      </x:c>
      <x:c r="P666" s="12" t="str">
        <x:f>IF(D666="","",HYPERLINK("https://wa.me/"&amp;REGEXREPLACE(D666,"[^\d]","")&amp;"?text="&amp;ENCODEURL(O666),"واتساب 3"))</x:f>
      </x:c>
    </x:row>
    <x:row r="667" ht="15" hidden="0" customHeight="1">
      <x:c r="A667" s="12" t="str">
        <x:f>IF(Leads!A667="","",Leads!A667)</x:f>
      </x:c>
      <x:c r="B667" s="12" t="str">
        <x:f>IF(Leads!F667="","",Leads!F667)</x:f>
      </x:c>
      <x:c r="C667" s="12" t="str">
        <x:f>IF(Leads!G667="","",Leads!G667)</x:f>
      </x:c>
      <x:c r="D667" s="12" t="str">
        <x:f>IF(Leads!O667="","",Leads!O667)</x:f>
      </x:c>
      <x:c r="E667" s="12" t="str">
        <x:f>IF(Leads!AV667="","",Leads!AV667)</x:f>
      </x:c>
      <x:c r="F667" s="12" t="str">
        <x:f>IF(Leads!AX667="","",Leads!AX667)</x:f>
      </x:c>
      <x:c r="G667" s="12" t="str">
        <x:f>IF(Leads!BC667="","",Leads!BC667)</x:f>
      </x:c>
      <x:c r="H667" s="12" t="str">
        <x:f>IF(Leads!BE667="","",Leads!BE667)</x:f>
      </x:c>
      <x:c r="I667" s="12" t="str">
        <x:f>IF(Leads!BG667="","",Leads!BG667)</x:f>
      </x:c>
      <x:c r="J667" s="12" t="str">
        <x:f>IF(Leads!BH667="","",Leads!BH667)</x:f>
      </x:c>
      <x:c r="K667" s="12" t="str">
        <x:f>IF(A667="","","مرحبًا "&amp;C667&amp;CHAR(10)&amp;CHAR(10)&amp;"شكرًا لإتمام تقييم DBD الخاص بعيادة "&amp;B667&amp;"."&amp;CHAR(10)&amp;"نتيجتكم الحالية: "&amp;E667&amp;"%."&amp;CHAR(10)&amp;"أولوية التحسين الأولى: "&amp;F667&amp;"."&amp;IF(J667&lt;&gt;"",CHAR(10)&amp;CHAR(10)&amp;"رابط التقرير: "&amp;J667,"")&amp;CHAR(10)&amp;CHAR(10)&amp;"إذا أحببت، يمكننا مساعدتك في فهم التقرير وتحديد أفضل خطوة تالية لعيادتكم.")</x:f>
      </x:c>
      <x:c r="L667" s="12" t="str">
        <x:f>IF(D667="","",HYPERLINK("https://wa.me/"&amp;REGEXREPLACE(D667,"[^\d]","")&amp;"?text="&amp;ENCODEURL(K667),"واتساب 1"))</x:f>
      </x:c>
      <x:c r="M667" s="12" t="str">
        <x:f>IF(A667="","","مرحبًا "&amp;C667&amp;CHAR(10)&amp;CHAR(10)&amp;"بناءً على نتيجة تقييم عيادة "&amp;B667&amp;"، فإن الترشيح الأقوى لكم الآن هو: "&amp;G667&amp;"."&amp;CHAR(10)&amp;"هذا الخيار يساعدكم في معالجة أكبر فجوة حالية بشكل عملي ومباشر."&amp;IF(J667&lt;&gt;"",CHAR(10)&amp;CHAR(10)&amp;"رابط التقرير: "&amp;J667,"")&amp;CHAR(10)&amp;CHAR(10)&amp;"إذا رغبت، يمكننا توضيح لماذا هذا الكورس هو الأنسب لكم الآن.")</x:f>
      </x:c>
      <x:c r="N667" s="12" t="str">
        <x:f>IF(D667="","",HYPERLINK("https://wa.me/"&amp;REGEXREPLACE(D667,"[^\d]","")&amp;"?text="&amp;ENCODEURL(M667),"واتساب 2"))</x:f>
      </x:c>
      <x:c r="O667" s="12" t="str">
        <x:f>IF(A667="","","مرحبًا "&amp;C667&amp;CHAR(10)&amp;CHAR(10)&amp;"إذا كانت التحديات لديكم تحتاج حلًا أشمل، فالبرنامج الكامل المناسب لكم هو: "&amp;H667&amp;"."&amp;IF(I667&lt;&gt;"",CHAR(10)&amp;"كما يمكنكم أيضًا حجز: "&amp;I667&amp;".","")&amp;IF(J667&lt;&gt;"",CHAR(10)&amp;CHAR(10)&amp;"رابط التقرير: "&amp;J667,"")&amp;CHAR(10)&amp;CHAR(10)&amp;"يسعدنا مساعدتكم في اختيار المسار الأنسب حسب وضع العيادة الحالي.")</x:f>
      </x:c>
      <x:c r="P667" s="12" t="str">
        <x:f>IF(D667="","",HYPERLINK("https://wa.me/"&amp;REGEXREPLACE(D667,"[^\d]","")&amp;"?text="&amp;ENCODEURL(O667),"واتساب 3"))</x:f>
      </x:c>
    </x:row>
    <x:row r="668" ht="15" hidden="0" customHeight="1">
      <x:c r="A668" s="12" t="str">
        <x:f>IF(Leads!A668="","",Leads!A668)</x:f>
      </x:c>
      <x:c r="B668" s="12" t="str">
        <x:f>IF(Leads!F668="","",Leads!F668)</x:f>
      </x:c>
      <x:c r="C668" s="12" t="str">
        <x:f>IF(Leads!G668="","",Leads!G668)</x:f>
      </x:c>
      <x:c r="D668" s="12" t="str">
        <x:f>IF(Leads!O668="","",Leads!O668)</x:f>
      </x:c>
      <x:c r="E668" s="12" t="str">
        <x:f>IF(Leads!AV668="","",Leads!AV668)</x:f>
      </x:c>
      <x:c r="F668" s="12" t="str">
        <x:f>IF(Leads!AX668="","",Leads!AX668)</x:f>
      </x:c>
      <x:c r="G668" s="12" t="str">
        <x:f>IF(Leads!BC668="","",Leads!BC668)</x:f>
      </x:c>
      <x:c r="H668" s="12" t="str">
        <x:f>IF(Leads!BE668="","",Leads!BE668)</x:f>
      </x:c>
      <x:c r="I668" s="12" t="str">
        <x:f>IF(Leads!BG668="","",Leads!BG668)</x:f>
      </x:c>
      <x:c r="J668" s="12" t="str">
        <x:f>IF(Leads!BH668="","",Leads!BH668)</x:f>
      </x:c>
      <x:c r="K668" s="12" t="str">
        <x:f>IF(A668="","","مرحبًا "&amp;C668&amp;CHAR(10)&amp;CHAR(10)&amp;"شكرًا لإتمام تقييم DBD الخاص بعيادة "&amp;B668&amp;"."&amp;CHAR(10)&amp;"نتيجتكم الحالية: "&amp;E668&amp;"%."&amp;CHAR(10)&amp;"أولوية التحسين الأولى: "&amp;F668&amp;"."&amp;IF(J668&lt;&gt;"",CHAR(10)&amp;CHAR(10)&amp;"رابط التقرير: "&amp;J668,"")&amp;CHAR(10)&amp;CHAR(10)&amp;"إذا أحببت، يمكننا مساعدتك في فهم التقرير وتحديد أفضل خطوة تالية لعيادتكم.")</x:f>
      </x:c>
      <x:c r="L668" s="12" t="str">
        <x:f>IF(D668="","",HYPERLINK("https://wa.me/"&amp;REGEXREPLACE(D668,"[^\d]","")&amp;"?text="&amp;ENCODEURL(K668),"واتساب 1"))</x:f>
      </x:c>
      <x:c r="M668" s="12" t="str">
        <x:f>IF(A668="","","مرحبًا "&amp;C668&amp;CHAR(10)&amp;CHAR(10)&amp;"بناءً على نتيجة تقييم عيادة "&amp;B668&amp;"، فإن الترشيح الأقوى لكم الآن هو: "&amp;G668&amp;"."&amp;CHAR(10)&amp;"هذا الخيار يساعدكم في معالجة أكبر فجوة حالية بشكل عملي ومباشر."&amp;IF(J668&lt;&gt;"",CHAR(10)&amp;CHAR(10)&amp;"رابط التقرير: "&amp;J668,"")&amp;CHAR(10)&amp;CHAR(10)&amp;"إذا رغبت، يمكننا توضيح لماذا هذا الكورس هو الأنسب لكم الآن.")</x:f>
      </x:c>
      <x:c r="N668" s="12" t="str">
        <x:f>IF(D668="","",HYPERLINK("https://wa.me/"&amp;REGEXREPLACE(D668,"[^\d]","")&amp;"?text="&amp;ENCODEURL(M668),"واتساب 2"))</x:f>
      </x:c>
      <x:c r="O668" s="12" t="str">
        <x:f>IF(A668="","","مرحبًا "&amp;C668&amp;CHAR(10)&amp;CHAR(10)&amp;"إذا كانت التحديات لديكم تحتاج حلًا أشمل، فالبرنامج الكامل المناسب لكم هو: "&amp;H668&amp;"."&amp;IF(I668&lt;&gt;"",CHAR(10)&amp;"كما يمكنكم أيضًا حجز: "&amp;I668&amp;".","")&amp;IF(J668&lt;&gt;"",CHAR(10)&amp;CHAR(10)&amp;"رابط التقرير: "&amp;J668,"")&amp;CHAR(10)&amp;CHAR(10)&amp;"يسعدنا مساعدتكم في اختيار المسار الأنسب حسب وضع العيادة الحالي.")</x:f>
      </x:c>
      <x:c r="P668" s="12" t="str">
        <x:f>IF(D668="","",HYPERLINK("https://wa.me/"&amp;REGEXREPLACE(D668,"[^\d]","")&amp;"?text="&amp;ENCODEURL(O668),"واتساب 3"))</x:f>
      </x:c>
    </x:row>
    <x:row r="669" ht="15" hidden="0" customHeight="1">
      <x:c r="A669" s="12" t="str">
        <x:f>IF(Leads!A669="","",Leads!A669)</x:f>
      </x:c>
      <x:c r="B669" s="12" t="str">
        <x:f>IF(Leads!F669="","",Leads!F669)</x:f>
      </x:c>
      <x:c r="C669" s="12" t="str">
        <x:f>IF(Leads!G669="","",Leads!G669)</x:f>
      </x:c>
      <x:c r="D669" s="12" t="str">
        <x:f>IF(Leads!O669="","",Leads!O669)</x:f>
      </x:c>
      <x:c r="E669" s="12" t="str">
        <x:f>IF(Leads!AV669="","",Leads!AV669)</x:f>
      </x:c>
      <x:c r="F669" s="12" t="str">
        <x:f>IF(Leads!AX669="","",Leads!AX669)</x:f>
      </x:c>
      <x:c r="G669" s="12" t="str">
        <x:f>IF(Leads!BC669="","",Leads!BC669)</x:f>
      </x:c>
      <x:c r="H669" s="12" t="str">
        <x:f>IF(Leads!BE669="","",Leads!BE669)</x:f>
      </x:c>
      <x:c r="I669" s="12" t="str">
        <x:f>IF(Leads!BG669="","",Leads!BG669)</x:f>
      </x:c>
      <x:c r="J669" s="12" t="str">
        <x:f>IF(Leads!BH669="","",Leads!BH669)</x:f>
      </x:c>
      <x:c r="K669" s="12" t="str">
        <x:f>IF(A669="","","مرحبًا "&amp;C669&amp;CHAR(10)&amp;CHAR(10)&amp;"شكرًا لإتمام تقييم DBD الخاص بعيادة "&amp;B669&amp;"."&amp;CHAR(10)&amp;"نتيجتكم الحالية: "&amp;E669&amp;"%."&amp;CHAR(10)&amp;"أولوية التحسين الأولى: "&amp;F669&amp;"."&amp;IF(J669&lt;&gt;"",CHAR(10)&amp;CHAR(10)&amp;"رابط التقرير: "&amp;J669,"")&amp;CHAR(10)&amp;CHAR(10)&amp;"إذا أحببت، يمكننا مساعدتك في فهم التقرير وتحديد أفضل خطوة تالية لعيادتكم.")</x:f>
      </x:c>
      <x:c r="L669" s="12" t="str">
        <x:f>IF(D669="","",HYPERLINK("https://wa.me/"&amp;REGEXREPLACE(D669,"[^\d]","")&amp;"?text="&amp;ENCODEURL(K669),"واتساب 1"))</x:f>
      </x:c>
      <x:c r="M669" s="12" t="str">
        <x:f>IF(A669="","","مرحبًا "&amp;C669&amp;CHAR(10)&amp;CHAR(10)&amp;"بناءً على نتيجة تقييم عيادة "&amp;B669&amp;"، فإن الترشيح الأقوى لكم الآن هو: "&amp;G669&amp;"."&amp;CHAR(10)&amp;"هذا الخيار يساعدكم في معالجة أكبر فجوة حالية بشكل عملي ومباشر."&amp;IF(J669&lt;&gt;"",CHAR(10)&amp;CHAR(10)&amp;"رابط التقرير: "&amp;J669,"")&amp;CHAR(10)&amp;CHAR(10)&amp;"إذا رغبت، يمكننا توضيح لماذا هذا الكورس هو الأنسب لكم الآن.")</x:f>
      </x:c>
      <x:c r="N669" s="12" t="str">
        <x:f>IF(D669="","",HYPERLINK("https://wa.me/"&amp;REGEXREPLACE(D669,"[^\d]","")&amp;"?text="&amp;ENCODEURL(M669),"واتساب 2"))</x:f>
      </x:c>
      <x:c r="O669" s="12" t="str">
        <x:f>IF(A669="","","مرحبًا "&amp;C669&amp;CHAR(10)&amp;CHAR(10)&amp;"إذا كانت التحديات لديكم تحتاج حلًا أشمل، فالبرنامج الكامل المناسب لكم هو: "&amp;H669&amp;"."&amp;IF(I669&lt;&gt;"",CHAR(10)&amp;"كما يمكنكم أيضًا حجز: "&amp;I669&amp;".","")&amp;IF(J669&lt;&gt;"",CHAR(10)&amp;CHAR(10)&amp;"رابط التقرير: "&amp;J669,"")&amp;CHAR(10)&amp;CHAR(10)&amp;"يسعدنا مساعدتكم في اختيار المسار الأنسب حسب وضع العيادة الحالي.")</x:f>
      </x:c>
      <x:c r="P669" s="12" t="str">
        <x:f>IF(D669="","",HYPERLINK("https://wa.me/"&amp;REGEXREPLACE(D669,"[^\d]","")&amp;"?text="&amp;ENCODEURL(O669),"واتساب 3"))</x:f>
      </x:c>
    </x:row>
    <x:row r="670" ht="15" hidden="0" customHeight="1">
      <x:c r="A670" s="12" t="str">
        <x:f>IF(Leads!A670="","",Leads!A670)</x:f>
      </x:c>
      <x:c r="B670" s="12" t="str">
        <x:f>IF(Leads!F670="","",Leads!F670)</x:f>
      </x:c>
      <x:c r="C670" s="12" t="str">
        <x:f>IF(Leads!G670="","",Leads!G670)</x:f>
      </x:c>
      <x:c r="D670" s="12" t="str">
        <x:f>IF(Leads!O670="","",Leads!O670)</x:f>
      </x:c>
      <x:c r="E670" s="12" t="str">
        <x:f>IF(Leads!AV670="","",Leads!AV670)</x:f>
      </x:c>
      <x:c r="F670" s="12" t="str">
        <x:f>IF(Leads!AX670="","",Leads!AX670)</x:f>
      </x:c>
      <x:c r="G670" s="12" t="str">
        <x:f>IF(Leads!BC670="","",Leads!BC670)</x:f>
      </x:c>
      <x:c r="H670" s="12" t="str">
        <x:f>IF(Leads!BE670="","",Leads!BE670)</x:f>
      </x:c>
      <x:c r="I670" s="12" t="str">
        <x:f>IF(Leads!BG670="","",Leads!BG670)</x:f>
      </x:c>
      <x:c r="J670" s="12" t="str">
        <x:f>IF(Leads!BH670="","",Leads!BH670)</x:f>
      </x:c>
      <x:c r="K670" s="12" t="str">
        <x:f>IF(A670="","","مرحبًا "&amp;C670&amp;CHAR(10)&amp;CHAR(10)&amp;"شكرًا لإتمام تقييم DBD الخاص بعيادة "&amp;B670&amp;"."&amp;CHAR(10)&amp;"نتيجتكم الحالية: "&amp;E670&amp;"%."&amp;CHAR(10)&amp;"أولوية التحسين الأولى: "&amp;F670&amp;"."&amp;IF(J670&lt;&gt;"",CHAR(10)&amp;CHAR(10)&amp;"رابط التقرير: "&amp;J670,"")&amp;CHAR(10)&amp;CHAR(10)&amp;"إذا أحببت، يمكننا مساعدتك في فهم التقرير وتحديد أفضل خطوة تالية لعيادتكم.")</x:f>
      </x:c>
      <x:c r="L670" s="12" t="str">
        <x:f>IF(D670="","",HYPERLINK("https://wa.me/"&amp;REGEXREPLACE(D670,"[^\d]","")&amp;"?text="&amp;ENCODEURL(K670),"واتساب 1"))</x:f>
      </x:c>
      <x:c r="M670" s="12" t="str">
        <x:f>IF(A670="","","مرحبًا "&amp;C670&amp;CHAR(10)&amp;CHAR(10)&amp;"بناءً على نتيجة تقييم عيادة "&amp;B670&amp;"، فإن الترشيح الأقوى لكم الآن هو: "&amp;G670&amp;"."&amp;CHAR(10)&amp;"هذا الخيار يساعدكم في معالجة أكبر فجوة حالية بشكل عملي ومباشر."&amp;IF(J670&lt;&gt;"",CHAR(10)&amp;CHAR(10)&amp;"رابط التقرير: "&amp;J670,"")&amp;CHAR(10)&amp;CHAR(10)&amp;"إذا رغبت، يمكننا توضيح لماذا هذا الكورس هو الأنسب لكم الآن.")</x:f>
      </x:c>
      <x:c r="N670" s="12" t="str">
        <x:f>IF(D670="","",HYPERLINK("https://wa.me/"&amp;REGEXREPLACE(D670,"[^\d]","")&amp;"?text="&amp;ENCODEURL(M670),"واتساب 2"))</x:f>
      </x:c>
      <x:c r="O670" s="12" t="str">
        <x:f>IF(A670="","","مرحبًا "&amp;C670&amp;CHAR(10)&amp;CHAR(10)&amp;"إذا كانت التحديات لديكم تحتاج حلًا أشمل، فالبرنامج الكامل المناسب لكم هو: "&amp;H670&amp;"."&amp;IF(I670&lt;&gt;"",CHAR(10)&amp;"كما يمكنكم أيضًا حجز: "&amp;I670&amp;".","")&amp;IF(J670&lt;&gt;"",CHAR(10)&amp;CHAR(10)&amp;"رابط التقرير: "&amp;J670,"")&amp;CHAR(10)&amp;CHAR(10)&amp;"يسعدنا مساعدتكم في اختيار المسار الأنسب حسب وضع العيادة الحالي.")</x:f>
      </x:c>
      <x:c r="P670" s="12" t="str">
        <x:f>IF(D670="","",HYPERLINK("https://wa.me/"&amp;REGEXREPLACE(D670,"[^\d]","")&amp;"?text="&amp;ENCODEURL(O670),"واتساب 3"))</x:f>
      </x:c>
    </x:row>
    <x:row r="671" ht="15" hidden="0" customHeight="1">
      <x:c r="A671" s="12" t="str">
        <x:f>IF(Leads!A671="","",Leads!A671)</x:f>
      </x:c>
      <x:c r="B671" s="12" t="str">
        <x:f>IF(Leads!F671="","",Leads!F671)</x:f>
      </x:c>
      <x:c r="C671" s="12" t="str">
        <x:f>IF(Leads!G671="","",Leads!G671)</x:f>
      </x:c>
      <x:c r="D671" s="12" t="str">
        <x:f>IF(Leads!O671="","",Leads!O671)</x:f>
      </x:c>
      <x:c r="E671" s="12" t="str">
        <x:f>IF(Leads!AV671="","",Leads!AV671)</x:f>
      </x:c>
      <x:c r="F671" s="12" t="str">
        <x:f>IF(Leads!AX671="","",Leads!AX671)</x:f>
      </x:c>
      <x:c r="G671" s="12" t="str">
        <x:f>IF(Leads!BC671="","",Leads!BC671)</x:f>
      </x:c>
      <x:c r="H671" s="12" t="str">
        <x:f>IF(Leads!BE671="","",Leads!BE671)</x:f>
      </x:c>
      <x:c r="I671" s="12" t="str">
        <x:f>IF(Leads!BG671="","",Leads!BG671)</x:f>
      </x:c>
      <x:c r="J671" s="12" t="str">
        <x:f>IF(Leads!BH671="","",Leads!BH671)</x:f>
      </x:c>
      <x:c r="K671" s="12" t="str">
        <x:f>IF(A671="","","مرحبًا "&amp;C671&amp;CHAR(10)&amp;CHAR(10)&amp;"شكرًا لإتمام تقييم DBD الخاص بعيادة "&amp;B671&amp;"."&amp;CHAR(10)&amp;"نتيجتكم الحالية: "&amp;E671&amp;"%."&amp;CHAR(10)&amp;"أولوية التحسين الأولى: "&amp;F671&amp;"."&amp;IF(J671&lt;&gt;"",CHAR(10)&amp;CHAR(10)&amp;"رابط التقرير: "&amp;J671,"")&amp;CHAR(10)&amp;CHAR(10)&amp;"إذا أحببت، يمكننا مساعدتك في فهم التقرير وتحديد أفضل خطوة تالية لعيادتكم.")</x:f>
      </x:c>
      <x:c r="L671" s="12" t="str">
        <x:f>IF(D671="","",HYPERLINK("https://wa.me/"&amp;REGEXREPLACE(D671,"[^\d]","")&amp;"?text="&amp;ENCODEURL(K671),"واتساب 1"))</x:f>
      </x:c>
      <x:c r="M671" s="12" t="str">
        <x:f>IF(A671="","","مرحبًا "&amp;C671&amp;CHAR(10)&amp;CHAR(10)&amp;"بناءً على نتيجة تقييم عيادة "&amp;B671&amp;"، فإن الترشيح الأقوى لكم الآن هو: "&amp;G671&amp;"."&amp;CHAR(10)&amp;"هذا الخيار يساعدكم في معالجة أكبر فجوة حالية بشكل عملي ومباشر."&amp;IF(J671&lt;&gt;"",CHAR(10)&amp;CHAR(10)&amp;"رابط التقرير: "&amp;J671,"")&amp;CHAR(10)&amp;CHAR(10)&amp;"إذا رغبت، يمكننا توضيح لماذا هذا الكورس هو الأنسب لكم الآن.")</x:f>
      </x:c>
      <x:c r="N671" s="12" t="str">
        <x:f>IF(D671="","",HYPERLINK("https://wa.me/"&amp;REGEXREPLACE(D671,"[^\d]","")&amp;"?text="&amp;ENCODEURL(M671),"واتساب 2"))</x:f>
      </x:c>
      <x:c r="O671" s="12" t="str">
        <x:f>IF(A671="","","مرحبًا "&amp;C671&amp;CHAR(10)&amp;CHAR(10)&amp;"إذا كانت التحديات لديكم تحتاج حلًا أشمل، فالبرنامج الكامل المناسب لكم هو: "&amp;H671&amp;"."&amp;IF(I671&lt;&gt;"",CHAR(10)&amp;"كما يمكنكم أيضًا حجز: "&amp;I671&amp;".","")&amp;IF(J671&lt;&gt;"",CHAR(10)&amp;CHAR(10)&amp;"رابط التقرير: "&amp;J671,"")&amp;CHAR(10)&amp;CHAR(10)&amp;"يسعدنا مساعدتكم في اختيار المسار الأنسب حسب وضع العيادة الحالي.")</x:f>
      </x:c>
      <x:c r="P671" s="12" t="str">
        <x:f>IF(D671="","",HYPERLINK("https://wa.me/"&amp;REGEXREPLACE(D671,"[^\d]","")&amp;"?text="&amp;ENCODEURL(O671),"واتساب 3"))</x:f>
      </x:c>
    </x:row>
    <x:row r="672" ht="15" hidden="0" customHeight="1">
      <x:c r="A672" s="12" t="str">
        <x:f>IF(Leads!A672="","",Leads!A672)</x:f>
      </x:c>
      <x:c r="B672" s="12" t="str">
        <x:f>IF(Leads!F672="","",Leads!F672)</x:f>
      </x:c>
      <x:c r="C672" s="12" t="str">
        <x:f>IF(Leads!G672="","",Leads!G672)</x:f>
      </x:c>
      <x:c r="D672" s="12" t="str">
        <x:f>IF(Leads!O672="","",Leads!O672)</x:f>
      </x:c>
      <x:c r="E672" s="12" t="str">
        <x:f>IF(Leads!AV672="","",Leads!AV672)</x:f>
      </x:c>
      <x:c r="F672" s="12" t="str">
        <x:f>IF(Leads!AX672="","",Leads!AX672)</x:f>
      </x:c>
      <x:c r="G672" s="12" t="str">
        <x:f>IF(Leads!BC672="","",Leads!BC672)</x:f>
      </x:c>
      <x:c r="H672" s="12" t="str">
        <x:f>IF(Leads!BE672="","",Leads!BE672)</x:f>
      </x:c>
      <x:c r="I672" s="12" t="str">
        <x:f>IF(Leads!BG672="","",Leads!BG672)</x:f>
      </x:c>
      <x:c r="J672" s="12" t="str">
        <x:f>IF(Leads!BH672="","",Leads!BH672)</x:f>
      </x:c>
      <x:c r="K672" s="12" t="str">
        <x:f>IF(A672="","","مرحبًا "&amp;C672&amp;CHAR(10)&amp;CHAR(10)&amp;"شكرًا لإتمام تقييم DBD الخاص بعيادة "&amp;B672&amp;"."&amp;CHAR(10)&amp;"نتيجتكم الحالية: "&amp;E672&amp;"%."&amp;CHAR(10)&amp;"أولوية التحسين الأولى: "&amp;F672&amp;"."&amp;IF(J672&lt;&gt;"",CHAR(10)&amp;CHAR(10)&amp;"رابط التقرير: "&amp;J672,"")&amp;CHAR(10)&amp;CHAR(10)&amp;"إذا أحببت، يمكننا مساعدتك في فهم التقرير وتحديد أفضل خطوة تالية لعيادتكم.")</x:f>
      </x:c>
      <x:c r="L672" s="12" t="str">
        <x:f>IF(D672="","",HYPERLINK("https://wa.me/"&amp;REGEXREPLACE(D672,"[^\d]","")&amp;"?text="&amp;ENCODEURL(K672),"واتساب 1"))</x:f>
      </x:c>
      <x:c r="M672" s="12" t="str">
        <x:f>IF(A672="","","مرحبًا "&amp;C672&amp;CHAR(10)&amp;CHAR(10)&amp;"بناءً على نتيجة تقييم عيادة "&amp;B672&amp;"، فإن الترشيح الأقوى لكم الآن هو: "&amp;G672&amp;"."&amp;CHAR(10)&amp;"هذا الخيار يساعدكم في معالجة أكبر فجوة حالية بشكل عملي ومباشر."&amp;IF(J672&lt;&gt;"",CHAR(10)&amp;CHAR(10)&amp;"رابط التقرير: "&amp;J672,"")&amp;CHAR(10)&amp;CHAR(10)&amp;"إذا رغبت، يمكننا توضيح لماذا هذا الكورس هو الأنسب لكم الآن.")</x:f>
      </x:c>
      <x:c r="N672" s="12" t="str">
        <x:f>IF(D672="","",HYPERLINK("https://wa.me/"&amp;REGEXREPLACE(D672,"[^\d]","")&amp;"?text="&amp;ENCODEURL(M672),"واتساب 2"))</x:f>
      </x:c>
      <x:c r="O672" s="12" t="str">
        <x:f>IF(A672="","","مرحبًا "&amp;C672&amp;CHAR(10)&amp;CHAR(10)&amp;"إذا كانت التحديات لديكم تحتاج حلًا أشمل، فالبرنامج الكامل المناسب لكم هو: "&amp;H672&amp;"."&amp;IF(I672&lt;&gt;"",CHAR(10)&amp;"كما يمكنكم أيضًا حجز: "&amp;I672&amp;".","")&amp;IF(J672&lt;&gt;"",CHAR(10)&amp;CHAR(10)&amp;"رابط التقرير: "&amp;J672,"")&amp;CHAR(10)&amp;CHAR(10)&amp;"يسعدنا مساعدتكم في اختيار المسار الأنسب حسب وضع العيادة الحالي.")</x:f>
      </x:c>
      <x:c r="P672" s="12" t="str">
        <x:f>IF(D672="","",HYPERLINK("https://wa.me/"&amp;REGEXREPLACE(D672,"[^\d]","")&amp;"?text="&amp;ENCODEURL(O672),"واتساب 3"))</x:f>
      </x:c>
    </x:row>
    <x:row r="673" ht="15" hidden="0" customHeight="1">
      <x:c r="A673" s="12" t="str">
        <x:f>IF(Leads!A673="","",Leads!A673)</x:f>
      </x:c>
      <x:c r="B673" s="12" t="str">
        <x:f>IF(Leads!F673="","",Leads!F673)</x:f>
      </x:c>
      <x:c r="C673" s="12" t="str">
        <x:f>IF(Leads!G673="","",Leads!G673)</x:f>
      </x:c>
      <x:c r="D673" s="12" t="str">
        <x:f>IF(Leads!O673="","",Leads!O673)</x:f>
      </x:c>
      <x:c r="E673" s="12" t="str">
        <x:f>IF(Leads!AV673="","",Leads!AV673)</x:f>
      </x:c>
      <x:c r="F673" s="12" t="str">
        <x:f>IF(Leads!AX673="","",Leads!AX673)</x:f>
      </x:c>
      <x:c r="G673" s="12" t="str">
        <x:f>IF(Leads!BC673="","",Leads!BC673)</x:f>
      </x:c>
      <x:c r="H673" s="12" t="str">
        <x:f>IF(Leads!BE673="","",Leads!BE673)</x:f>
      </x:c>
      <x:c r="I673" s="12" t="str">
        <x:f>IF(Leads!BG673="","",Leads!BG673)</x:f>
      </x:c>
      <x:c r="J673" s="12" t="str">
        <x:f>IF(Leads!BH673="","",Leads!BH673)</x:f>
      </x:c>
      <x:c r="K673" s="12" t="str">
        <x:f>IF(A673="","","مرحبًا "&amp;C673&amp;CHAR(10)&amp;CHAR(10)&amp;"شكرًا لإتمام تقييم DBD الخاص بعيادة "&amp;B673&amp;"."&amp;CHAR(10)&amp;"نتيجتكم الحالية: "&amp;E673&amp;"%."&amp;CHAR(10)&amp;"أولوية التحسين الأولى: "&amp;F673&amp;"."&amp;IF(J673&lt;&gt;"",CHAR(10)&amp;CHAR(10)&amp;"رابط التقرير: "&amp;J673,"")&amp;CHAR(10)&amp;CHAR(10)&amp;"إذا أحببت، يمكننا مساعدتك في فهم التقرير وتحديد أفضل خطوة تالية لعيادتكم.")</x:f>
      </x:c>
      <x:c r="L673" s="12" t="str">
        <x:f>IF(D673="","",HYPERLINK("https://wa.me/"&amp;REGEXREPLACE(D673,"[^\d]","")&amp;"?text="&amp;ENCODEURL(K673),"واتساب 1"))</x:f>
      </x:c>
      <x:c r="M673" s="12" t="str">
        <x:f>IF(A673="","","مرحبًا "&amp;C673&amp;CHAR(10)&amp;CHAR(10)&amp;"بناءً على نتيجة تقييم عيادة "&amp;B673&amp;"، فإن الترشيح الأقوى لكم الآن هو: "&amp;G673&amp;"."&amp;CHAR(10)&amp;"هذا الخيار يساعدكم في معالجة أكبر فجوة حالية بشكل عملي ومباشر."&amp;IF(J673&lt;&gt;"",CHAR(10)&amp;CHAR(10)&amp;"رابط التقرير: "&amp;J673,"")&amp;CHAR(10)&amp;CHAR(10)&amp;"إذا رغبت، يمكننا توضيح لماذا هذا الكورس هو الأنسب لكم الآن.")</x:f>
      </x:c>
      <x:c r="N673" s="12" t="str">
        <x:f>IF(D673="","",HYPERLINK("https://wa.me/"&amp;REGEXREPLACE(D673,"[^\d]","")&amp;"?text="&amp;ENCODEURL(M673),"واتساب 2"))</x:f>
      </x:c>
      <x:c r="O673" s="12" t="str">
        <x:f>IF(A673="","","مرحبًا "&amp;C673&amp;CHAR(10)&amp;CHAR(10)&amp;"إذا كانت التحديات لديكم تحتاج حلًا أشمل، فالبرنامج الكامل المناسب لكم هو: "&amp;H673&amp;"."&amp;IF(I673&lt;&gt;"",CHAR(10)&amp;"كما يمكنكم أيضًا حجز: "&amp;I673&amp;".","")&amp;IF(J673&lt;&gt;"",CHAR(10)&amp;CHAR(10)&amp;"رابط التقرير: "&amp;J673,"")&amp;CHAR(10)&amp;CHAR(10)&amp;"يسعدنا مساعدتكم في اختيار المسار الأنسب حسب وضع العيادة الحالي.")</x:f>
      </x:c>
      <x:c r="P673" s="12" t="str">
        <x:f>IF(D673="","",HYPERLINK("https://wa.me/"&amp;REGEXREPLACE(D673,"[^\d]","")&amp;"?text="&amp;ENCODEURL(O673),"واتساب 3"))</x:f>
      </x:c>
    </x:row>
    <x:row r="674" ht="15" hidden="0" customHeight="1">
      <x:c r="A674" s="12" t="str">
        <x:f>IF(Leads!A674="","",Leads!A674)</x:f>
      </x:c>
      <x:c r="B674" s="12" t="str">
        <x:f>IF(Leads!F674="","",Leads!F674)</x:f>
      </x:c>
      <x:c r="C674" s="12" t="str">
        <x:f>IF(Leads!G674="","",Leads!G674)</x:f>
      </x:c>
      <x:c r="D674" s="12" t="str">
        <x:f>IF(Leads!O674="","",Leads!O674)</x:f>
      </x:c>
      <x:c r="E674" s="12" t="str">
        <x:f>IF(Leads!AV674="","",Leads!AV674)</x:f>
      </x:c>
      <x:c r="F674" s="12" t="str">
        <x:f>IF(Leads!AX674="","",Leads!AX674)</x:f>
      </x:c>
      <x:c r="G674" s="12" t="str">
        <x:f>IF(Leads!BC674="","",Leads!BC674)</x:f>
      </x:c>
      <x:c r="H674" s="12" t="str">
        <x:f>IF(Leads!BE674="","",Leads!BE674)</x:f>
      </x:c>
      <x:c r="I674" s="12" t="str">
        <x:f>IF(Leads!BG674="","",Leads!BG674)</x:f>
      </x:c>
      <x:c r="J674" s="12" t="str">
        <x:f>IF(Leads!BH674="","",Leads!BH674)</x:f>
      </x:c>
      <x:c r="K674" s="12" t="str">
        <x:f>IF(A674="","","مرحبًا "&amp;C674&amp;CHAR(10)&amp;CHAR(10)&amp;"شكرًا لإتمام تقييم DBD الخاص بعيادة "&amp;B674&amp;"."&amp;CHAR(10)&amp;"نتيجتكم الحالية: "&amp;E674&amp;"%."&amp;CHAR(10)&amp;"أولوية التحسين الأولى: "&amp;F674&amp;"."&amp;IF(J674&lt;&gt;"",CHAR(10)&amp;CHAR(10)&amp;"رابط التقرير: "&amp;J674,"")&amp;CHAR(10)&amp;CHAR(10)&amp;"إذا أحببت، يمكننا مساعدتك في فهم التقرير وتحديد أفضل خطوة تالية لعيادتكم.")</x:f>
      </x:c>
      <x:c r="L674" s="12" t="str">
        <x:f>IF(D674="","",HYPERLINK("https://wa.me/"&amp;REGEXREPLACE(D674,"[^\d]","")&amp;"?text="&amp;ENCODEURL(K674),"واتساب 1"))</x:f>
      </x:c>
      <x:c r="M674" s="12" t="str">
        <x:f>IF(A674="","","مرحبًا "&amp;C674&amp;CHAR(10)&amp;CHAR(10)&amp;"بناءً على نتيجة تقييم عيادة "&amp;B674&amp;"، فإن الترشيح الأقوى لكم الآن هو: "&amp;G674&amp;"."&amp;CHAR(10)&amp;"هذا الخيار يساعدكم في معالجة أكبر فجوة حالية بشكل عملي ومباشر."&amp;IF(J674&lt;&gt;"",CHAR(10)&amp;CHAR(10)&amp;"رابط التقرير: "&amp;J674,"")&amp;CHAR(10)&amp;CHAR(10)&amp;"إذا رغبت، يمكننا توضيح لماذا هذا الكورس هو الأنسب لكم الآن.")</x:f>
      </x:c>
      <x:c r="N674" s="12" t="str">
        <x:f>IF(D674="","",HYPERLINK("https://wa.me/"&amp;REGEXREPLACE(D674,"[^\d]","")&amp;"?text="&amp;ENCODEURL(M674),"واتساب 2"))</x:f>
      </x:c>
      <x:c r="O674" s="12" t="str">
        <x:f>IF(A674="","","مرحبًا "&amp;C674&amp;CHAR(10)&amp;CHAR(10)&amp;"إذا كانت التحديات لديكم تحتاج حلًا أشمل، فالبرنامج الكامل المناسب لكم هو: "&amp;H674&amp;"."&amp;IF(I674&lt;&gt;"",CHAR(10)&amp;"كما يمكنكم أيضًا حجز: "&amp;I674&amp;".","")&amp;IF(J674&lt;&gt;"",CHAR(10)&amp;CHAR(10)&amp;"رابط التقرير: "&amp;J674,"")&amp;CHAR(10)&amp;CHAR(10)&amp;"يسعدنا مساعدتكم في اختيار المسار الأنسب حسب وضع العيادة الحالي.")</x:f>
      </x:c>
      <x:c r="P674" s="12" t="str">
        <x:f>IF(D674="","",HYPERLINK("https://wa.me/"&amp;REGEXREPLACE(D674,"[^\d]","")&amp;"?text="&amp;ENCODEURL(O674),"واتساب 3"))</x:f>
      </x:c>
    </x:row>
    <x:row r="675" ht="15" hidden="0" customHeight="1">
      <x:c r="A675" s="12" t="str">
        <x:f>IF(Leads!A675="","",Leads!A675)</x:f>
      </x:c>
      <x:c r="B675" s="12" t="str">
        <x:f>IF(Leads!F675="","",Leads!F675)</x:f>
      </x:c>
      <x:c r="C675" s="12" t="str">
        <x:f>IF(Leads!G675="","",Leads!G675)</x:f>
      </x:c>
      <x:c r="D675" s="12" t="str">
        <x:f>IF(Leads!O675="","",Leads!O675)</x:f>
      </x:c>
      <x:c r="E675" s="12" t="str">
        <x:f>IF(Leads!AV675="","",Leads!AV675)</x:f>
      </x:c>
      <x:c r="F675" s="12" t="str">
        <x:f>IF(Leads!AX675="","",Leads!AX675)</x:f>
      </x:c>
      <x:c r="G675" s="12" t="str">
        <x:f>IF(Leads!BC675="","",Leads!BC675)</x:f>
      </x:c>
      <x:c r="H675" s="12" t="str">
        <x:f>IF(Leads!BE675="","",Leads!BE675)</x:f>
      </x:c>
      <x:c r="I675" s="12" t="str">
        <x:f>IF(Leads!BG675="","",Leads!BG675)</x:f>
      </x:c>
      <x:c r="J675" s="12" t="str">
        <x:f>IF(Leads!BH675="","",Leads!BH675)</x:f>
      </x:c>
      <x:c r="K675" s="12" t="str">
        <x:f>IF(A675="","","مرحبًا "&amp;C675&amp;CHAR(10)&amp;CHAR(10)&amp;"شكرًا لإتمام تقييم DBD الخاص بعيادة "&amp;B675&amp;"."&amp;CHAR(10)&amp;"نتيجتكم الحالية: "&amp;E675&amp;"%."&amp;CHAR(10)&amp;"أولوية التحسين الأولى: "&amp;F675&amp;"."&amp;IF(J675&lt;&gt;"",CHAR(10)&amp;CHAR(10)&amp;"رابط التقرير: "&amp;J675,"")&amp;CHAR(10)&amp;CHAR(10)&amp;"إذا أحببت، يمكننا مساعدتك في فهم التقرير وتحديد أفضل خطوة تالية لعيادتكم.")</x:f>
      </x:c>
      <x:c r="L675" s="12" t="str">
        <x:f>IF(D675="","",HYPERLINK("https://wa.me/"&amp;REGEXREPLACE(D675,"[^\d]","")&amp;"?text="&amp;ENCODEURL(K675),"واتساب 1"))</x:f>
      </x:c>
      <x:c r="M675" s="12" t="str">
        <x:f>IF(A675="","","مرحبًا "&amp;C675&amp;CHAR(10)&amp;CHAR(10)&amp;"بناءً على نتيجة تقييم عيادة "&amp;B675&amp;"، فإن الترشيح الأقوى لكم الآن هو: "&amp;G675&amp;"."&amp;CHAR(10)&amp;"هذا الخيار يساعدكم في معالجة أكبر فجوة حالية بشكل عملي ومباشر."&amp;IF(J675&lt;&gt;"",CHAR(10)&amp;CHAR(10)&amp;"رابط التقرير: "&amp;J675,"")&amp;CHAR(10)&amp;CHAR(10)&amp;"إذا رغبت، يمكننا توضيح لماذا هذا الكورس هو الأنسب لكم الآن.")</x:f>
      </x:c>
      <x:c r="N675" s="12" t="str">
        <x:f>IF(D675="","",HYPERLINK("https://wa.me/"&amp;REGEXREPLACE(D675,"[^\d]","")&amp;"?text="&amp;ENCODEURL(M675),"واتساب 2"))</x:f>
      </x:c>
      <x:c r="O675" s="12" t="str">
        <x:f>IF(A675="","","مرحبًا "&amp;C675&amp;CHAR(10)&amp;CHAR(10)&amp;"إذا كانت التحديات لديكم تحتاج حلًا أشمل، فالبرنامج الكامل المناسب لكم هو: "&amp;H675&amp;"."&amp;IF(I675&lt;&gt;"",CHAR(10)&amp;"كما يمكنكم أيضًا حجز: "&amp;I675&amp;".","")&amp;IF(J675&lt;&gt;"",CHAR(10)&amp;CHAR(10)&amp;"رابط التقرير: "&amp;J675,"")&amp;CHAR(10)&amp;CHAR(10)&amp;"يسعدنا مساعدتكم في اختيار المسار الأنسب حسب وضع العيادة الحالي.")</x:f>
      </x:c>
      <x:c r="P675" s="12" t="str">
        <x:f>IF(D675="","",HYPERLINK("https://wa.me/"&amp;REGEXREPLACE(D675,"[^\d]","")&amp;"?text="&amp;ENCODEURL(O675),"واتساب 3"))</x:f>
      </x:c>
    </x:row>
    <x:row r="676" ht="15" hidden="0" customHeight="1">
      <x:c r="A676" s="12" t="str">
        <x:f>IF(Leads!A676="","",Leads!A676)</x:f>
      </x:c>
      <x:c r="B676" s="12" t="str">
        <x:f>IF(Leads!F676="","",Leads!F676)</x:f>
      </x:c>
      <x:c r="C676" s="12" t="str">
        <x:f>IF(Leads!G676="","",Leads!G676)</x:f>
      </x:c>
      <x:c r="D676" s="12" t="str">
        <x:f>IF(Leads!O676="","",Leads!O676)</x:f>
      </x:c>
      <x:c r="E676" s="12" t="str">
        <x:f>IF(Leads!AV676="","",Leads!AV676)</x:f>
      </x:c>
      <x:c r="F676" s="12" t="str">
        <x:f>IF(Leads!AX676="","",Leads!AX676)</x:f>
      </x:c>
      <x:c r="G676" s="12" t="str">
        <x:f>IF(Leads!BC676="","",Leads!BC676)</x:f>
      </x:c>
      <x:c r="H676" s="12" t="str">
        <x:f>IF(Leads!BE676="","",Leads!BE676)</x:f>
      </x:c>
      <x:c r="I676" s="12" t="str">
        <x:f>IF(Leads!BG676="","",Leads!BG676)</x:f>
      </x:c>
      <x:c r="J676" s="12" t="str">
        <x:f>IF(Leads!BH676="","",Leads!BH676)</x:f>
      </x:c>
      <x:c r="K676" s="12" t="str">
        <x:f>IF(A676="","","مرحبًا "&amp;C676&amp;CHAR(10)&amp;CHAR(10)&amp;"شكرًا لإتمام تقييم DBD الخاص بعيادة "&amp;B676&amp;"."&amp;CHAR(10)&amp;"نتيجتكم الحالية: "&amp;E676&amp;"%."&amp;CHAR(10)&amp;"أولوية التحسين الأولى: "&amp;F676&amp;"."&amp;IF(J676&lt;&gt;"",CHAR(10)&amp;CHAR(10)&amp;"رابط التقرير: "&amp;J676,"")&amp;CHAR(10)&amp;CHAR(10)&amp;"إذا أحببت، يمكننا مساعدتك في فهم التقرير وتحديد أفضل خطوة تالية لعيادتكم.")</x:f>
      </x:c>
      <x:c r="L676" s="12" t="str">
        <x:f>IF(D676="","",HYPERLINK("https://wa.me/"&amp;REGEXREPLACE(D676,"[^\d]","")&amp;"?text="&amp;ENCODEURL(K676),"واتساب 1"))</x:f>
      </x:c>
      <x:c r="M676" s="12" t="str">
        <x:f>IF(A676="","","مرحبًا "&amp;C676&amp;CHAR(10)&amp;CHAR(10)&amp;"بناءً على نتيجة تقييم عيادة "&amp;B676&amp;"، فإن الترشيح الأقوى لكم الآن هو: "&amp;G676&amp;"."&amp;CHAR(10)&amp;"هذا الخيار يساعدكم في معالجة أكبر فجوة حالية بشكل عملي ومباشر."&amp;IF(J676&lt;&gt;"",CHAR(10)&amp;CHAR(10)&amp;"رابط التقرير: "&amp;J676,"")&amp;CHAR(10)&amp;CHAR(10)&amp;"إذا رغبت، يمكننا توضيح لماذا هذا الكورس هو الأنسب لكم الآن.")</x:f>
      </x:c>
      <x:c r="N676" s="12" t="str">
        <x:f>IF(D676="","",HYPERLINK("https://wa.me/"&amp;REGEXREPLACE(D676,"[^\d]","")&amp;"?text="&amp;ENCODEURL(M676),"واتساب 2"))</x:f>
      </x:c>
      <x:c r="O676" s="12" t="str">
        <x:f>IF(A676="","","مرحبًا "&amp;C676&amp;CHAR(10)&amp;CHAR(10)&amp;"إذا كانت التحديات لديكم تحتاج حلًا أشمل، فالبرنامج الكامل المناسب لكم هو: "&amp;H676&amp;"."&amp;IF(I676&lt;&gt;"",CHAR(10)&amp;"كما يمكنكم أيضًا حجز: "&amp;I676&amp;".","")&amp;IF(J676&lt;&gt;"",CHAR(10)&amp;CHAR(10)&amp;"رابط التقرير: "&amp;J676,"")&amp;CHAR(10)&amp;CHAR(10)&amp;"يسعدنا مساعدتكم في اختيار المسار الأنسب حسب وضع العيادة الحالي.")</x:f>
      </x:c>
      <x:c r="P676" s="12" t="str">
        <x:f>IF(D676="","",HYPERLINK("https://wa.me/"&amp;REGEXREPLACE(D676,"[^\d]","")&amp;"?text="&amp;ENCODEURL(O676),"واتساب 3"))</x:f>
      </x:c>
    </x:row>
    <x:row r="677" ht="15" hidden="0" customHeight="1">
      <x:c r="A677" s="12" t="str">
        <x:f>IF(Leads!A677="","",Leads!A677)</x:f>
      </x:c>
      <x:c r="B677" s="12" t="str">
        <x:f>IF(Leads!F677="","",Leads!F677)</x:f>
      </x:c>
      <x:c r="C677" s="12" t="str">
        <x:f>IF(Leads!G677="","",Leads!G677)</x:f>
      </x:c>
      <x:c r="D677" s="12" t="str">
        <x:f>IF(Leads!O677="","",Leads!O677)</x:f>
      </x:c>
      <x:c r="E677" s="12" t="str">
        <x:f>IF(Leads!AV677="","",Leads!AV677)</x:f>
      </x:c>
      <x:c r="F677" s="12" t="str">
        <x:f>IF(Leads!AX677="","",Leads!AX677)</x:f>
      </x:c>
      <x:c r="G677" s="12" t="str">
        <x:f>IF(Leads!BC677="","",Leads!BC677)</x:f>
      </x:c>
      <x:c r="H677" s="12" t="str">
        <x:f>IF(Leads!BE677="","",Leads!BE677)</x:f>
      </x:c>
      <x:c r="I677" s="12" t="str">
        <x:f>IF(Leads!BG677="","",Leads!BG677)</x:f>
      </x:c>
      <x:c r="J677" s="12" t="str">
        <x:f>IF(Leads!BH677="","",Leads!BH677)</x:f>
      </x:c>
      <x:c r="K677" s="12" t="str">
        <x:f>IF(A677="","","مرحبًا "&amp;C677&amp;CHAR(10)&amp;CHAR(10)&amp;"شكرًا لإتمام تقييم DBD الخاص بعيادة "&amp;B677&amp;"."&amp;CHAR(10)&amp;"نتيجتكم الحالية: "&amp;E677&amp;"%."&amp;CHAR(10)&amp;"أولوية التحسين الأولى: "&amp;F677&amp;"."&amp;IF(J677&lt;&gt;"",CHAR(10)&amp;CHAR(10)&amp;"رابط التقرير: "&amp;J677,"")&amp;CHAR(10)&amp;CHAR(10)&amp;"إذا أحببت، يمكننا مساعدتك في فهم التقرير وتحديد أفضل خطوة تالية لعيادتكم.")</x:f>
      </x:c>
      <x:c r="L677" s="12" t="str">
        <x:f>IF(D677="","",HYPERLINK("https://wa.me/"&amp;REGEXREPLACE(D677,"[^\d]","")&amp;"?text="&amp;ENCODEURL(K677),"واتساب 1"))</x:f>
      </x:c>
      <x:c r="M677" s="12" t="str">
        <x:f>IF(A677="","","مرحبًا "&amp;C677&amp;CHAR(10)&amp;CHAR(10)&amp;"بناءً على نتيجة تقييم عيادة "&amp;B677&amp;"، فإن الترشيح الأقوى لكم الآن هو: "&amp;G677&amp;"."&amp;CHAR(10)&amp;"هذا الخيار يساعدكم في معالجة أكبر فجوة حالية بشكل عملي ومباشر."&amp;IF(J677&lt;&gt;"",CHAR(10)&amp;CHAR(10)&amp;"رابط التقرير: "&amp;J677,"")&amp;CHAR(10)&amp;CHAR(10)&amp;"إذا رغبت، يمكننا توضيح لماذا هذا الكورس هو الأنسب لكم الآن.")</x:f>
      </x:c>
      <x:c r="N677" s="12" t="str">
        <x:f>IF(D677="","",HYPERLINK("https://wa.me/"&amp;REGEXREPLACE(D677,"[^\d]","")&amp;"?text="&amp;ENCODEURL(M677),"واتساب 2"))</x:f>
      </x:c>
      <x:c r="O677" s="12" t="str">
        <x:f>IF(A677="","","مرحبًا "&amp;C677&amp;CHAR(10)&amp;CHAR(10)&amp;"إذا كانت التحديات لديكم تحتاج حلًا أشمل، فالبرنامج الكامل المناسب لكم هو: "&amp;H677&amp;"."&amp;IF(I677&lt;&gt;"",CHAR(10)&amp;"كما يمكنكم أيضًا حجز: "&amp;I677&amp;".","")&amp;IF(J677&lt;&gt;"",CHAR(10)&amp;CHAR(10)&amp;"رابط التقرير: "&amp;J677,"")&amp;CHAR(10)&amp;CHAR(10)&amp;"يسعدنا مساعدتكم في اختيار المسار الأنسب حسب وضع العيادة الحالي.")</x:f>
      </x:c>
      <x:c r="P677" s="12" t="str">
        <x:f>IF(D677="","",HYPERLINK("https://wa.me/"&amp;REGEXREPLACE(D677,"[^\d]","")&amp;"?text="&amp;ENCODEURL(O677),"واتساب 3"))</x:f>
      </x:c>
    </x:row>
    <x:row r="678" ht="15" hidden="0" customHeight="1">
      <x:c r="A678" s="12" t="str">
        <x:f>IF(Leads!A678="","",Leads!A678)</x:f>
      </x:c>
      <x:c r="B678" s="12" t="str">
        <x:f>IF(Leads!F678="","",Leads!F678)</x:f>
      </x:c>
      <x:c r="C678" s="12" t="str">
        <x:f>IF(Leads!G678="","",Leads!G678)</x:f>
      </x:c>
      <x:c r="D678" s="12" t="str">
        <x:f>IF(Leads!O678="","",Leads!O678)</x:f>
      </x:c>
      <x:c r="E678" s="12" t="str">
        <x:f>IF(Leads!AV678="","",Leads!AV678)</x:f>
      </x:c>
      <x:c r="F678" s="12" t="str">
        <x:f>IF(Leads!AX678="","",Leads!AX678)</x:f>
      </x:c>
      <x:c r="G678" s="12" t="str">
        <x:f>IF(Leads!BC678="","",Leads!BC678)</x:f>
      </x:c>
      <x:c r="H678" s="12" t="str">
        <x:f>IF(Leads!BE678="","",Leads!BE678)</x:f>
      </x:c>
      <x:c r="I678" s="12" t="str">
        <x:f>IF(Leads!BG678="","",Leads!BG678)</x:f>
      </x:c>
      <x:c r="J678" s="12" t="str">
        <x:f>IF(Leads!BH678="","",Leads!BH678)</x:f>
      </x:c>
      <x:c r="K678" s="12" t="str">
        <x:f>IF(A678="","","مرحبًا "&amp;C678&amp;CHAR(10)&amp;CHAR(10)&amp;"شكرًا لإتمام تقييم DBD الخاص بعيادة "&amp;B678&amp;"."&amp;CHAR(10)&amp;"نتيجتكم الحالية: "&amp;E678&amp;"%."&amp;CHAR(10)&amp;"أولوية التحسين الأولى: "&amp;F678&amp;"."&amp;IF(J678&lt;&gt;"",CHAR(10)&amp;CHAR(10)&amp;"رابط التقرير: "&amp;J678,"")&amp;CHAR(10)&amp;CHAR(10)&amp;"إذا أحببت، يمكننا مساعدتك في فهم التقرير وتحديد أفضل خطوة تالية لعيادتكم.")</x:f>
      </x:c>
      <x:c r="L678" s="12" t="str">
        <x:f>IF(D678="","",HYPERLINK("https://wa.me/"&amp;REGEXREPLACE(D678,"[^\d]","")&amp;"?text="&amp;ENCODEURL(K678),"واتساب 1"))</x:f>
      </x:c>
      <x:c r="M678" s="12" t="str">
        <x:f>IF(A678="","","مرحبًا "&amp;C678&amp;CHAR(10)&amp;CHAR(10)&amp;"بناءً على نتيجة تقييم عيادة "&amp;B678&amp;"، فإن الترشيح الأقوى لكم الآن هو: "&amp;G678&amp;"."&amp;CHAR(10)&amp;"هذا الخيار يساعدكم في معالجة أكبر فجوة حالية بشكل عملي ومباشر."&amp;IF(J678&lt;&gt;"",CHAR(10)&amp;CHAR(10)&amp;"رابط التقرير: "&amp;J678,"")&amp;CHAR(10)&amp;CHAR(10)&amp;"إذا رغبت، يمكننا توضيح لماذا هذا الكورس هو الأنسب لكم الآن.")</x:f>
      </x:c>
      <x:c r="N678" s="12" t="str">
        <x:f>IF(D678="","",HYPERLINK("https://wa.me/"&amp;REGEXREPLACE(D678,"[^\d]","")&amp;"?text="&amp;ENCODEURL(M678),"واتساب 2"))</x:f>
      </x:c>
      <x:c r="O678" s="12" t="str">
        <x:f>IF(A678="","","مرحبًا "&amp;C678&amp;CHAR(10)&amp;CHAR(10)&amp;"إذا كانت التحديات لديكم تحتاج حلًا أشمل، فالبرنامج الكامل المناسب لكم هو: "&amp;H678&amp;"."&amp;IF(I678&lt;&gt;"",CHAR(10)&amp;"كما يمكنكم أيضًا حجز: "&amp;I678&amp;".","")&amp;IF(J678&lt;&gt;"",CHAR(10)&amp;CHAR(10)&amp;"رابط التقرير: "&amp;J678,"")&amp;CHAR(10)&amp;CHAR(10)&amp;"يسعدنا مساعدتكم في اختيار المسار الأنسب حسب وضع العيادة الحالي.")</x:f>
      </x:c>
      <x:c r="P678" s="12" t="str">
        <x:f>IF(D678="","",HYPERLINK("https://wa.me/"&amp;REGEXREPLACE(D678,"[^\d]","")&amp;"?text="&amp;ENCODEURL(O678),"واتساب 3"))</x:f>
      </x:c>
    </x:row>
    <x:row r="679" ht="15" hidden="0" customHeight="1">
      <x:c r="A679" s="12" t="str">
        <x:f>IF(Leads!A679="","",Leads!A679)</x:f>
      </x:c>
      <x:c r="B679" s="12" t="str">
        <x:f>IF(Leads!F679="","",Leads!F679)</x:f>
      </x:c>
      <x:c r="C679" s="12" t="str">
        <x:f>IF(Leads!G679="","",Leads!G679)</x:f>
      </x:c>
      <x:c r="D679" s="12" t="str">
        <x:f>IF(Leads!O679="","",Leads!O679)</x:f>
      </x:c>
      <x:c r="E679" s="12" t="str">
        <x:f>IF(Leads!AV679="","",Leads!AV679)</x:f>
      </x:c>
      <x:c r="F679" s="12" t="str">
        <x:f>IF(Leads!AX679="","",Leads!AX679)</x:f>
      </x:c>
      <x:c r="G679" s="12" t="str">
        <x:f>IF(Leads!BC679="","",Leads!BC679)</x:f>
      </x:c>
      <x:c r="H679" s="12" t="str">
        <x:f>IF(Leads!BE679="","",Leads!BE679)</x:f>
      </x:c>
      <x:c r="I679" s="12" t="str">
        <x:f>IF(Leads!BG679="","",Leads!BG679)</x:f>
      </x:c>
      <x:c r="J679" s="12" t="str">
        <x:f>IF(Leads!BH679="","",Leads!BH679)</x:f>
      </x:c>
      <x:c r="K679" s="12" t="str">
        <x:f>IF(A679="","","مرحبًا "&amp;C679&amp;CHAR(10)&amp;CHAR(10)&amp;"شكرًا لإتمام تقييم DBD الخاص بعيادة "&amp;B679&amp;"."&amp;CHAR(10)&amp;"نتيجتكم الحالية: "&amp;E679&amp;"%."&amp;CHAR(10)&amp;"أولوية التحسين الأولى: "&amp;F679&amp;"."&amp;IF(J679&lt;&gt;"",CHAR(10)&amp;CHAR(10)&amp;"رابط التقرير: "&amp;J679,"")&amp;CHAR(10)&amp;CHAR(10)&amp;"إذا أحببت، يمكننا مساعدتك في فهم التقرير وتحديد أفضل خطوة تالية لعيادتكم.")</x:f>
      </x:c>
      <x:c r="L679" s="12" t="str">
        <x:f>IF(D679="","",HYPERLINK("https://wa.me/"&amp;REGEXREPLACE(D679,"[^\d]","")&amp;"?text="&amp;ENCODEURL(K679),"واتساب 1"))</x:f>
      </x:c>
      <x:c r="M679" s="12" t="str">
        <x:f>IF(A679="","","مرحبًا "&amp;C679&amp;CHAR(10)&amp;CHAR(10)&amp;"بناءً على نتيجة تقييم عيادة "&amp;B679&amp;"، فإن الترشيح الأقوى لكم الآن هو: "&amp;G679&amp;"."&amp;CHAR(10)&amp;"هذا الخيار يساعدكم في معالجة أكبر فجوة حالية بشكل عملي ومباشر."&amp;IF(J679&lt;&gt;"",CHAR(10)&amp;CHAR(10)&amp;"رابط التقرير: "&amp;J679,"")&amp;CHAR(10)&amp;CHAR(10)&amp;"إذا رغبت، يمكننا توضيح لماذا هذا الكورس هو الأنسب لكم الآن.")</x:f>
      </x:c>
      <x:c r="N679" s="12" t="str">
        <x:f>IF(D679="","",HYPERLINK("https://wa.me/"&amp;REGEXREPLACE(D679,"[^\d]","")&amp;"?text="&amp;ENCODEURL(M679),"واتساب 2"))</x:f>
      </x:c>
      <x:c r="O679" s="12" t="str">
        <x:f>IF(A679="","","مرحبًا "&amp;C679&amp;CHAR(10)&amp;CHAR(10)&amp;"إذا كانت التحديات لديكم تحتاج حلًا أشمل، فالبرنامج الكامل المناسب لكم هو: "&amp;H679&amp;"."&amp;IF(I679&lt;&gt;"",CHAR(10)&amp;"كما يمكنكم أيضًا حجز: "&amp;I679&amp;".","")&amp;IF(J679&lt;&gt;"",CHAR(10)&amp;CHAR(10)&amp;"رابط التقرير: "&amp;J679,"")&amp;CHAR(10)&amp;CHAR(10)&amp;"يسعدنا مساعدتكم في اختيار المسار الأنسب حسب وضع العيادة الحالي.")</x:f>
      </x:c>
      <x:c r="P679" s="12" t="str">
        <x:f>IF(D679="","",HYPERLINK("https://wa.me/"&amp;REGEXREPLACE(D679,"[^\d]","")&amp;"?text="&amp;ENCODEURL(O679),"واتساب 3"))</x:f>
      </x:c>
    </x:row>
    <x:row r="680" ht="15" hidden="0" customHeight="1">
      <x:c r="A680" s="12" t="str">
        <x:f>IF(Leads!A680="","",Leads!A680)</x:f>
      </x:c>
      <x:c r="B680" s="12" t="str">
        <x:f>IF(Leads!F680="","",Leads!F680)</x:f>
      </x:c>
      <x:c r="C680" s="12" t="str">
        <x:f>IF(Leads!G680="","",Leads!G680)</x:f>
      </x:c>
      <x:c r="D680" s="12" t="str">
        <x:f>IF(Leads!O680="","",Leads!O680)</x:f>
      </x:c>
      <x:c r="E680" s="12" t="str">
        <x:f>IF(Leads!AV680="","",Leads!AV680)</x:f>
      </x:c>
      <x:c r="F680" s="12" t="str">
        <x:f>IF(Leads!AX680="","",Leads!AX680)</x:f>
      </x:c>
      <x:c r="G680" s="12" t="str">
        <x:f>IF(Leads!BC680="","",Leads!BC680)</x:f>
      </x:c>
      <x:c r="H680" s="12" t="str">
        <x:f>IF(Leads!BE680="","",Leads!BE680)</x:f>
      </x:c>
      <x:c r="I680" s="12" t="str">
        <x:f>IF(Leads!BG680="","",Leads!BG680)</x:f>
      </x:c>
      <x:c r="J680" s="12" t="str">
        <x:f>IF(Leads!BH680="","",Leads!BH680)</x:f>
      </x:c>
      <x:c r="K680" s="12" t="str">
        <x:f>IF(A680="","","مرحبًا "&amp;C680&amp;CHAR(10)&amp;CHAR(10)&amp;"شكرًا لإتمام تقييم DBD الخاص بعيادة "&amp;B680&amp;"."&amp;CHAR(10)&amp;"نتيجتكم الحالية: "&amp;E680&amp;"%."&amp;CHAR(10)&amp;"أولوية التحسين الأولى: "&amp;F680&amp;"."&amp;IF(J680&lt;&gt;"",CHAR(10)&amp;CHAR(10)&amp;"رابط التقرير: "&amp;J680,"")&amp;CHAR(10)&amp;CHAR(10)&amp;"إذا أحببت، يمكننا مساعدتك في فهم التقرير وتحديد أفضل خطوة تالية لعيادتكم.")</x:f>
      </x:c>
      <x:c r="L680" s="12" t="str">
        <x:f>IF(D680="","",HYPERLINK("https://wa.me/"&amp;REGEXREPLACE(D680,"[^\d]","")&amp;"?text="&amp;ENCODEURL(K680),"واتساب 1"))</x:f>
      </x:c>
      <x:c r="M680" s="12" t="str">
        <x:f>IF(A680="","","مرحبًا "&amp;C680&amp;CHAR(10)&amp;CHAR(10)&amp;"بناءً على نتيجة تقييم عيادة "&amp;B680&amp;"، فإن الترشيح الأقوى لكم الآن هو: "&amp;G680&amp;"."&amp;CHAR(10)&amp;"هذا الخيار يساعدكم في معالجة أكبر فجوة حالية بشكل عملي ومباشر."&amp;IF(J680&lt;&gt;"",CHAR(10)&amp;CHAR(10)&amp;"رابط التقرير: "&amp;J680,"")&amp;CHAR(10)&amp;CHAR(10)&amp;"إذا رغبت، يمكننا توضيح لماذا هذا الكورس هو الأنسب لكم الآن.")</x:f>
      </x:c>
      <x:c r="N680" s="12" t="str">
        <x:f>IF(D680="","",HYPERLINK("https://wa.me/"&amp;REGEXREPLACE(D680,"[^\d]","")&amp;"?text="&amp;ENCODEURL(M680),"واتساب 2"))</x:f>
      </x:c>
      <x:c r="O680" s="12" t="str">
        <x:f>IF(A680="","","مرحبًا "&amp;C680&amp;CHAR(10)&amp;CHAR(10)&amp;"إذا كانت التحديات لديكم تحتاج حلًا أشمل، فالبرنامج الكامل المناسب لكم هو: "&amp;H680&amp;"."&amp;IF(I680&lt;&gt;"",CHAR(10)&amp;"كما يمكنكم أيضًا حجز: "&amp;I680&amp;".","")&amp;IF(J680&lt;&gt;"",CHAR(10)&amp;CHAR(10)&amp;"رابط التقرير: "&amp;J680,"")&amp;CHAR(10)&amp;CHAR(10)&amp;"يسعدنا مساعدتكم في اختيار المسار الأنسب حسب وضع العيادة الحالي.")</x:f>
      </x:c>
      <x:c r="P680" s="12" t="str">
        <x:f>IF(D680="","",HYPERLINK("https://wa.me/"&amp;REGEXREPLACE(D680,"[^\d]","")&amp;"?text="&amp;ENCODEURL(O680),"واتساب 3"))</x:f>
      </x:c>
    </x:row>
    <x:row r="681" ht="15" hidden="0" customHeight="1">
      <x:c r="A681" s="12" t="str">
        <x:f>IF(Leads!A681="","",Leads!A681)</x:f>
      </x:c>
      <x:c r="B681" s="12" t="str">
        <x:f>IF(Leads!F681="","",Leads!F681)</x:f>
      </x:c>
      <x:c r="C681" s="12" t="str">
        <x:f>IF(Leads!G681="","",Leads!G681)</x:f>
      </x:c>
      <x:c r="D681" s="12" t="str">
        <x:f>IF(Leads!O681="","",Leads!O681)</x:f>
      </x:c>
      <x:c r="E681" s="12" t="str">
        <x:f>IF(Leads!AV681="","",Leads!AV681)</x:f>
      </x:c>
      <x:c r="F681" s="12" t="str">
        <x:f>IF(Leads!AX681="","",Leads!AX681)</x:f>
      </x:c>
      <x:c r="G681" s="12" t="str">
        <x:f>IF(Leads!BC681="","",Leads!BC681)</x:f>
      </x:c>
      <x:c r="H681" s="12" t="str">
        <x:f>IF(Leads!BE681="","",Leads!BE681)</x:f>
      </x:c>
      <x:c r="I681" s="12" t="str">
        <x:f>IF(Leads!BG681="","",Leads!BG681)</x:f>
      </x:c>
      <x:c r="J681" s="12" t="str">
        <x:f>IF(Leads!BH681="","",Leads!BH681)</x:f>
      </x:c>
      <x:c r="K681" s="12" t="str">
        <x:f>IF(A681="","","مرحبًا "&amp;C681&amp;CHAR(10)&amp;CHAR(10)&amp;"شكرًا لإتمام تقييم DBD الخاص بعيادة "&amp;B681&amp;"."&amp;CHAR(10)&amp;"نتيجتكم الحالية: "&amp;E681&amp;"%."&amp;CHAR(10)&amp;"أولوية التحسين الأولى: "&amp;F681&amp;"."&amp;IF(J681&lt;&gt;"",CHAR(10)&amp;CHAR(10)&amp;"رابط التقرير: "&amp;J681,"")&amp;CHAR(10)&amp;CHAR(10)&amp;"إذا أحببت، يمكننا مساعدتك في فهم التقرير وتحديد أفضل خطوة تالية لعيادتكم.")</x:f>
      </x:c>
      <x:c r="L681" s="12" t="str">
        <x:f>IF(D681="","",HYPERLINK("https://wa.me/"&amp;REGEXREPLACE(D681,"[^\d]","")&amp;"?text="&amp;ENCODEURL(K681),"واتساب 1"))</x:f>
      </x:c>
      <x:c r="M681" s="12" t="str">
        <x:f>IF(A681="","","مرحبًا "&amp;C681&amp;CHAR(10)&amp;CHAR(10)&amp;"بناءً على نتيجة تقييم عيادة "&amp;B681&amp;"، فإن الترشيح الأقوى لكم الآن هو: "&amp;G681&amp;"."&amp;CHAR(10)&amp;"هذا الخيار يساعدكم في معالجة أكبر فجوة حالية بشكل عملي ومباشر."&amp;IF(J681&lt;&gt;"",CHAR(10)&amp;CHAR(10)&amp;"رابط التقرير: "&amp;J681,"")&amp;CHAR(10)&amp;CHAR(10)&amp;"إذا رغبت، يمكننا توضيح لماذا هذا الكورس هو الأنسب لكم الآن.")</x:f>
      </x:c>
      <x:c r="N681" s="12" t="str">
        <x:f>IF(D681="","",HYPERLINK("https://wa.me/"&amp;REGEXREPLACE(D681,"[^\d]","")&amp;"?text="&amp;ENCODEURL(M681),"واتساب 2"))</x:f>
      </x:c>
      <x:c r="O681" s="12" t="str">
        <x:f>IF(A681="","","مرحبًا "&amp;C681&amp;CHAR(10)&amp;CHAR(10)&amp;"إذا كانت التحديات لديكم تحتاج حلًا أشمل، فالبرنامج الكامل المناسب لكم هو: "&amp;H681&amp;"."&amp;IF(I681&lt;&gt;"",CHAR(10)&amp;"كما يمكنكم أيضًا حجز: "&amp;I681&amp;".","")&amp;IF(J681&lt;&gt;"",CHAR(10)&amp;CHAR(10)&amp;"رابط التقرير: "&amp;J681,"")&amp;CHAR(10)&amp;CHAR(10)&amp;"يسعدنا مساعدتكم في اختيار المسار الأنسب حسب وضع العيادة الحالي.")</x:f>
      </x:c>
      <x:c r="P681" s="12" t="str">
        <x:f>IF(D681="","",HYPERLINK("https://wa.me/"&amp;REGEXREPLACE(D681,"[^\d]","")&amp;"?text="&amp;ENCODEURL(O681),"واتساب 3"))</x:f>
      </x:c>
    </x:row>
    <x:row r="682" ht="15" hidden="0" customHeight="1">
      <x:c r="A682" s="12" t="str">
        <x:f>IF(Leads!A682="","",Leads!A682)</x:f>
      </x:c>
      <x:c r="B682" s="12" t="str">
        <x:f>IF(Leads!F682="","",Leads!F682)</x:f>
      </x:c>
      <x:c r="C682" s="12" t="str">
        <x:f>IF(Leads!G682="","",Leads!G682)</x:f>
      </x:c>
      <x:c r="D682" s="12" t="str">
        <x:f>IF(Leads!O682="","",Leads!O682)</x:f>
      </x:c>
      <x:c r="E682" s="12" t="str">
        <x:f>IF(Leads!AV682="","",Leads!AV682)</x:f>
      </x:c>
      <x:c r="F682" s="12" t="str">
        <x:f>IF(Leads!AX682="","",Leads!AX682)</x:f>
      </x:c>
      <x:c r="G682" s="12" t="str">
        <x:f>IF(Leads!BC682="","",Leads!BC682)</x:f>
      </x:c>
      <x:c r="H682" s="12" t="str">
        <x:f>IF(Leads!BE682="","",Leads!BE682)</x:f>
      </x:c>
      <x:c r="I682" s="12" t="str">
        <x:f>IF(Leads!BG682="","",Leads!BG682)</x:f>
      </x:c>
      <x:c r="J682" s="12" t="str">
        <x:f>IF(Leads!BH682="","",Leads!BH682)</x:f>
      </x:c>
      <x:c r="K682" s="12" t="str">
        <x:f>IF(A682="","","مرحبًا "&amp;C682&amp;CHAR(10)&amp;CHAR(10)&amp;"شكرًا لإتمام تقييم DBD الخاص بعيادة "&amp;B682&amp;"."&amp;CHAR(10)&amp;"نتيجتكم الحالية: "&amp;E682&amp;"%."&amp;CHAR(10)&amp;"أولوية التحسين الأولى: "&amp;F682&amp;"."&amp;IF(J682&lt;&gt;"",CHAR(10)&amp;CHAR(10)&amp;"رابط التقرير: "&amp;J682,"")&amp;CHAR(10)&amp;CHAR(10)&amp;"إذا أحببت، يمكننا مساعدتك في فهم التقرير وتحديد أفضل خطوة تالية لعيادتكم.")</x:f>
      </x:c>
      <x:c r="L682" s="12" t="str">
        <x:f>IF(D682="","",HYPERLINK("https://wa.me/"&amp;REGEXREPLACE(D682,"[^\d]","")&amp;"?text="&amp;ENCODEURL(K682),"واتساب 1"))</x:f>
      </x:c>
      <x:c r="M682" s="12" t="str">
        <x:f>IF(A682="","","مرحبًا "&amp;C682&amp;CHAR(10)&amp;CHAR(10)&amp;"بناءً على نتيجة تقييم عيادة "&amp;B682&amp;"، فإن الترشيح الأقوى لكم الآن هو: "&amp;G682&amp;"."&amp;CHAR(10)&amp;"هذا الخيار يساعدكم في معالجة أكبر فجوة حالية بشكل عملي ومباشر."&amp;IF(J682&lt;&gt;"",CHAR(10)&amp;CHAR(10)&amp;"رابط التقرير: "&amp;J682,"")&amp;CHAR(10)&amp;CHAR(10)&amp;"إذا رغبت، يمكننا توضيح لماذا هذا الكورس هو الأنسب لكم الآن.")</x:f>
      </x:c>
      <x:c r="N682" s="12" t="str">
        <x:f>IF(D682="","",HYPERLINK("https://wa.me/"&amp;REGEXREPLACE(D682,"[^\d]","")&amp;"?text="&amp;ENCODEURL(M682),"واتساب 2"))</x:f>
      </x:c>
      <x:c r="O682" s="12" t="str">
        <x:f>IF(A682="","","مرحبًا "&amp;C682&amp;CHAR(10)&amp;CHAR(10)&amp;"إذا كانت التحديات لديكم تحتاج حلًا أشمل، فالبرنامج الكامل المناسب لكم هو: "&amp;H682&amp;"."&amp;IF(I682&lt;&gt;"",CHAR(10)&amp;"كما يمكنكم أيضًا حجز: "&amp;I682&amp;".","")&amp;IF(J682&lt;&gt;"",CHAR(10)&amp;CHAR(10)&amp;"رابط التقرير: "&amp;J682,"")&amp;CHAR(10)&amp;CHAR(10)&amp;"يسعدنا مساعدتكم في اختيار المسار الأنسب حسب وضع العيادة الحالي.")</x:f>
      </x:c>
      <x:c r="P682" s="12" t="str">
        <x:f>IF(D682="","",HYPERLINK("https://wa.me/"&amp;REGEXREPLACE(D682,"[^\d]","")&amp;"?text="&amp;ENCODEURL(O682),"واتساب 3"))</x:f>
      </x:c>
    </x:row>
    <x:row r="683" ht="15" hidden="0" customHeight="1">
      <x:c r="A683" s="12" t="str">
        <x:f>IF(Leads!A683="","",Leads!A683)</x:f>
      </x:c>
      <x:c r="B683" s="12" t="str">
        <x:f>IF(Leads!F683="","",Leads!F683)</x:f>
      </x:c>
      <x:c r="C683" s="12" t="str">
        <x:f>IF(Leads!G683="","",Leads!G683)</x:f>
      </x:c>
      <x:c r="D683" s="12" t="str">
        <x:f>IF(Leads!O683="","",Leads!O683)</x:f>
      </x:c>
      <x:c r="E683" s="12" t="str">
        <x:f>IF(Leads!AV683="","",Leads!AV683)</x:f>
      </x:c>
      <x:c r="F683" s="12" t="str">
        <x:f>IF(Leads!AX683="","",Leads!AX683)</x:f>
      </x:c>
      <x:c r="G683" s="12" t="str">
        <x:f>IF(Leads!BC683="","",Leads!BC683)</x:f>
      </x:c>
      <x:c r="H683" s="12" t="str">
        <x:f>IF(Leads!BE683="","",Leads!BE683)</x:f>
      </x:c>
      <x:c r="I683" s="12" t="str">
        <x:f>IF(Leads!BG683="","",Leads!BG683)</x:f>
      </x:c>
      <x:c r="J683" s="12" t="str">
        <x:f>IF(Leads!BH683="","",Leads!BH683)</x:f>
      </x:c>
      <x:c r="K683" s="12" t="str">
        <x:f>IF(A683="","","مرحبًا "&amp;C683&amp;CHAR(10)&amp;CHAR(10)&amp;"شكرًا لإتمام تقييم DBD الخاص بعيادة "&amp;B683&amp;"."&amp;CHAR(10)&amp;"نتيجتكم الحالية: "&amp;E683&amp;"%."&amp;CHAR(10)&amp;"أولوية التحسين الأولى: "&amp;F683&amp;"."&amp;IF(J683&lt;&gt;"",CHAR(10)&amp;CHAR(10)&amp;"رابط التقرير: "&amp;J683,"")&amp;CHAR(10)&amp;CHAR(10)&amp;"إذا أحببت، يمكننا مساعدتك في فهم التقرير وتحديد أفضل خطوة تالية لعيادتكم.")</x:f>
      </x:c>
      <x:c r="L683" s="12" t="str">
        <x:f>IF(D683="","",HYPERLINK("https://wa.me/"&amp;REGEXREPLACE(D683,"[^\d]","")&amp;"?text="&amp;ENCODEURL(K683),"واتساب 1"))</x:f>
      </x:c>
      <x:c r="M683" s="12" t="str">
        <x:f>IF(A683="","","مرحبًا "&amp;C683&amp;CHAR(10)&amp;CHAR(10)&amp;"بناءً على نتيجة تقييم عيادة "&amp;B683&amp;"، فإن الترشيح الأقوى لكم الآن هو: "&amp;G683&amp;"."&amp;CHAR(10)&amp;"هذا الخيار يساعدكم في معالجة أكبر فجوة حالية بشكل عملي ومباشر."&amp;IF(J683&lt;&gt;"",CHAR(10)&amp;CHAR(10)&amp;"رابط التقرير: "&amp;J683,"")&amp;CHAR(10)&amp;CHAR(10)&amp;"إذا رغبت، يمكننا توضيح لماذا هذا الكورس هو الأنسب لكم الآن.")</x:f>
      </x:c>
      <x:c r="N683" s="12" t="str">
        <x:f>IF(D683="","",HYPERLINK("https://wa.me/"&amp;REGEXREPLACE(D683,"[^\d]","")&amp;"?text="&amp;ENCODEURL(M683),"واتساب 2"))</x:f>
      </x:c>
      <x:c r="O683" s="12" t="str">
        <x:f>IF(A683="","","مرحبًا "&amp;C683&amp;CHAR(10)&amp;CHAR(10)&amp;"إذا كانت التحديات لديكم تحتاج حلًا أشمل، فالبرنامج الكامل المناسب لكم هو: "&amp;H683&amp;"."&amp;IF(I683&lt;&gt;"",CHAR(10)&amp;"كما يمكنكم أيضًا حجز: "&amp;I683&amp;".","")&amp;IF(J683&lt;&gt;"",CHAR(10)&amp;CHAR(10)&amp;"رابط التقرير: "&amp;J683,"")&amp;CHAR(10)&amp;CHAR(10)&amp;"يسعدنا مساعدتكم في اختيار المسار الأنسب حسب وضع العيادة الحالي.")</x:f>
      </x:c>
      <x:c r="P683" s="12" t="str">
        <x:f>IF(D683="","",HYPERLINK("https://wa.me/"&amp;REGEXREPLACE(D683,"[^\d]","")&amp;"?text="&amp;ENCODEURL(O683),"واتساب 3"))</x:f>
      </x:c>
    </x:row>
    <x:row r="684" ht="15" hidden="0" customHeight="1">
      <x:c r="A684" s="12" t="str">
        <x:f>IF(Leads!A684="","",Leads!A684)</x:f>
      </x:c>
      <x:c r="B684" s="12" t="str">
        <x:f>IF(Leads!F684="","",Leads!F684)</x:f>
      </x:c>
      <x:c r="C684" s="12" t="str">
        <x:f>IF(Leads!G684="","",Leads!G684)</x:f>
      </x:c>
      <x:c r="D684" s="12" t="str">
        <x:f>IF(Leads!O684="","",Leads!O684)</x:f>
      </x:c>
      <x:c r="E684" s="12" t="str">
        <x:f>IF(Leads!AV684="","",Leads!AV684)</x:f>
      </x:c>
      <x:c r="F684" s="12" t="str">
        <x:f>IF(Leads!AX684="","",Leads!AX684)</x:f>
      </x:c>
      <x:c r="G684" s="12" t="str">
        <x:f>IF(Leads!BC684="","",Leads!BC684)</x:f>
      </x:c>
      <x:c r="H684" s="12" t="str">
        <x:f>IF(Leads!BE684="","",Leads!BE684)</x:f>
      </x:c>
      <x:c r="I684" s="12" t="str">
        <x:f>IF(Leads!BG684="","",Leads!BG684)</x:f>
      </x:c>
      <x:c r="J684" s="12" t="str">
        <x:f>IF(Leads!BH684="","",Leads!BH684)</x:f>
      </x:c>
      <x:c r="K684" s="12" t="str">
        <x:f>IF(A684="","","مرحبًا "&amp;C684&amp;CHAR(10)&amp;CHAR(10)&amp;"شكرًا لإتمام تقييم DBD الخاص بعيادة "&amp;B684&amp;"."&amp;CHAR(10)&amp;"نتيجتكم الحالية: "&amp;E684&amp;"%."&amp;CHAR(10)&amp;"أولوية التحسين الأولى: "&amp;F684&amp;"."&amp;IF(J684&lt;&gt;"",CHAR(10)&amp;CHAR(10)&amp;"رابط التقرير: "&amp;J684,"")&amp;CHAR(10)&amp;CHAR(10)&amp;"إذا أحببت، يمكننا مساعدتك في فهم التقرير وتحديد أفضل خطوة تالية لعيادتكم.")</x:f>
      </x:c>
      <x:c r="L684" s="12" t="str">
        <x:f>IF(D684="","",HYPERLINK("https://wa.me/"&amp;REGEXREPLACE(D684,"[^\d]","")&amp;"?text="&amp;ENCODEURL(K684),"واتساب 1"))</x:f>
      </x:c>
      <x:c r="M684" s="12" t="str">
        <x:f>IF(A684="","","مرحبًا "&amp;C684&amp;CHAR(10)&amp;CHAR(10)&amp;"بناءً على نتيجة تقييم عيادة "&amp;B684&amp;"، فإن الترشيح الأقوى لكم الآن هو: "&amp;G684&amp;"."&amp;CHAR(10)&amp;"هذا الخيار يساعدكم في معالجة أكبر فجوة حالية بشكل عملي ومباشر."&amp;IF(J684&lt;&gt;"",CHAR(10)&amp;CHAR(10)&amp;"رابط التقرير: "&amp;J684,"")&amp;CHAR(10)&amp;CHAR(10)&amp;"إذا رغبت، يمكننا توضيح لماذا هذا الكورس هو الأنسب لكم الآن.")</x:f>
      </x:c>
      <x:c r="N684" s="12" t="str">
        <x:f>IF(D684="","",HYPERLINK("https://wa.me/"&amp;REGEXREPLACE(D684,"[^\d]","")&amp;"?text="&amp;ENCODEURL(M684),"واتساب 2"))</x:f>
      </x:c>
      <x:c r="O684" s="12" t="str">
        <x:f>IF(A684="","","مرحبًا "&amp;C684&amp;CHAR(10)&amp;CHAR(10)&amp;"إذا كانت التحديات لديكم تحتاج حلًا أشمل، فالبرنامج الكامل المناسب لكم هو: "&amp;H684&amp;"."&amp;IF(I684&lt;&gt;"",CHAR(10)&amp;"كما يمكنكم أيضًا حجز: "&amp;I684&amp;".","")&amp;IF(J684&lt;&gt;"",CHAR(10)&amp;CHAR(10)&amp;"رابط التقرير: "&amp;J684,"")&amp;CHAR(10)&amp;CHAR(10)&amp;"يسعدنا مساعدتكم في اختيار المسار الأنسب حسب وضع العيادة الحالي.")</x:f>
      </x:c>
      <x:c r="P684" s="12" t="str">
        <x:f>IF(D684="","",HYPERLINK("https://wa.me/"&amp;REGEXREPLACE(D684,"[^\d]","")&amp;"?text="&amp;ENCODEURL(O684),"واتساب 3"))</x:f>
      </x:c>
    </x:row>
    <x:row r="685" ht="15" hidden="0" customHeight="1">
      <x:c r="A685" s="12" t="str">
        <x:f>IF(Leads!A685="","",Leads!A685)</x:f>
      </x:c>
      <x:c r="B685" s="12" t="str">
        <x:f>IF(Leads!F685="","",Leads!F685)</x:f>
      </x:c>
      <x:c r="C685" s="12" t="str">
        <x:f>IF(Leads!G685="","",Leads!G685)</x:f>
      </x:c>
      <x:c r="D685" s="12" t="str">
        <x:f>IF(Leads!O685="","",Leads!O685)</x:f>
      </x:c>
      <x:c r="E685" s="12" t="str">
        <x:f>IF(Leads!AV685="","",Leads!AV685)</x:f>
      </x:c>
      <x:c r="F685" s="12" t="str">
        <x:f>IF(Leads!AX685="","",Leads!AX685)</x:f>
      </x:c>
      <x:c r="G685" s="12" t="str">
        <x:f>IF(Leads!BC685="","",Leads!BC685)</x:f>
      </x:c>
      <x:c r="H685" s="12" t="str">
        <x:f>IF(Leads!BE685="","",Leads!BE685)</x:f>
      </x:c>
      <x:c r="I685" s="12" t="str">
        <x:f>IF(Leads!BG685="","",Leads!BG685)</x:f>
      </x:c>
      <x:c r="J685" s="12" t="str">
        <x:f>IF(Leads!BH685="","",Leads!BH685)</x:f>
      </x:c>
      <x:c r="K685" s="12" t="str">
        <x:f>IF(A685="","","مرحبًا "&amp;C685&amp;CHAR(10)&amp;CHAR(10)&amp;"شكرًا لإتمام تقييم DBD الخاص بعيادة "&amp;B685&amp;"."&amp;CHAR(10)&amp;"نتيجتكم الحالية: "&amp;E685&amp;"%."&amp;CHAR(10)&amp;"أولوية التحسين الأولى: "&amp;F685&amp;"."&amp;IF(J685&lt;&gt;"",CHAR(10)&amp;CHAR(10)&amp;"رابط التقرير: "&amp;J685,"")&amp;CHAR(10)&amp;CHAR(10)&amp;"إذا أحببت، يمكننا مساعدتك في فهم التقرير وتحديد أفضل خطوة تالية لعيادتكم.")</x:f>
      </x:c>
      <x:c r="L685" s="12" t="str">
        <x:f>IF(D685="","",HYPERLINK("https://wa.me/"&amp;REGEXREPLACE(D685,"[^\d]","")&amp;"?text="&amp;ENCODEURL(K685),"واتساب 1"))</x:f>
      </x:c>
      <x:c r="M685" s="12" t="str">
        <x:f>IF(A685="","","مرحبًا "&amp;C685&amp;CHAR(10)&amp;CHAR(10)&amp;"بناءً على نتيجة تقييم عيادة "&amp;B685&amp;"، فإن الترشيح الأقوى لكم الآن هو: "&amp;G685&amp;"."&amp;CHAR(10)&amp;"هذا الخيار يساعدكم في معالجة أكبر فجوة حالية بشكل عملي ومباشر."&amp;IF(J685&lt;&gt;"",CHAR(10)&amp;CHAR(10)&amp;"رابط التقرير: "&amp;J685,"")&amp;CHAR(10)&amp;CHAR(10)&amp;"إذا رغبت، يمكننا توضيح لماذا هذا الكورس هو الأنسب لكم الآن.")</x:f>
      </x:c>
      <x:c r="N685" s="12" t="str">
        <x:f>IF(D685="","",HYPERLINK("https://wa.me/"&amp;REGEXREPLACE(D685,"[^\d]","")&amp;"?text="&amp;ENCODEURL(M685),"واتساب 2"))</x:f>
      </x:c>
      <x:c r="O685" s="12" t="str">
        <x:f>IF(A685="","","مرحبًا "&amp;C685&amp;CHAR(10)&amp;CHAR(10)&amp;"إذا كانت التحديات لديكم تحتاج حلًا أشمل، فالبرنامج الكامل المناسب لكم هو: "&amp;H685&amp;"."&amp;IF(I685&lt;&gt;"",CHAR(10)&amp;"كما يمكنكم أيضًا حجز: "&amp;I685&amp;".","")&amp;IF(J685&lt;&gt;"",CHAR(10)&amp;CHAR(10)&amp;"رابط التقرير: "&amp;J685,"")&amp;CHAR(10)&amp;CHAR(10)&amp;"يسعدنا مساعدتكم في اختيار المسار الأنسب حسب وضع العيادة الحالي.")</x:f>
      </x:c>
      <x:c r="P685" s="12" t="str">
        <x:f>IF(D685="","",HYPERLINK("https://wa.me/"&amp;REGEXREPLACE(D685,"[^\d]","")&amp;"?text="&amp;ENCODEURL(O685),"واتساب 3"))</x:f>
      </x:c>
    </x:row>
    <x:row r="686" ht="15" hidden="0" customHeight="1">
      <x:c r="A686" s="12" t="str">
        <x:f>IF(Leads!A686="","",Leads!A686)</x:f>
      </x:c>
      <x:c r="B686" s="12" t="str">
        <x:f>IF(Leads!F686="","",Leads!F686)</x:f>
      </x:c>
      <x:c r="C686" s="12" t="str">
        <x:f>IF(Leads!G686="","",Leads!G686)</x:f>
      </x:c>
      <x:c r="D686" s="12" t="str">
        <x:f>IF(Leads!O686="","",Leads!O686)</x:f>
      </x:c>
      <x:c r="E686" s="12" t="str">
        <x:f>IF(Leads!AV686="","",Leads!AV686)</x:f>
      </x:c>
      <x:c r="F686" s="12" t="str">
        <x:f>IF(Leads!AX686="","",Leads!AX686)</x:f>
      </x:c>
      <x:c r="G686" s="12" t="str">
        <x:f>IF(Leads!BC686="","",Leads!BC686)</x:f>
      </x:c>
      <x:c r="H686" s="12" t="str">
        <x:f>IF(Leads!BE686="","",Leads!BE686)</x:f>
      </x:c>
      <x:c r="I686" s="12" t="str">
        <x:f>IF(Leads!BG686="","",Leads!BG686)</x:f>
      </x:c>
      <x:c r="J686" s="12" t="str">
        <x:f>IF(Leads!BH686="","",Leads!BH686)</x:f>
      </x:c>
      <x:c r="K686" s="12" t="str">
        <x:f>IF(A686="","","مرحبًا "&amp;C686&amp;CHAR(10)&amp;CHAR(10)&amp;"شكرًا لإتمام تقييم DBD الخاص بعيادة "&amp;B686&amp;"."&amp;CHAR(10)&amp;"نتيجتكم الحالية: "&amp;E686&amp;"%."&amp;CHAR(10)&amp;"أولوية التحسين الأولى: "&amp;F686&amp;"."&amp;IF(J686&lt;&gt;"",CHAR(10)&amp;CHAR(10)&amp;"رابط التقرير: "&amp;J686,"")&amp;CHAR(10)&amp;CHAR(10)&amp;"إذا أحببت، يمكننا مساعدتك في فهم التقرير وتحديد أفضل خطوة تالية لعيادتكم.")</x:f>
      </x:c>
      <x:c r="L686" s="12" t="str">
        <x:f>IF(D686="","",HYPERLINK("https://wa.me/"&amp;REGEXREPLACE(D686,"[^\d]","")&amp;"?text="&amp;ENCODEURL(K686),"واتساب 1"))</x:f>
      </x:c>
      <x:c r="M686" s="12" t="str">
        <x:f>IF(A686="","","مرحبًا "&amp;C686&amp;CHAR(10)&amp;CHAR(10)&amp;"بناءً على نتيجة تقييم عيادة "&amp;B686&amp;"، فإن الترشيح الأقوى لكم الآن هو: "&amp;G686&amp;"."&amp;CHAR(10)&amp;"هذا الخيار يساعدكم في معالجة أكبر فجوة حالية بشكل عملي ومباشر."&amp;IF(J686&lt;&gt;"",CHAR(10)&amp;CHAR(10)&amp;"رابط التقرير: "&amp;J686,"")&amp;CHAR(10)&amp;CHAR(10)&amp;"إذا رغبت، يمكننا توضيح لماذا هذا الكورس هو الأنسب لكم الآن.")</x:f>
      </x:c>
      <x:c r="N686" s="12" t="str">
        <x:f>IF(D686="","",HYPERLINK("https://wa.me/"&amp;REGEXREPLACE(D686,"[^\d]","")&amp;"?text="&amp;ENCODEURL(M686),"واتساب 2"))</x:f>
      </x:c>
      <x:c r="O686" s="12" t="str">
        <x:f>IF(A686="","","مرحبًا "&amp;C686&amp;CHAR(10)&amp;CHAR(10)&amp;"إذا كانت التحديات لديكم تحتاج حلًا أشمل، فالبرنامج الكامل المناسب لكم هو: "&amp;H686&amp;"."&amp;IF(I686&lt;&gt;"",CHAR(10)&amp;"كما يمكنكم أيضًا حجز: "&amp;I686&amp;".","")&amp;IF(J686&lt;&gt;"",CHAR(10)&amp;CHAR(10)&amp;"رابط التقرير: "&amp;J686,"")&amp;CHAR(10)&amp;CHAR(10)&amp;"يسعدنا مساعدتكم في اختيار المسار الأنسب حسب وضع العيادة الحالي.")</x:f>
      </x:c>
      <x:c r="P686" s="12" t="str">
        <x:f>IF(D686="","",HYPERLINK("https://wa.me/"&amp;REGEXREPLACE(D686,"[^\d]","")&amp;"?text="&amp;ENCODEURL(O686),"واتساب 3"))</x:f>
      </x:c>
    </x:row>
    <x:row r="687" ht="15" hidden="0" customHeight="1">
      <x:c r="A687" s="12" t="str">
        <x:f>IF(Leads!A687="","",Leads!A687)</x:f>
      </x:c>
      <x:c r="B687" s="12" t="str">
        <x:f>IF(Leads!F687="","",Leads!F687)</x:f>
      </x:c>
      <x:c r="C687" s="12" t="str">
        <x:f>IF(Leads!G687="","",Leads!G687)</x:f>
      </x:c>
      <x:c r="D687" s="12" t="str">
        <x:f>IF(Leads!O687="","",Leads!O687)</x:f>
      </x:c>
      <x:c r="E687" s="12" t="str">
        <x:f>IF(Leads!AV687="","",Leads!AV687)</x:f>
      </x:c>
      <x:c r="F687" s="12" t="str">
        <x:f>IF(Leads!AX687="","",Leads!AX687)</x:f>
      </x:c>
      <x:c r="G687" s="12" t="str">
        <x:f>IF(Leads!BC687="","",Leads!BC687)</x:f>
      </x:c>
      <x:c r="H687" s="12" t="str">
        <x:f>IF(Leads!BE687="","",Leads!BE687)</x:f>
      </x:c>
      <x:c r="I687" s="12" t="str">
        <x:f>IF(Leads!BG687="","",Leads!BG687)</x:f>
      </x:c>
      <x:c r="J687" s="12" t="str">
        <x:f>IF(Leads!BH687="","",Leads!BH687)</x:f>
      </x:c>
      <x:c r="K687" s="12" t="str">
        <x:f>IF(A687="","","مرحبًا "&amp;C687&amp;CHAR(10)&amp;CHAR(10)&amp;"شكرًا لإتمام تقييم DBD الخاص بعيادة "&amp;B687&amp;"."&amp;CHAR(10)&amp;"نتيجتكم الحالية: "&amp;E687&amp;"%."&amp;CHAR(10)&amp;"أولوية التحسين الأولى: "&amp;F687&amp;"."&amp;IF(J687&lt;&gt;"",CHAR(10)&amp;CHAR(10)&amp;"رابط التقرير: "&amp;J687,"")&amp;CHAR(10)&amp;CHAR(10)&amp;"إذا أحببت، يمكننا مساعدتك في فهم التقرير وتحديد أفضل خطوة تالية لعيادتكم.")</x:f>
      </x:c>
      <x:c r="L687" s="12" t="str">
        <x:f>IF(D687="","",HYPERLINK("https://wa.me/"&amp;REGEXREPLACE(D687,"[^\d]","")&amp;"?text="&amp;ENCODEURL(K687),"واتساب 1"))</x:f>
      </x:c>
      <x:c r="M687" s="12" t="str">
        <x:f>IF(A687="","","مرحبًا "&amp;C687&amp;CHAR(10)&amp;CHAR(10)&amp;"بناءً على نتيجة تقييم عيادة "&amp;B687&amp;"، فإن الترشيح الأقوى لكم الآن هو: "&amp;G687&amp;"."&amp;CHAR(10)&amp;"هذا الخيار يساعدكم في معالجة أكبر فجوة حالية بشكل عملي ومباشر."&amp;IF(J687&lt;&gt;"",CHAR(10)&amp;CHAR(10)&amp;"رابط التقرير: "&amp;J687,"")&amp;CHAR(10)&amp;CHAR(10)&amp;"إذا رغبت، يمكننا توضيح لماذا هذا الكورس هو الأنسب لكم الآن.")</x:f>
      </x:c>
      <x:c r="N687" s="12" t="str">
        <x:f>IF(D687="","",HYPERLINK("https://wa.me/"&amp;REGEXREPLACE(D687,"[^\d]","")&amp;"?text="&amp;ENCODEURL(M687),"واتساب 2"))</x:f>
      </x:c>
      <x:c r="O687" s="12" t="str">
        <x:f>IF(A687="","","مرحبًا "&amp;C687&amp;CHAR(10)&amp;CHAR(10)&amp;"إذا كانت التحديات لديكم تحتاج حلًا أشمل، فالبرنامج الكامل المناسب لكم هو: "&amp;H687&amp;"."&amp;IF(I687&lt;&gt;"",CHAR(10)&amp;"كما يمكنكم أيضًا حجز: "&amp;I687&amp;".","")&amp;IF(J687&lt;&gt;"",CHAR(10)&amp;CHAR(10)&amp;"رابط التقرير: "&amp;J687,"")&amp;CHAR(10)&amp;CHAR(10)&amp;"يسعدنا مساعدتكم في اختيار المسار الأنسب حسب وضع العيادة الحالي.")</x:f>
      </x:c>
      <x:c r="P687" s="12" t="str">
        <x:f>IF(D687="","",HYPERLINK("https://wa.me/"&amp;REGEXREPLACE(D687,"[^\d]","")&amp;"?text="&amp;ENCODEURL(O687),"واتساب 3"))</x:f>
      </x:c>
    </x:row>
    <x:row r="688" ht="15" hidden="0" customHeight="1">
      <x:c r="A688" s="12" t="str">
        <x:f>IF(Leads!A688="","",Leads!A688)</x:f>
      </x:c>
      <x:c r="B688" s="12" t="str">
        <x:f>IF(Leads!F688="","",Leads!F688)</x:f>
      </x:c>
      <x:c r="C688" s="12" t="str">
        <x:f>IF(Leads!G688="","",Leads!G688)</x:f>
      </x:c>
      <x:c r="D688" s="12" t="str">
        <x:f>IF(Leads!O688="","",Leads!O688)</x:f>
      </x:c>
      <x:c r="E688" s="12" t="str">
        <x:f>IF(Leads!AV688="","",Leads!AV688)</x:f>
      </x:c>
      <x:c r="F688" s="12" t="str">
        <x:f>IF(Leads!AX688="","",Leads!AX688)</x:f>
      </x:c>
      <x:c r="G688" s="12" t="str">
        <x:f>IF(Leads!BC688="","",Leads!BC688)</x:f>
      </x:c>
      <x:c r="H688" s="12" t="str">
        <x:f>IF(Leads!BE688="","",Leads!BE688)</x:f>
      </x:c>
      <x:c r="I688" s="12" t="str">
        <x:f>IF(Leads!BG688="","",Leads!BG688)</x:f>
      </x:c>
      <x:c r="J688" s="12" t="str">
        <x:f>IF(Leads!BH688="","",Leads!BH688)</x:f>
      </x:c>
      <x:c r="K688" s="12" t="str">
        <x:f>IF(A688="","","مرحبًا "&amp;C688&amp;CHAR(10)&amp;CHAR(10)&amp;"شكرًا لإتمام تقييم DBD الخاص بعيادة "&amp;B688&amp;"."&amp;CHAR(10)&amp;"نتيجتكم الحالية: "&amp;E688&amp;"%."&amp;CHAR(10)&amp;"أولوية التحسين الأولى: "&amp;F688&amp;"."&amp;IF(J688&lt;&gt;"",CHAR(10)&amp;CHAR(10)&amp;"رابط التقرير: "&amp;J688,"")&amp;CHAR(10)&amp;CHAR(10)&amp;"إذا أحببت، يمكننا مساعدتك في فهم التقرير وتحديد أفضل خطوة تالية لعيادتكم.")</x:f>
      </x:c>
      <x:c r="L688" s="12" t="str">
        <x:f>IF(D688="","",HYPERLINK("https://wa.me/"&amp;REGEXREPLACE(D688,"[^\d]","")&amp;"?text="&amp;ENCODEURL(K688),"واتساب 1"))</x:f>
      </x:c>
      <x:c r="M688" s="12" t="str">
        <x:f>IF(A688="","","مرحبًا "&amp;C688&amp;CHAR(10)&amp;CHAR(10)&amp;"بناءً على نتيجة تقييم عيادة "&amp;B688&amp;"، فإن الترشيح الأقوى لكم الآن هو: "&amp;G688&amp;"."&amp;CHAR(10)&amp;"هذا الخيار يساعدكم في معالجة أكبر فجوة حالية بشكل عملي ومباشر."&amp;IF(J688&lt;&gt;"",CHAR(10)&amp;CHAR(10)&amp;"رابط التقرير: "&amp;J688,"")&amp;CHAR(10)&amp;CHAR(10)&amp;"إذا رغبت، يمكننا توضيح لماذا هذا الكورس هو الأنسب لكم الآن.")</x:f>
      </x:c>
      <x:c r="N688" s="12" t="str">
        <x:f>IF(D688="","",HYPERLINK("https://wa.me/"&amp;REGEXREPLACE(D688,"[^\d]","")&amp;"?text="&amp;ENCODEURL(M688),"واتساب 2"))</x:f>
      </x:c>
      <x:c r="O688" s="12" t="str">
        <x:f>IF(A688="","","مرحبًا "&amp;C688&amp;CHAR(10)&amp;CHAR(10)&amp;"إذا كانت التحديات لديكم تحتاج حلًا أشمل، فالبرنامج الكامل المناسب لكم هو: "&amp;H688&amp;"."&amp;IF(I688&lt;&gt;"",CHAR(10)&amp;"كما يمكنكم أيضًا حجز: "&amp;I688&amp;".","")&amp;IF(J688&lt;&gt;"",CHAR(10)&amp;CHAR(10)&amp;"رابط التقرير: "&amp;J688,"")&amp;CHAR(10)&amp;CHAR(10)&amp;"يسعدنا مساعدتكم في اختيار المسار الأنسب حسب وضع العيادة الحالي.")</x:f>
      </x:c>
      <x:c r="P688" s="12" t="str">
        <x:f>IF(D688="","",HYPERLINK("https://wa.me/"&amp;REGEXREPLACE(D688,"[^\d]","")&amp;"?text="&amp;ENCODEURL(O688),"واتساب 3"))</x:f>
      </x:c>
    </x:row>
    <x:row r="689" ht="15" hidden="0" customHeight="1">
      <x:c r="A689" s="12" t="str">
        <x:f>IF(Leads!A689="","",Leads!A689)</x:f>
      </x:c>
      <x:c r="B689" s="12" t="str">
        <x:f>IF(Leads!F689="","",Leads!F689)</x:f>
      </x:c>
      <x:c r="C689" s="12" t="str">
        <x:f>IF(Leads!G689="","",Leads!G689)</x:f>
      </x:c>
      <x:c r="D689" s="12" t="str">
        <x:f>IF(Leads!O689="","",Leads!O689)</x:f>
      </x:c>
      <x:c r="E689" s="12" t="str">
        <x:f>IF(Leads!AV689="","",Leads!AV689)</x:f>
      </x:c>
      <x:c r="F689" s="12" t="str">
        <x:f>IF(Leads!AX689="","",Leads!AX689)</x:f>
      </x:c>
      <x:c r="G689" s="12" t="str">
        <x:f>IF(Leads!BC689="","",Leads!BC689)</x:f>
      </x:c>
      <x:c r="H689" s="12" t="str">
        <x:f>IF(Leads!BE689="","",Leads!BE689)</x:f>
      </x:c>
      <x:c r="I689" s="12" t="str">
        <x:f>IF(Leads!BG689="","",Leads!BG689)</x:f>
      </x:c>
      <x:c r="J689" s="12" t="str">
        <x:f>IF(Leads!BH689="","",Leads!BH689)</x:f>
      </x:c>
      <x:c r="K689" s="12" t="str">
        <x:f>IF(A689="","","مرحبًا "&amp;C689&amp;CHAR(10)&amp;CHAR(10)&amp;"شكرًا لإتمام تقييم DBD الخاص بعيادة "&amp;B689&amp;"."&amp;CHAR(10)&amp;"نتيجتكم الحالية: "&amp;E689&amp;"%."&amp;CHAR(10)&amp;"أولوية التحسين الأولى: "&amp;F689&amp;"."&amp;IF(J689&lt;&gt;"",CHAR(10)&amp;CHAR(10)&amp;"رابط التقرير: "&amp;J689,"")&amp;CHAR(10)&amp;CHAR(10)&amp;"إذا أحببت، يمكننا مساعدتك في فهم التقرير وتحديد أفضل خطوة تالية لعيادتكم.")</x:f>
      </x:c>
      <x:c r="L689" s="12" t="str">
        <x:f>IF(D689="","",HYPERLINK("https://wa.me/"&amp;REGEXREPLACE(D689,"[^\d]","")&amp;"?text="&amp;ENCODEURL(K689),"واتساب 1"))</x:f>
      </x:c>
      <x:c r="M689" s="12" t="str">
        <x:f>IF(A689="","","مرحبًا "&amp;C689&amp;CHAR(10)&amp;CHAR(10)&amp;"بناءً على نتيجة تقييم عيادة "&amp;B689&amp;"، فإن الترشيح الأقوى لكم الآن هو: "&amp;G689&amp;"."&amp;CHAR(10)&amp;"هذا الخيار يساعدكم في معالجة أكبر فجوة حالية بشكل عملي ومباشر."&amp;IF(J689&lt;&gt;"",CHAR(10)&amp;CHAR(10)&amp;"رابط التقرير: "&amp;J689,"")&amp;CHAR(10)&amp;CHAR(10)&amp;"إذا رغبت، يمكننا توضيح لماذا هذا الكورس هو الأنسب لكم الآن.")</x:f>
      </x:c>
      <x:c r="N689" s="12" t="str">
        <x:f>IF(D689="","",HYPERLINK("https://wa.me/"&amp;REGEXREPLACE(D689,"[^\d]","")&amp;"?text="&amp;ENCODEURL(M689),"واتساب 2"))</x:f>
      </x:c>
      <x:c r="O689" s="12" t="str">
        <x:f>IF(A689="","","مرحبًا "&amp;C689&amp;CHAR(10)&amp;CHAR(10)&amp;"إذا كانت التحديات لديكم تحتاج حلًا أشمل، فالبرنامج الكامل المناسب لكم هو: "&amp;H689&amp;"."&amp;IF(I689&lt;&gt;"",CHAR(10)&amp;"كما يمكنكم أيضًا حجز: "&amp;I689&amp;".","")&amp;IF(J689&lt;&gt;"",CHAR(10)&amp;CHAR(10)&amp;"رابط التقرير: "&amp;J689,"")&amp;CHAR(10)&amp;CHAR(10)&amp;"يسعدنا مساعدتكم في اختيار المسار الأنسب حسب وضع العيادة الحالي.")</x:f>
      </x:c>
      <x:c r="P689" s="12" t="str">
        <x:f>IF(D689="","",HYPERLINK("https://wa.me/"&amp;REGEXREPLACE(D689,"[^\d]","")&amp;"?text="&amp;ENCODEURL(O689),"واتساب 3"))</x:f>
      </x:c>
    </x:row>
    <x:row r="690" ht="15" hidden="0" customHeight="1">
      <x:c r="A690" s="12" t="str">
        <x:f>IF(Leads!A690="","",Leads!A690)</x:f>
      </x:c>
      <x:c r="B690" s="12" t="str">
        <x:f>IF(Leads!F690="","",Leads!F690)</x:f>
      </x:c>
      <x:c r="C690" s="12" t="str">
        <x:f>IF(Leads!G690="","",Leads!G690)</x:f>
      </x:c>
      <x:c r="D690" s="12" t="str">
        <x:f>IF(Leads!O690="","",Leads!O690)</x:f>
      </x:c>
      <x:c r="E690" s="12" t="str">
        <x:f>IF(Leads!AV690="","",Leads!AV690)</x:f>
      </x:c>
      <x:c r="F690" s="12" t="str">
        <x:f>IF(Leads!AX690="","",Leads!AX690)</x:f>
      </x:c>
      <x:c r="G690" s="12" t="str">
        <x:f>IF(Leads!BC690="","",Leads!BC690)</x:f>
      </x:c>
      <x:c r="H690" s="12" t="str">
        <x:f>IF(Leads!BE690="","",Leads!BE690)</x:f>
      </x:c>
      <x:c r="I690" s="12" t="str">
        <x:f>IF(Leads!BG690="","",Leads!BG690)</x:f>
      </x:c>
      <x:c r="J690" s="12" t="str">
        <x:f>IF(Leads!BH690="","",Leads!BH690)</x:f>
      </x:c>
      <x:c r="K690" s="12" t="str">
        <x:f>IF(A690="","","مرحبًا "&amp;C690&amp;CHAR(10)&amp;CHAR(10)&amp;"شكرًا لإتمام تقييم DBD الخاص بعيادة "&amp;B690&amp;"."&amp;CHAR(10)&amp;"نتيجتكم الحالية: "&amp;E690&amp;"%."&amp;CHAR(10)&amp;"أولوية التحسين الأولى: "&amp;F690&amp;"."&amp;IF(J690&lt;&gt;"",CHAR(10)&amp;CHAR(10)&amp;"رابط التقرير: "&amp;J690,"")&amp;CHAR(10)&amp;CHAR(10)&amp;"إذا أحببت، يمكننا مساعدتك في فهم التقرير وتحديد أفضل خطوة تالية لعيادتكم.")</x:f>
      </x:c>
      <x:c r="L690" s="12" t="str">
        <x:f>IF(D690="","",HYPERLINK("https://wa.me/"&amp;REGEXREPLACE(D690,"[^\d]","")&amp;"?text="&amp;ENCODEURL(K690),"واتساب 1"))</x:f>
      </x:c>
      <x:c r="M690" s="12" t="str">
        <x:f>IF(A690="","","مرحبًا "&amp;C690&amp;CHAR(10)&amp;CHAR(10)&amp;"بناءً على نتيجة تقييم عيادة "&amp;B690&amp;"، فإن الترشيح الأقوى لكم الآن هو: "&amp;G690&amp;"."&amp;CHAR(10)&amp;"هذا الخيار يساعدكم في معالجة أكبر فجوة حالية بشكل عملي ومباشر."&amp;IF(J690&lt;&gt;"",CHAR(10)&amp;CHAR(10)&amp;"رابط التقرير: "&amp;J690,"")&amp;CHAR(10)&amp;CHAR(10)&amp;"إذا رغبت، يمكننا توضيح لماذا هذا الكورس هو الأنسب لكم الآن.")</x:f>
      </x:c>
      <x:c r="N690" s="12" t="str">
        <x:f>IF(D690="","",HYPERLINK("https://wa.me/"&amp;REGEXREPLACE(D690,"[^\d]","")&amp;"?text="&amp;ENCODEURL(M690),"واتساب 2"))</x:f>
      </x:c>
      <x:c r="O690" s="12" t="str">
        <x:f>IF(A690="","","مرحبًا "&amp;C690&amp;CHAR(10)&amp;CHAR(10)&amp;"إذا كانت التحديات لديكم تحتاج حلًا أشمل، فالبرنامج الكامل المناسب لكم هو: "&amp;H690&amp;"."&amp;IF(I690&lt;&gt;"",CHAR(10)&amp;"كما يمكنكم أيضًا حجز: "&amp;I690&amp;".","")&amp;IF(J690&lt;&gt;"",CHAR(10)&amp;CHAR(10)&amp;"رابط التقرير: "&amp;J690,"")&amp;CHAR(10)&amp;CHAR(10)&amp;"يسعدنا مساعدتكم في اختيار المسار الأنسب حسب وضع العيادة الحالي.")</x:f>
      </x:c>
      <x:c r="P690" s="12" t="str">
        <x:f>IF(D690="","",HYPERLINK("https://wa.me/"&amp;REGEXREPLACE(D690,"[^\d]","")&amp;"?text="&amp;ENCODEURL(O690),"واتساب 3"))</x:f>
      </x:c>
    </x:row>
    <x:row r="691" ht="15" hidden="0" customHeight="1">
      <x:c r="A691" s="12" t="str">
        <x:f>IF(Leads!A691="","",Leads!A691)</x:f>
      </x:c>
      <x:c r="B691" s="12" t="str">
        <x:f>IF(Leads!F691="","",Leads!F691)</x:f>
      </x:c>
      <x:c r="C691" s="12" t="str">
        <x:f>IF(Leads!G691="","",Leads!G691)</x:f>
      </x:c>
      <x:c r="D691" s="12" t="str">
        <x:f>IF(Leads!O691="","",Leads!O691)</x:f>
      </x:c>
      <x:c r="E691" s="12" t="str">
        <x:f>IF(Leads!AV691="","",Leads!AV691)</x:f>
      </x:c>
      <x:c r="F691" s="12" t="str">
        <x:f>IF(Leads!AX691="","",Leads!AX691)</x:f>
      </x:c>
      <x:c r="G691" s="12" t="str">
        <x:f>IF(Leads!BC691="","",Leads!BC691)</x:f>
      </x:c>
      <x:c r="H691" s="12" t="str">
        <x:f>IF(Leads!BE691="","",Leads!BE691)</x:f>
      </x:c>
      <x:c r="I691" s="12" t="str">
        <x:f>IF(Leads!BG691="","",Leads!BG691)</x:f>
      </x:c>
      <x:c r="J691" s="12" t="str">
        <x:f>IF(Leads!BH691="","",Leads!BH691)</x:f>
      </x:c>
      <x:c r="K691" s="12" t="str">
        <x:f>IF(A691="","","مرحبًا "&amp;C691&amp;CHAR(10)&amp;CHAR(10)&amp;"شكرًا لإتمام تقييم DBD الخاص بعيادة "&amp;B691&amp;"."&amp;CHAR(10)&amp;"نتيجتكم الحالية: "&amp;E691&amp;"%."&amp;CHAR(10)&amp;"أولوية التحسين الأولى: "&amp;F691&amp;"."&amp;IF(J691&lt;&gt;"",CHAR(10)&amp;CHAR(10)&amp;"رابط التقرير: "&amp;J691,"")&amp;CHAR(10)&amp;CHAR(10)&amp;"إذا أحببت، يمكننا مساعدتك في فهم التقرير وتحديد أفضل خطوة تالية لعيادتكم.")</x:f>
      </x:c>
      <x:c r="L691" s="12" t="str">
        <x:f>IF(D691="","",HYPERLINK("https://wa.me/"&amp;REGEXREPLACE(D691,"[^\d]","")&amp;"?text="&amp;ENCODEURL(K691),"واتساب 1"))</x:f>
      </x:c>
      <x:c r="M691" s="12" t="str">
        <x:f>IF(A691="","","مرحبًا "&amp;C691&amp;CHAR(10)&amp;CHAR(10)&amp;"بناءً على نتيجة تقييم عيادة "&amp;B691&amp;"، فإن الترشيح الأقوى لكم الآن هو: "&amp;G691&amp;"."&amp;CHAR(10)&amp;"هذا الخيار يساعدكم في معالجة أكبر فجوة حالية بشكل عملي ومباشر."&amp;IF(J691&lt;&gt;"",CHAR(10)&amp;CHAR(10)&amp;"رابط التقرير: "&amp;J691,"")&amp;CHAR(10)&amp;CHAR(10)&amp;"إذا رغبت، يمكننا توضيح لماذا هذا الكورس هو الأنسب لكم الآن.")</x:f>
      </x:c>
      <x:c r="N691" s="12" t="str">
        <x:f>IF(D691="","",HYPERLINK("https://wa.me/"&amp;REGEXREPLACE(D691,"[^\d]","")&amp;"?text="&amp;ENCODEURL(M691),"واتساب 2"))</x:f>
      </x:c>
      <x:c r="O691" s="12" t="str">
        <x:f>IF(A691="","","مرحبًا "&amp;C691&amp;CHAR(10)&amp;CHAR(10)&amp;"إذا كانت التحديات لديكم تحتاج حلًا أشمل، فالبرنامج الكامل المناسب لكم هو: "&amp;H691&amp;"."&amp;IF(I691&lt;&gt;"",CHAR(10)&amp;"كما يمكنكم أيضًا حجز: "&amp;I691&amp;".","")&amp;IF(J691&lt;&gt;"",CHAR(10)&amp;CHAR(10)&amp;"رابط التقرير: "&amp;J691,"")&amp;CHAR(10)&amp;CHAR(10)&amp;"يسعدنا مساعدتكم في اختيار المسار الأنسب حسب وضع العيادة الحالي.")</x:f>
      </x:c>
      <x:c r="P691" s="12" t="str">
        <x:f>IF(D691="","",HYPERLINK("https://wa.me/"&amp;REGEXREPLACE(D691,"[^\d]","")&amp;"?text="&amp;ENCODEURL(O691),"واتساب 3"))</x:f>
      </x:c>
    </x:row>
    <x:row r="692" ht="15" hidden="0" customHeight="1">
      <x:c r="A692" s="12" t="str">
        <x:f>IF(Leads!A692="","",Leads!A692)</x:f>
      </x:c>
      <x:c r="B692" s="12" t="str">
        <x:f>IF(Leads!F692="","",Leads!F692)</x:f>
      </x:c>
      <x:c r="C692" s="12" t="str">
        <x:f>IF(Leads!G692="","",Leads!G692)</x:f>
      </x:c>
      <x:c r="D692" s="12" t="str">
        <x:f>IF(Leads!O692="","",Leads!O692)</x:f>
      </x:c>
      <x:c r="E692" s="12" t="str">
        <x:f>IF(Leads!AV692="","",Leads!AV692)</x:f>
      </x:c>
      <x:c r="F692" s="12" t="str">
        <x:f>IF(Leads!AX692="","",Leads!AX692)</x:f>
      </x:c>
      <x:c r="G692" s="12" t="str">
        <x:f>IF(Leads!BC692="","",Leads!BC692)</x:f>
      </x:c>
      <x:c r="H692" s="12" t="str">
        <x:f>IF(Leads!BE692="","",Leads!BE692)</x:f>
      </x:c>
      <x:c r="I692" s="12" t="str">
        <x:f>IF(Leads!BG692="","",Leads!BG692)</x:f>
      </x:c>
      <x:c r="J692" s="12" t="str">
        <x:f>IF(Leads!BH692="","",Leads!BH692)</x:f>
      </x:c>
      <x:c r="K692" s="12" t="str">
        <x:f>IF(A692="","","مرحبًا "&amp;C692&amp;CHAR(10)&amp;CHAR(10)&amp;"شكرًا لإتمام تقييم DBD الخاص بعيادة "&amp;B692&amp;"."&amp;CHAR(10)&amp;"نتيجتكم الحالية: "&amp;E692&amp;"%."&amp;CHAR(10)&amp;"أولوية التحسين الأولى: "&amp;F692&amp;"."&amp;IF(J692&lt;&gt;"",CHAR(10)&amp;CHAR(10)&amp;"رابط التقرير: "&amp;J692,"")&amp;CHAR(10)&amp;CHAR(10)&amp;"إذا أحببت، يمكننا مساعدتك في فهم التقرير وتحديد أفضل خطوة تالية لعيادتكم.")</x:f>
      </x:c>
      <x:c r="L692" s="12" t="str">
        <x:f>IF(D692="","",HYPERLINK("https://wa.me/"&amp;REGEXREPLACE(D692,"[^\d]","")&amp;"?text="&amp;ENCODEURL(K692),"واتساب 1"))</x:f>
      </x:c>
      <x:c r="M692" s="12" t="str">
        <x:f>IF(A692="","","مرحبًا "&amp;C692&amp;CHAR(10)&amp;CHAR(10)&amp;"بناءً على نتيجة تقييم عيادة "&amp;B692&amp;"، فإن الترشيح الأقوى لكم الآن هو: "&amp;G692&amp;"."&amp;CHAR(10)&amp;"هذا الخيار يساعدكم في معالجة أكبر فجوة حالية بشكل عملي ومباشر."&amp;IF(J692&lt;&gt;"",CHAR(10)&amp;CHAR(10)&amp;"رابط التقرير: "&amp;J692,"")&amp;CHAR(10)&amp;CHAR(10)&amp;"إذا رغبت، يمكننا توضيح لماذا هذا الكورس هو الأنسب لكم الآن.")</x:f>
      </x:c>
      <x:c r="N692" s="12" t="str">
        <x:f>IF(D692="","",HYPERLINK("https://wa.me/"&amp;REGEXREPLACE(D692,"[^\d]","")&amp;"?text="&amp;ENCODEURL(M692),"واتساب 2"))</x:f>
      </x:c>
      <x:c r="O692" s="12" t="str">
        <x:f>IF(A692="","","مرحبًا "&amp;C692&amp;CHAR(10)&amp;CHAR(10)&amp;"إذا كانت التحديات لديكم تحتاج حلًا أشمل، فالبرنامج الكامل المناسب لكم هو: "&amp;H692&amp;"."&amp;IF(I692&lt;&gt;"",CHAR(10)&amp;"كما يمكنكم أيضًا حجز: "&amp;I692&amp;".","")&amp;IF(J692&lt;&gt;"",CHAR(10)&amp;CHAR(10)&amp;"رابط التقرير: "&amp;J692,"")&amp;CHAR(10)&amp;CHAR(10)&amp;"يسعدنا مساعدتكم في اختيار المسار الأنسب حسب وضع العيادة الحالي.")</x:f>
      </x:c>
      <x:c r="P692" s="12" t="str">
        <x:f>IF(D692="","",HYPERLINK("https://wa.me/"&amp;REGEXREPLACE(D692,"[^\d]","")&amp;"?text="&amp;ENCODEURL(O692),"واتساب 3"))</x:f>
      </x:c>
    </x:row>
    <x:row r="693" ht="15" hidden="0" customHeight="1">
      <x:c r="A693" s="12" t="str">
        <x:f>IF(Leads!A693="","",Leads!A693)</x:f>
      </x:c>
      <x:c r="B693" s="12" t="str">
        <x:f>IF(Leads!F693="","",Leads!F693)</x:f>
      </x:c>
      <x:c r="C693" s="12" t="str">
        <x:f>IF(Leads!G693="","",Leads!G693)</x:f>
      </x:c>
      <x:c r="D693" s="12" t="str">
        <x:f>IF(Leads!O693="","",Leads!O693)</x:f>
      </x:c>
      <x:c r="E693" s="12" t="str">
        <x:f>IF(Leads!AV693="","",Leads!AV693)</x:f>
      </x:c>
      <x:c r="F693" s="12" t="str">
        <x:f>IF(Leads!AX693="","",Leads!AX693)</x:f>
      </x:c>
      <x:c r="G693" s="12" t="str">
        <x:f>IF(Leads!BC693="","",Leads!BC693)</x:f>
      </x:c>
      <x:c r="H693" s="12" t="str">
        <x:f>IF(Leads!BE693="","",Leads!BE693)</x:f>
      </x:c>
      <x:c r="I693" s="12" t="str">
        <x:f>IF(Leads!BG693="","",Leads!BG693)</x:f>
      </x:c>
      <x:c r="J693" s="12" t="str">
        <x:f>IF(Leads!BH693="","",Leads!BH693)</x:f>
      </x:c>
      <x:c r="K693" s="12" t="str">
        <x:f>IF(A693="","","مرحبًا "&amp;C693&amp;CHAR(10)&amp;CHAR(10)&amp;"شكرًا لإتمام تقييم DBD الخاص بعيادة "&amp;B693&amp;"."&amp;CHAR(10)&amp;"نتيجتكم الحالية: "&amp;E693&amp;"%."&amp;CHAR(10)&amp;"أولوية التحسين الأولى: "&amp;F693&amp;"."&amp;IF(J693&lt;&gt;"",CHAR(10)&amp;CHAR(10)&amp;"رابط التقرير: "&amp;J693,"")&amp;CHAR(10)&amp;CHAR(10)&amp;"إذا أحببت، يمكننا مساعدتك في فهم التقرير وتحديد أفضل خطوة تالية لعيادتكم.")</x:f>
      </x:c>
      <x:c r="L693" s="12" t="str">
        <x:f>IF(D693="","",HYPERLINK("https://wa.me/"&amp;REGEXREPLACE(D693,"[^\d]","")&amp;"?text="&amp;ENCODEURL(K693),"واتساب 1"))</x:f>
      </x:c>
      <x:c r="M693" s="12" t="str">
        <x:f>IF(A693="","","مرحبًا "&amp;C693&amp;CHAR(10)&amp;CHAR(10)&amp;"بناءً على نتيجة تقييم عيادة "&amp;B693&amp;"، فإن الترشيح الأقوى لكم الآن هو: "&amp;G693&amp;"."&amp;CHAR(10)&amp;"هذا الخيار يساعدكم في معالجة أكبر فجوة حالية بشكل عملي ومباشر."&amp;IF(J693&lt;&gt;"",CHAR(10)&amp;CHAR(10)&amp;"رابط التقرير: "&amp;J693,"")&amp;CHAR(10)&amp;CHAR(10)&amp;"إذا رغبت، يمكننا توضيح لماذا هذا الكورس هو الأنسب لكم الآن.")</x:f>
      </x:c>
      <x:c r="N693" s="12" t="str">
        <x:f>IF(D693="","",HYPERLINK("https://wa.me/"&amp;REGEXREPLACE(D693,"[^\d]","")&amp;"?text="&amp;ENCODEURL(M693),"واتساب 2"))</x:f>
      </x:c>
      <x:c r="O693" s="12" t="str">
        <x:f>IF(A693="","","مرحبًا "&amp;C693&amp;CHAR(10)&amp;CHAR(10)&amp;"إذا كانت التحديات لديكم تحتاج حلًا أشمل، فالبرنامج الكامل المناسب لكم هو: "&amp;H693&amp;"."&amp;IF(I693&lt;&gt;"",CHAR(10)&amp;"كما يمكنكم أيضًا حجز: "&amp;I693&amp;".","")&amp;IF(J693&lt;&gt;"",CHAR(10)&amp;CHAR(10)&amp;"رابط التقرير: "&amp;J693,"")&amp;CHAR(10)&amp;CHAR(10)&amp;"يسعدنا مساعدتكم في اختيار المسار الأنسب حسب وضع العيادة الحالي.")</x:f>
      </x:c>
      <x:c r="P693" s="12" t="str">
        <x:f>IF(D693="","",HYPERLINK("https://wa.me/"&amp;REGEXREPLACE(D693,"[^\d]","")&amp;"?text="&amp;ENCODEURL(O693),"واتساب 3"))</x:f>
      </x:c>
    </x:row>
    <x:row r="694" ht="15" hidden="0" customHeight="1">
      <x:c r="A694" s="12" t="str">
        <x:f>IF(Leads!A694="","",Leads!A694)</x:f>
      </x:c>
      <x:c r="B694" s="12" t="str">
        <x:f>IF(Leads!F694="","",Leads!F694)</x:f>
      </x:c>
      <x:c r="C694" s="12" t="str">
        <x:f>IF(Leads!G694="","",Leads!G694)</x:f>
      </x:c>
      <x:c r="D694" s="12" t="str">
        <x:f>IF(Leads!O694="","",Leads!O694)</x:f>
      </x:c>
      <x:c r="E694" s="12" t="str">
        <x:f>IF(Leads!AV694="","",Leads!AV694)</x:f>
      </x:c>
      <x:c r="F694" s="12" t="str">
        <x:f>IF(Leads!AX694="","",Leads!AX694)</x:f>
      </x:c>
      <x:c r="G694" s="12" t="str">
        <x:f>IF(Leads!BC694="","",Leads!BC694)</x:f>
      </x:c>
      <x:c r="H694" s="12" t="str">
        <x:f>IF(Leads!BE694="","",Leads!BE694)</x:f>
      </x:c>
      <x:c r="I694" s="12" t="str">
        <x:f>IF(Leads!BG694="","",Leads!BG694)</x:f>
      </x:c>
      <x:c r="J694" s="12" t="str">
        <x:f>IF(Leads!BH694="","",Leads!BH694)</x:f>
      </x:c>
      <x:c r="K694" s="12" t="str">
        <x:f>IF(A694="","","مرحبًا "&amp;C694&amp;CHAR(10)&amp;CHAR(10)&amp;"شكرًا لإتمام تقييم DBD الخاص بعيادة "&amp;B694&amp;"."&amp;CHAR(10)&amp;"نتيجتكم الحالية: "&amp;E694&amp;"%."&amp;CHAR(10)&amp;"أولوية التحسين الأولى: "&amp;F694&amp;"."&amp;IF(J694&lt;&gt;"",CHAR(10)&amp;CHAR(10)&amp;"رابط التقرير: "&amp;J694,"")&amp;CHAR(10)&amp;CHAR(10)&amp;"إذا أحببت، يمكننا مساعدتك في فهم التقرير وتحديد أفضل خطوة تالية لعيادتكم.")</x:f>
      </x:c>
      <x:c r="L694" s="12" t="str">
        <x:f>IF(D694="","",HYPERLINK("https://wa.me/"&amp;REGEXREPLACE(D694,"[^\d]","")&amp;"?text="&amp;ENCODEURL(K694),"واتساب 1"))</x:f>
      </x:c>
      <x:c r="M694" s="12" t="str">
        <x:f>IF(A694="","","مرحبًا "&amp;C694&amp;CHAR(10)&amp;CHAR(10)&amp;"بناءً على نتيجة تقييم عيادة "&amp;B694&amp;"، فإن الترشيح الأقوى لكم الآن هو: "&amp;G694&amp;"."&amp;CHAR(10)&amp;"هذا الخيار يساعدكم في معالجة أكبر فجوة حالية بشكل عملي ومباشر."&amp;IF(J694&lt;&gt;"",CHAR(10)&amp;CHAR(10)&amp;"رابط التقرير: "&amp;J694,"")&amp;CHAR(10)&amp;CHAR(10)&amp;"إذا رغبت، يمكننا توضيح لماذا هذا الكورس هو الأنسب لكم الآن.")</x:f>
      </x:c>
      <x:c r="N694" s="12" t="str">
        <x:f>IF(D694="","",HYPERLINK("https://wa.me/"&amp;REGEXREPLACE(D694,"[^\d]","")&amp;"?text="&amp;ENCODEURL(M694),"واتساب 2"))</x:f>
      </x:c>
      <x:c r="O694" s="12" t="str">
        <x:f>IF(A694="","","مرحبًا "&amp;C694&amp;CHAR(10)&amp;CHAR(10)&amp;"إذا كانت التحديات لديكم تحتاج حلًا أشمل، فالبرنامج الكامل المناسب لكم هو: "&amp;H694&amp;"."&amp;IF(I694&lt;&gt;"",CHAR(10)&amp;"كما يمكنكم أيضًا حجز: "&amp;I694&amp;".","")&amp;IF(J694&lt;&gt;"",CHAR(10)&amp;CHAR(10)&amp;"رابط التقرير: "&amp;J694,"")&amp;CHAR(10)&amp;CHAR(10)&amp;"يسعدنا مساعدتكم في اختيار المسار الأنسب حسب وضع العيادة الحالي.")</x:f>
      </x:c>
      <x:c r="P694" s="12" t="str">
        <x:f>IF(D694="","",HYPERLINK("https://wa.me/"&amp;REGEXREPLACE(D694,"[^\d]","")&amp;"?text="&amp;ENCODEURL(O694),"واتساب 3"))</x:f>
      </x:c>
    </x:row>
    <x:row r="695" ht="15" hidden="0" customHeight="1">
      <x:c r="A695" s="12" t="str">
        <x:f>IF(Leads!A695="","",Leads!A695)</x:f>
      </x:c>
      <x:c r="B695" s="12" t="str">
        <x:f>IF(Leads!F695="","",Leads!F695)</x:f>
      </x:c>
      <x:c r="C695" s="12" t="str">
        <x:f>IF(Leads!G695="","",Leads!G695)</x:f>
      </x:c>
      <x:c r="D695" s="12" t="str">
        <x:f>IF(Leads!O695="","",Leads!O695)</x:f>
      </x:c>
      <x:c r="E695" s="12" t="str">
        <x:f>IF(Leads!AV695="","",Leads!AV695)</x:f>
      </x:c>
      <x:c r="F695" s="12" t="str">
        <x:f>IF(Leads!AX695="","",Leads!AX695)</x:f>
      </x:c>
      <x:c r="G695" s="12" t="str">
        <x:f>IF(Leads!BC695="","",Leads!BC695)</x:f>
      </x:c>
      <x:c r="H695" s="12" t="str">
        <x:f>IF(Leads!BE695="","",Leads!BE695)</x:f>
      </x:c>
      <x:c r="I695" s="12" t="str">
        <x:f>IF(Leads!BG695="","",Leads!BG695)</x:f>
      </x:c>
      <x:c r="J695" s="12" t="str">
        <x:f>IF(Leads!BH695="","",Leads!BH695)</x:f>
      </x:c>
      <x:c r="K695" s="12" t="str">
        <x:f>IF(A695="","","مرحبًا "&amp;C695&amp;CHAR(10)&amp;CHAR(10)&amp;"شكرًا لإتمام تقييم DBD الخاص بعيادة "&amp;B695&amp;"."&amp;CHAR(10)&amp;"نتيجتكم الحالية: "&amp;E695&amp;"%."&amp;CHAR(10)&amp;"أولوية التحسين الأولى: "&amp;F695&amp;"."&amp;IF(J695&lt;&gt;"",CHAR(10)&amp;CHAR(10)&amp;"رابط التقرير: "&amp;J695,"")&amp;CHAR(10)&amp;CHAR(10)&amp;"إذا أحببت، يمكننا مساعدتك في فهم التقرير وتحديد أفضل خطوة تالية لعيادتكم.")</x:f>
      </x:c>
      <x:c r="L695" s="12" t="str">
        <x:f>IF(D695="","",HYPERLINK("https://wa.me/"&amp;REGEXREPLACE(D695,"[^\d]","")&amp;"?text="&amp;ENCODEURL(K695),"واتساب 1"))</x:f>
      </x:c>
      <x:c r="M695" s="12" t="str">
        <x:f>IF(A695="","","مرحبًا "&amp;C695&amp;CHAR(10)&amp;CHAR(10)&amp;"بناءً على نتيجة تقييم عيادة "&amp;B695&amp;"، فإن الترشيح الأقوى لكم الآن هو: "&amp;G695&amp;"."&amp;CHAR(10)&amp;"هذا الخيار يساعدكم في معالجة أكبر فجوة حالية بشكل عملي ومباشر."&amp;IF(J695&lt;&gt;"",CHAR(10)&amp;CHAR(10)&amp;"رابط التقرير: "&amp;J695,"")&amp;CHAR(10)&amp;CHAR(10)&amp;"إذا رغبت، يمكننا توضيح لماذا هذا الكورس هو الأنسب لكم الآن.")</x:f>
      </x:c>
      <x:c r="N695" s="12" t="str">
        <x:f>IF(D695="","",HYPERLINK("https://wa.me/"&amp;REGEXREPLACE(D695,"[^\d]","")&amp;"?text="&amp;ENCODEURL(M695),"واتساب 2"))</x:f>
      </x:c>
      <x:c r="O695" s="12" t="str">
        <x:f>IF(A695="","","مرحبًا "&amp;C695&amp;CHAR(10)&amp;CHAR(10)&amp;"إذا كانت التحديات لديكم تحتاج حلًا أشمل، فالبرنامج الكامل المناسب لكم هو: "&amp;H695&amp;"."&amp;IF(I695&lt;&gt;"",CHAR(10)&amp;"كما يمكنكم أيضًا حجز: "&amp;I695&amp;".","")&amp;IF(J695&lt;&gt;"",CHAR(10)&amp;CHAR(10)&amp;"رابط التقرير: "&amp;J695,"")&amp;CHAR(10)&amp;CHAR(10)&amp;"يسعدنا مساعدتكم في اختيار المسار الأنسب حسب وضع العيادة الحالي.")</x:f>
      </x:c>
      <x:c r="P695" s="12" t="str">
        <x:f>IF(D695="","",HYPERLINK("https://wa.me/"&amp;REGEXREPLACE(D695,"[^\d]","")&amp;"?text="&amp;ENCODEURL(O695),"واتساب 3"))</x:f>
      </x:c>
    </x:row>
    <x:row r="696" ht="15" hidden="0" customHeight="1">
      <x:c r="A696" s="12" t="str">
        <x:f>IF(Leads!A696="","",Leads!A696)</x:f>
      </x:c>
      <x:c r="B696" s="12" t="str">
        <x:f>IF(Leads!F696="","",Leads!F696)</x:f>
      </x:c>
      <x:c r="C696" s="12" t="str">
        <x:f>IF(Leads!G696="","",Leads!G696)</x:f>
      </x:c>
      <x:c r="D696" s="12" t="str">
        <x:f>IF(Leads!O696="","",Leads!O696)</x:f>
      </x:c>
      <x:c r="E696" s="12" t="str">
        <x:f>IF(Leads!AV696="","",Leads!AV696)</x:f>
      </x:c>
      <x:c r="F696" s="12" t="str">
        <x:f>IF(Leads!AX696="","",Leads!AX696)</x:f>
      </x:c>
      <x:c r="G696" s="12" t="str">
        <x:f>IF(Leads!BC696="","",Leads!BC696)</x:f>
      </x:c>
      <x:c r="H696" s="12" t="str">
        <x:f>IF(Leads!BE696="","",Leads!BE696)</x:f>
      </x:c>
      <x:c r="I696" s="12" t="str">
        <x:f>IF(Leads!BG696="","",Leads!BG696)</x:f>
      </x:c>
      <x:c r="J696" s="12" t="str">
        <x:f>IF(Leads!BH696="","",Leads!BH696)</x:f>
      </x:c>
      <x:c r="K696" s="12" t="str">
        <x:f>IF(A696="","","مرحبًا "&amp;C696&amp;CHAR(10)&amp;CHAR(10)&amp;"شكرًا لإتمام تقييم DBD الخاص بعيادة "&amp;B696&amp;"."&amp;CHAR(10)&amp;"نتيجتكم الحالية: "&amp;E696&amp;"%."&amp;CHAR(10)&amp;"أولوية التحسين الأولى: "&amp;F696&amp;"."&amp;IF(J696&lt;&gt;"",CHAR(10)&amp;CHAR(10)&amp;"رابط التقرير: "&amp;J696,"")&amp;CHAR(10)&amp;CHAR(10)&amp;"إذا أحببت، يمكننا مساعدتك في فهم التقرير وتحديد أفضل خطوة تالية لعيادتكم.")</x:f>
      </x:c>
      <x:c r="L696" s="12" t="str">
        <x:f>IF(D696="","",HYPERLINK("https://wa.me/"&amp;REGEXREPLACE(D696,"[^\d]","")&amp;"?text="&amp;ENCODEURL(K696),"واتساب 1"))</x:f>
      </x:c>
      <x:c r="M696" s="12" t="str">
        <x:f>IF(A696="","","مرحبًا "&amp;C696&amp;CHAR(10)&amp;CHAR(10)&amp;"بناءً على نتيجة تقييم عيادة "&amp;B696&amp;"، فإن الترشيح الأقوى لكم الآن هو: "&amp;G696&amp;"."&amp;CHAR(10)&amp;"هذا الخيار يساعدكم في معالجة أكبر فجوة حالية بشكل عملي ومباشر."&amp;IF(J696&lt;&gt;"",CHAR(10)&amp;CHAR(10)&amp;"رابط التقرير: "&amp;J696,"")&amp;CHAR(10)&amp;CHAR(10)&amp;"إذا رغبت، يمكننا توضيح لماذا هذا الكورس هو الأنسب لكم الآن.")</x:f>
      </x:c>
      <x:c r="N696" s="12" t="str">
        <x:f>IF(D696="","",HYPERLINK("https://wa.me/"&amp;REGEXREPLACE(D696,"[^\d]","")&amp;"?text="&amp;ENCODEURL(M696),"واتساب 2"))</x:f>
      </x:c>
      <x:c r="O696" s="12" t="str">
        <x:f>IF(A696="","","مرحبًا "&amp;C696&amp;CHAR(10)&amp;CHAR(10)&amp;"إذا كانت التحديات لديكم تحتاج حلًا أشمل، فالبرنامج الكامل المناسب لكم هو: "&amp;H696&amp;"."&amp;IF(I696&lt;&gt;"",CHAR(10)&amp;"كما يمكنكم أيضًا حجز: "&amp;I696&amp;".","")&amp;IF(J696&lt;&gt;"",CHAR(10)&amp;CHAR(10)&amp;"رابط التقرير: "&amp;J696,"")&amp;CHAR(10)&amp;CHAR(10)&amp;"يسعدنا مساعدتكم في اختيار المسار الأنسب حسب وضع العيادة الحالي.")</x:f>
      </x:c>
      <x:c r="P696" s="12" t="str">
        <x:f>IF(D696="","",HYPERLINK("https://wa.me/"&amp;REGEXREPLACE(D696,"[^\d]","")&amp;"?text="&amp;ENCODEURL(O696),"واتساب 3"))</x:f>
      </x:c>
    </x:row>
    <x:row r="697" ht="15" hidden="0" customHeight="1">
      <x:c r="A697" s="12" t="str">
        <x:f>IF(Leads!A697="","",Leads!A697)</x:f>
      </x:c>
      <x:c r="B697" s="12" t="str">
        <x:f>IF(Leads!F697="","",Leads!F697)</x:f>
      </x:c>
      <x:c r="C697" s="12" t="str">
        <x:f>IF(Leads!G697="","",Leads!G697)</x:f>
      </x:c>
      <x:c r="D697" s="12" t="str">
        <x:f>IF(Leads!O697="","",Leads!O697)</x:f>
      </x:c>
      <x:c r="E697" s="12" t="str">
        <x:f>IF(Leads!AV697="","",Leads!AV697)</x:f>
      </x:c>
      <x:c r="F697" s="12" t="str">
        <x:f>IF(Leads!AX697="","",Leads!AX697)</x:f>
      </x:c>
      <x:c r="G697" s="12" t="str">
        <x:f>IF(Leads!BC697="","",Leads!BC697)</x:f>
      </x:c>
      <x:c r="H697" s="12" t="str">
        <x:f>IF(Leads!BE697="","",Leads!BE697)</x:f>
      </x:c>
      <x:c r="I697" s="12" t="str">
        <x:f>IF(Leads!BG697="","",Leads!BG697)</x:f>
      </x:c>
      <x:c r="J697" s="12" t="str">
        <x:f>IF(Leads!BH697="","",Leads!BH697)</x:f>
      </x:c>
      <x:c r="K697" s="12" t="str">
        <x:f>IF(A697="","","مرحبًا "&amp;C697&amp;CHAR(10)&amp;CHAR(10)&amp;"شكرًا لإتمام تقييم DBD الخاص بعيادة "&amp;B697&amp;"."&amp;CHAR(10)&amp;"نتيجتكم الحالية: "&amp;E697&amp;"%."&amp;CHAR(10)&amp;"أولوية التحسين الأولى: "&amp;F697&amp;"."&amp;IF(J697&lt;&gt;"",CHAR(10)&amp;CHAR(10)&amp;"رابط التقرير: "&amp;J697,"")&amp;CHAR(10)&amp;CHAR(10)&amp;"إذا أحببت، يمكننا مساعدتك في فهم التقرير وتحديد أفضل خطوة تالية لعيادتكم.")</x:f>
      </x:c>
      <x:c r="L697" s="12" t="str">
        <x:f>IF(D697="","",HYPERLINK("https://wa.me/"&amp;REGEXREPLACE(D697,"[^\d]","")&amp;"?text="&amp;ENCODEURL(K697),"واتساب 1"))</x:f>
      </x:c>
      <x:c r="M697" s="12" t="str">
        <x:f>IF(A697="","","مرحبًا "&amp;C697&amp;CHAR(10)&amp;CHAR(10)&amp;"بناءً على نتيجة تقييم عيادة "&amp;B697&amp;"، فإن الترشيح الأقوى لكم الآن هو: "&amp;G697&amp;"."&amp;CHAR(10)&amp;"هذا الخيار يساعدكم في معالجة أكبر فجوة حالية بشكل عملي ومباشر."&amp;IF(J697&lt;&gt;"",CHAR(10)&amp;CHAR(10)&amp;"رابط التقرير: "&amp;J697,"")&amp;CHAR(10)&amp;CHAR(10)&amp;"إذا رغبت، يمكننا توضيح لماذا هذا الكورس هو الأنسب لكم الآن.")</x:f>
      </x:c>
      <x:c r="N697" s="12" t="str">
        <x:f>IF(D697="","",HYPERLINK("https://wa.me/"&amp;REGEXREPLACE(D697,"[^\d]","")&amp;"?text="&amp;ENCODEURL(M697),"واتساب 2"))</x:f>
      </x:c>
      <x:c r="O697" s="12" t="str">
        <x:f>IF(A697="","","مرحبًا "&amp;C697&amp;CHAR(10)&amp;CHAR(10)&amp;"إذا كانت التحديات لديكم تحتاج حلًا أشمل، فالبرنامج الكامل المناسب لكم هو: "&amp;H697&amp;"."&amp;IF(I697&lt;&gt;"",CHAR(10)&amp;"كما يمكنكم أيضًا حجز: "&amp;I697&amp;".","")&amp;IF(J697&lt;&gt;"",CHAR(10)&amp;CHAR(10)&amp;"رابط التقرير: "&amp;J697,"")&amp;CHAR(10)&amp;CHAR(10)&amp;"يسعدنا مساعدتكم في اختيار المسار الأنسب حسب وضع العيادة الحالي.")</x:f>
      </x:c>
      <x:c r="P697" s="12" t="str">
        <x:f>IF(D697="","",HYPERLINK("https://wa.me/"&amp;REGEXREPLACE(D697,"[^\d]","")&amp;"?text="&amp;ENCODEURL(O697),"واتساب 3"))</x:f>
      </x:c>
    </x:row>
    <x:row r="698" ht="15" hidden="0" customHeight="1">
      <x:c r="A698" s="12" t="str">
        <x:f>IF(Leads!A698="","",Leads!A698)</x:f>
      </x:c>
      <x:c r="B698" s="12" t="str">
        <x:f>IF(Leads!F698="","",Leads!F698)</x:f>
      </x:c>
      <x:c r="C698" s="12" t="str">
        <x:f>IF(Leads!G698="","",Leads!G698)</x:f>
      </x:c>
      <x:c r="D698" s="12" t="str">
        <x:f>IF(Leads!O698="","",Leads!O698)</x:f>
      </x:c>
      <x:c r="E698" s="12" t="str">
        <x:f>IF(Leads!AV698="","",Leads!AV698)</x:f>
      </x:c>
      <x:c r="F698" s="12" t="str">
        <x:f>IF(Leads!AX698="","",Leads!AX698)</x:f>
      </x:c>
      <x:c r="G698" s="12" t="str">
        <x:f>IF(Leads!BC698="","",Leads!BC698)</x:f>
      </x:c>
      <x:c r="H698" s="12" t="str">
        <x:f>IF(Leads!BE698="","",Leads!BE698)</x:f>
      </x:c>
      <x:c r="I698" s="12" t="str">
        <x:f>IF(Leads!BG698="","",Leads!BG698)</x:f>
      </x:c>
      <x:c r="J698" s="12" t="str">
        <x:f>IF(Leads!BH698="","",Leads!BH698)</x:f>
      </x:c>
      <x:c r="K698" s="12" t="str">
        <x:f>IF(A698="","","مرحبًا "&amp;C698&amp;CHAR(10)&amp;CHAR(10)&amp;"شكرًا لإتمام تقييم DBD الخاص بعيادة "&amp;B698&amp;"."&amp;CHAR(10)&amp;"نتيجتكم الحالية: "&amp;E698&amp;"%."&amp;CHAR(10)&amp;"أولوية التحسين الأولى: "&amp;F698&amp;"."&amp;IF(J698&lt;&gt;"",CHAR(10)&amp;CHAR(10)&amp;"رابط التقرير: "&amp;J698,"")&amp;CHAR(10)&amp;CHAR(10)&amp;"إذا أحببت، يمكننا مساعدتك في فهم التقرير وتحديد أفضل خطوة تالية لعيادتكم.")</x:f>
      </x:c>
      <x:c r="L698" s="12" t="str">
        <x:f>IF(D698="","",HYPERLINK("https://wa.me/"&amp;REGEXREPLACE(D698,"[^\d]","")&amp;"?text="&amp;ENCODEURL(K698),"واتساب 1"))</x:f>
      </x:c>
      <x:c r="M698" s="12" t="str">
        <x:f>IF(A698="","","مرحبًا "&amp;C698&amp;CHAR(10)&amp;CHAR(10)&amp;"بناءً على نتيجة تقييم عيادة "&amp;B698&amp;"، فإن الترشيح الأقوى لكم الآن هو: "&amp;G698&amp;"."&amp;CHAR(10)&amp;"هذا الخيار يساعدكم في معالجة أكبر فجوة حالية بشكل عملي ومباشر."&amp;IF(J698&lt;&gt;"",CHAR(10)&amp;CHAR(10)&amp;"رابط التقرير: "&amp;J698,"")&amp;CHAR(10)&amp;CHAR(10)&amp;"إذا رغبت، يمكننا توضيح لماذا هذا الكورس هو الأنسب لكم الآن.")</x:f>
      </x:c>
      <x:c r="N698" s="12" t="str">
        <x:f>IF(D698="","",HYPERLINK("https://wa.me/"&amp;REGEXREPLACE(D698,"[^\d]","")&amp;"?text="&amp;ENCODEURL(M698),"واتساب 2"))</x:f>
      </x:c>
      <x:c r="O698" s="12" t="str">
        <x:f>IF(A698="","","مرحبًا "&amp;C698&amp;CHAR(10)&amp;CHAR(10)&amp;"إذا كانت التحديات لديكم تحتاج حلًا أشمل، فالبرنامج الكامل المناسب لكم هو: "&amp;H698&amp;"."&amp;IF(I698&lt;&gt;"",CHAR(10)&amp;"كما يمكنكم أيضًا حجز: "&amp;I698&amp;".","")&amp;IF(J698&lt;&gt;"",CHAR(10)&amp;CHAR(10)&amp;"رابط التقرير: "&amp;J698,"")&amp;CHAR(10)&amp;CHAR(10)&amp;"يسعدنا مساعدتكم في اختيار المسار الأنسب حسب وضع العيادة الحالي.")</x:f>
      </x:c>
      <x:c r="P698" s="12" t="str">
        <x:f>IF(D698="","",HYPERLINK("https://wa.me/"&amp;REGEXREPLACE(D698,"[^\d]","")&amp;"?text="&amp;ENCODEURL(O698),"واتساب 3"))</x:f>
      </x:c>
    </x:row>
    <x:row r="699" ht="15" hidden="0" customHeight="1">
      <x:c r="A699" s="12" t="str">
        <x:f>IF(Leads!A699="","",Leads!A699)</x:f>
      </x:c>
      <x:c r="B699" s="12" t="str">
        <x:f>IF(Leads!F699="","",Leads!F699)</x:f>
      </x:c>
      <x:c r="C699" s="12" t="str">
        <x:f>IF(Leads!G699="","",Leads!G699)</x:f>
      </x:c>
      <x:c r="D699" s="12" t="str">
        <x:f>IF(Leads!O699="","",Leads!O699)</x:f>
      </x:c>
      <x:c r="E699" s="12" t="str">
        <x:f>IF(Leads!AV699="","",Leads!AV699)</x:f>
      </x:c>
      <x:c r="F699" s="12" t="str">
        <x:f>IF(Leads!AX699="","",Leads!AX699)</x:f>
      </x:c>
      <x:c r="G699" s="12" t="str">
        <x:f>IF(Leads!BC699="","",Leads!BC699)</x:f>
      </x:c>
      <x:c r="H699" s="12" t="str">
        <x:f>IF(Leads!BE699="","",Leads!BE699)</x:f>
      </x:c>
      <x:c r="I699" s="12" t="str">
        <x:f>IF(Leads!BG699="","",Leads!BG699)</x:f>
      </x:c>
      <x:c r="J699" s="12" t="str">
        <x:f>IF(Leads!BH699="","",Leads!BH699)</x:f>
      </x:c>
      <x:c r="K699" s="12" t="str">
        <x:f>IF(A699="","","مرحبًا "&amp;C699&amp;CHAR(10)&amp;CHAR(10)&amp;"شكرًا لإتمام تقييم DBD الخاص بعيادة "&amp;B699&amp;"."&amp;CHAR(10)&amp;"نتيجتكم الحالية: "&amp;E699&amp;"%."&amp;CHAR(10)&amp;"أولوية التحسين الأولى: "&amp;F699&amp;"."&amp;IF(J699&lt;&gt;"",CHAR(10)&amp;CHAR(10)&amp;"رابط التقرير: "&amp;J699,"")&amp;CHAR(10)&amp;CHAR(10)&amp;"إذا أحببت، يمكننا مساعدتك في فهم التقرير وتحديد أفضل خطوة تالية لعيادتكم.")</x:f>
      </x:c>
      <x:c r="L699" s="12" t="str">
        <x:f>IF(D699="","",HYPERLINK("https://wa.me/"&amp;REGEXREPLACE(D699,"[^\d]","")&amp;"?text="&amp;ENCODEURL(K699),"واتساب 1"))</x:f>
      </x:c>
      <x:c r="M699" s="12" t="str">
        <x:f>IF(A699="","","مرحبًا "&amp;C699&amp;CHAR(10)&amp;CHAR(10)&amp;"بناءً على نتيجة تقييم عيادة "&amp;B699&amp;"، فإن الترشيح الأقوى لكم الآن هو: "&amp;G699&amp;"."&amp;CHAR(10)&amp;"هذا الخيار يساعدكم في معالجة أكبر فجوة حالية بشكل عملي ومباشر."&amp;IF(J699&lt;&gt;"",CHAR(10)&amp;CHAR(10)&amp;"رابط التقرير: "&amp;J699,"")&amp;CHAR(10)&amp;CHAR(10)&amp;"إذا رغبت، يمكننا توضيح لماذا هذا الكورس هو الأنسب لكم الآن.")</x:f>
      </x:c>
      <x:c r="N699" s="12" t="str">
        <x:f>IF(D699="","",HYPERLINK("https://wa.me/"&amp;REGEXREPLACE(D699,"[^\d]","")&amp;"?text="&amp;ENCODEURL(M699),"واتساب 2"))</x:f>
      </x:c>
      <x:c r="O699" s="12" t="str">
        <x:f>IF(A699="","","مرحبًا "&amp;C699&amp;CHAR(10)&amp;CHAR(10)&amp;"إذا كانت التحديات لديكم تحتاج حلًا أشمل، فالبرنامج الكامل المناسب لكم هو: "&amp;H699&amp;"."&amp;IF(I699&lt;&gt;"",CHAR(10)&amp;"كما يمكنكم أيضًا حجز: "&amp;I699&amp;".","")&amp;IF(J699&lt;&gt;"",CHAR(10)&amp;CHAR(10)&amp;"رابط التقرير: "&amp;J699,"")&amp;CHAR(10)&amp;CHAR(10)&amp;"يسعدنا مساعدتكم في اختيار المسار الأنسب حسب وضع العيادة الحالي.")</x:f>
      </x:c>
      <x:c r="P699" s="12" t="str">
        <x:f>IF(D699="","",HYPERLINK("https://wa.me/"&amp;REGEXREPLACE(D699,"[^\d]","")&amp;"?text="&amp;ENCODEURL(O699),"واتساب 3"))</x:f>
      </x:c>
    </x:row>
    <x:row r="700" ht="15" hidden="0" customHeight="1">
      <x:c r="A700" s="12" t="str">
        <x:f>IF(Leads!A700="","",Leads!A700)</x:f>
      </x:c>
      <x:c r="B700" s="12" t="str">
        <x:f>IF(Leads!F700="","",Leads!F700)</x:f>
      </x:c>
      <x:c r="C700" s="12" t="str">
        <x:f>IF(Leads!G700="","",Leads!G700)</x:f>
      </x:c>
      <x:c r="D700" s="12" t="str">
        <x:f>IF(Leads!O700="","",Leads!O700)</x:f>
      </x:c>
      <x:c r="E700" s="12" t="str">
        <x:f>IF(Leads!AV700="","",Leads!AV700)</x:f>
      </x:c>
      <x:c r="F700" s="12" t="str">
        <x:f>IF(Leads!AX700="","",Leads!AX700)</x:f>
      </x:c>
      <x:c r="G700" s="12" t="str">
        <x:f>IF(Leads!BC700="","",Leads!BC700)</x:f>
      </x:c>
      <x:c r="H700" s="12" t="str">
        <x:f>IF(Leads!BE700="","",Leads!BE700)</x:f>
      </x:c>
      <x:c r="I700" s="12" t="str">
        <x:f>IF(Leads!BG700="","",Leads!BG700)</x:f>
      </x:c>
      <x:c r="J700" s="12" t="str">
        <x:f>IF(Leads!BH700="","",Leads!BH700)</x:f>
      </x:c>
      <x:c r="K700" s="12" t="str">
        <x:f>IF(A700="","","مرحبًا "&amp;C700&amp;CHAR(10)&amp;CHAR(10)&amp;"شكرًا لإتمام تقييم DBD الخاص بعيادة "&amp;B700&amp;"."&amp;CHAR(10)&amp;"نتيجتكم الحالية: "&amp;E700&amp;"%."&amp;CHAR(10)&amp;"أولوية التحسين الأولى: "&amp;F700&amp;"."&amp;IF(J700&lt;&gt;"",CHAR(10)&amp;CHAR(10)&amp;"رابط التقرير: "&amp;J700,"")&amp;CHAR(10)&amp;CHAR(10)&amp;"إذا أحببت، يمكننا مساعدتك في فهم التقرير وتحديد أفضل خطوة تالية لعيادتكم.")</x:f>
      </x:c>
      <x:c r="L700" s="12" t="str">
        <x:f>IF(D700="","",HYPERLINK("https://wa.me/"&amp;REGEXREPLACE(D700,"[^\d]","")&amp;"?text="&amp;ENCODEURL(K700),"واتساب 1"))</x:f>
      </x:c>
      <x:c r="M700" s="12" t="str">
        <x:f>IF(A700="","","مرحبًا "&amp;C700&amp;CHAR(10)&amp;CHAR(10)&amp;"بناءً على نتيجة تقييم عيادة "&amp;B700&amp;"، فإن الترشيح الأقوى لكم الآن هو: "&amp;G700&amp;"."&amp;CHAR(10)&amp;"هذا الخيار يساعدكم في معالجة أكبر فجوة حالية بشكل عملي ومباشر."&amp;IF(J700&lt;&gt;"",CHAR(10)&amp;CHAR(10)&amp;"رابط التقرير: "&amp;J700,"")&amp;CHAR(10)&amp;CHAR(10)&amp;"إذا رغبت، يمكننا توضيح لماذا هذا الكورس هو الأنسب لكم الآن.")</x:f>
      </x:c>
      <x:c r="N700" s="12" t="str">
        <x:f>IF(D700="","",HYPERLINK("https://wa.me/"&amp;REGEXREPLACE(D700,"[^\d]","")&amp;"?text="&amp;ENCODEURL(M700),"واتساب 2"))</x:f>
      </x:c>
      <x:c r="O700" s="12" t="str">
        <x:f>IF(A700="","","مرحبًا "&amp;C700&amp;CHAR(10)&amp;CHAR(10)&amp;"إذا كانت التحديات لديكم تحتاج حلًا أشمل، فالبرنامج الكامل المناسب لكم هو: "&amp;H700&amp;"."&amp;IF(I700&lt;&gt;"",CHAR(10)&amp;"كما يمكنكم أيضًا حجز: "&amp;I700&amp;".","")&amp;IF(J700&lt;&gt;"",CHAR(10)&amp;CHAR(10)&amp;"رابط التقرير: "&amp;J700,"")&amp;CHAR(10)&amp;CHAR(10)&amp;"يسعدنا مساعدتكم في اختيار المسار الأنسب حسب وضع العيادة الحالي.")</x:f>
      </x:c>
      <x:c r="P700" s="12" t="str">
        <x:f>IF(D700="","",HYPERLINK("https://wa.me/"&amp;REGEXREPLACE(D700,"[^\d]","")&amp;"?text="&amp;ENCODEURL(O700),"واتساب 3"))</x:f>
      </x:c>
    </x:row>
    <x:row r="701" ht="15" hidden="0" customHeight="1">
      <x:c r="A701" s="12" t="str">
        <x:f>IF(Leads!A701="","",Leads!A701)</x:f>
      </x:c>
      <x:c r="B701" s="12" t="str">
        <x:f>IF(Leads!F701="","",Leads!F701)</x:f>
      </x:c>
      <x:c r="C701" s="12" t="str">
        <x:f>IF(Leads!G701="","",Leads!G701)</x:f>
      </x:c>
      <x:c r="D701" s="12" t="str">
        <x:f>IF(Leads!O701="","",Leads!O701)</x:f>
      </x:c>
      <x:c r="E701" s="12" t="str">
        <x:f>IF(Leads!AV701="","",Leads!AV701)</x:f>
      </x:c>
      <x:c r="F701" s="12" t="str">
        <x:f>IF(Leads!AX701="","",Leads!AX701)</x:f>
      </x:c>
      <x:c r="G701" s="12" t="str">
        <x:f>IF(Leads!BC701="","",Leads!BC701)</x:f>
      </x:c>
      <x:c r="H701" s="12" t="str">
        <x:f>IF(Leads!BE701="","",Leads!BE701)</x:f>
      </x:c>
      <x:c r="I701" s="12" t="str">
        <x:f>IF(Leads!BG701="","",Leads!BG701)</x:f>
      </x:c>
      <x:c r="J701" s="12" t="str">
        <x:f>IF(Leads!BH701="","",Leads!BH701)</x:f>
      </x:c>
      <x:c r="K701" s="12" t="str">
        <x:f>IF(A701="","","مرحبًا "&amp;C701&amp;CHAR(10)&amp;CHAR(10)&amp;"شكرًا لإتمام تقييم DBD الخاص بعيادة "&amp;B701&amp;"."&amp;CHAR(10)&amp;"نتيجتكم الحالية: "&amp;E701&amp;"%."&amp;CHAR(10)&amp;"أولوية التحسين الأولى: "&amp;F701&amp;"."&amp;IF(J701&lt;&gt;"",CHAR(10)&amp;CHAR(10)&amp;"رابط التقرير: "&amp;J701,"")&amp;CHAR(10)&amp;CHAR(10)&amp;"إذا أحببت، يمكننا مساعدتك في فهم التقرير وتحديد أفضل خطوة تالية لعيادتكم.")</x:f>
      </x:c>
      <x:c r="L701" s="12" t="str">
        <x:f>IF(D701="","",HYPERLINK("https://wa.me/"&amp;REGEXREPLACE(D701,"[^\d]","")&amp;"?text="&amp;ENCODEURL(K701),"واتساب 1"))</x:f>
      </x:c>
      <x:c r="M701" s="12" t="str">
        <x:f>IF(A701="","","مرحبًا "&amp;C701&amp;CHAR(10)&amp;CHAR(10)&amp;"بناءً على نتيجة تقييم عيادة "&amp;B701&amp;"، فإن الترشيح الأقوى لكم الآن هو: "&amp;G701&amp;"."&amp;CHAR(10)&amp;"هذا الخيار يساعدكم في معالجة أكبر فجوة حالية بشكل عملي ومباشر."&amp;IF(J701&lt;&gt;"",CHAR(10)&amp;CHAR(10)&amp;"رابط التقرير: "&amp;J701,"")&amp;CHAR(10)&amp;CHAR(10)&amp;"إذا رغبت، يمكننا توضيح لماذا هذا الكورس هو الأنسب لكم الآن.")</x:f>
      </x:c>
      <x:c r="N701" s="12" t="str">
        <x:f>IF(D701="","",HYPERLINK("https://wa.me/"&amp;REGEXREPLACE(D701,"[^\d]","")&amp;"?text="&amp;ENCODEURL(M701),"واتساب 2"))</x:f>
      </x:c>
      <x:c r="O701" s="12" t="str">
        <x:f>IF(A701="","","مرحبًا "&amp;C701&amp;CHAR(10)&amp;CHAR(10)&amp;"إذا كانت التحديات لديكم تحتاج حلًا أشمل، فالبرنامج الكامل المناسب لكم هو: "&amp;H701&amp;"."&amp;IF(I701&lt;&gt;"",CHAR(10)&amp;"كما يمكنكم أيضًا حجز: "&amp;I701&amp;".","")&amp;IF(J701&lt;&gt;"",CHAR(10)&amp;CHAR(10)&amp;"رابط التقرير: "&amp;J701,"")&amp;CHAR(10)&amp;CHAR(10)&amp;"يسعدنا مساعدتكم في اختيار المسار الأنسب حسب وضع العيادة الحالي.")</x:f>
      </x:c>
      <x:c r="P701" s="12" t="str">
        <x:f>IF(D701="","",HYPERLINK("https://wa.me/"&amp;REGEXREPLACE(D701,"[^\d]","")&amp;"?text="&amp;ENCODEURL(O701),"واتساب 3"))</x:f>
      </x:c>
    </x:row>
    <x:row r="702" ht="15" hidden="0" customHeight="1">
      <x:c r="A702" s="12" t="str">
        <x:f>IF(Leads!A702="","",Leads!A702)</x:f>
      </x:c>
      <x:c r="B702" s="12" t="str">
        <x:f>IF(Leads!F702="","",Leads!F702)</x:f>
      </x:c>
      <x:c r="C702" s="12" t="str">
        <x:f>IF(Leads!G702="","",Leads!G702)</x:f>
      </x:c>
      <x:c r="D702" s="12" t="str">
        <x:f>IF(Leads!O702="","",Leads!O702)</x:f>
      </x:c>
      <x:c r="E702" s="12" t="str">
        <x:f>IF(Leads!AV702="","",Leads!AV702)</x:f>
      </x:c>
      <x:c r="F702" s="12" t="str">
        <x:f>IF(Leads!AX702="","",Leads!AX702)</x:f>
      </x:c>
      <x:c r="G702" s="12" t="str">
        <x:f>IF(Leads!BC702="","",Leads!BC702)</x:f>
      </x:c>
      <x:c r="H702" s="12" t="str">
        <x:f>IF(Leads!BE702="","",Leads!BE702)</x:f>
      </x:c>
      <x:c r="I702" s="12" t="str">
        <x:f>IF(Leads!BG702="","",Leads!BG702)</x:f>
      </x:c>
      <x:c r="J702" s="12" t="str">
        <x:f>IF(Leads!BH702="","",Leads!BH702)</x:f>
      </x:c>
      <x:c r="K702" s="12" t="str">
        <x:f>IF(A702="","","مرحبًا "&amp;C702&amp;CHAR(10)&amp;CHAR(10)&amp;"شكرًا لإتمام تقييم DBD الخاص بعيادة "&amp;B702&amp;"."&amp;CHAR(10)&amp;"نتيجتكم الحالية: "&amp;E702&amp;"%."&amp;CHAR(10)&amp;"أولوية التحسين الأولى: "&amp;F702&amp;"."&amp;IF(J702&lt;&gt;"",CHAR(10)&amp;CHAR(10)&amp;"رابط التقرير: "&amp;J702,"")&amp;CHAR(10)&amp;CHAR(10)&amp;"إذا أحببت، يمكننا مساعدتك في فهم التقرير وتحديد أفضل خطوة تالية لعيادتكم.")</x:f>
      </x:c>
      <x:c r="L702" s="12" t="str">
        <x:f>IF(D702="","",HYPERLINK("https://wa.me/"&amp;REGEXREPLACE(D702,"[^\d]","")&amp;"?text="&amp;ENCODEURL(K702),"واتساب 1"))</x:f>
      </x:c>
      <x:c r="M702" s="12" t="str">
        <x:f>IF(A702="","","مرحبًا "&amp;C702&amp;CHAR(10)&amp;CHAR(10)&amp;"بناءً على نتيجة تقييم عيادة "&amp;B702&amp;"، فإن الترشيح الأقوى لكم الآن هو: "&amp;G702&amp;"."&amp;CHAR(10)&amp;"هذا الخيار يساعدكم في معالجة أكبر فجوة حالية بشكل عملي ومباشر."&amp;IF(J702&lt;&gt;"",CHAR(10)&amp;CHAR(10)&amp;"رابط التقرير: "&amp;J702,"")&amp;CHAR(10)&amp;CHAR(10)&amp;"إذا رغبت، يمكننا توضيح لماذا هذا الكورس هو الأنسب لكم الآن.")</x:f>
      </x:c>
      <x:c r="N702" s="12" t="str">
        <x:f>IF(D702="","",HYPERLINK("https://wa.me/"&amp;REGEXREPLACE(D702,"[^\d]","")&amp;"?text="&amp;ENCODEURL(M702),"واتساب 2"))</x:f>
      </x:c>
      <x:c r="O702" s="12" t="str">
        <x:f>IF(A702="","","مرحبًا "&amp;C702&amp;CHAR(10)&amp;CHAR(10)&amp;"إذا كانت التحديات لديكم تحتاج حلًا أشمل، فالبرنامج الكامل المناسب لكم هو: "&amp;H702&amp;"."&amp;IF(I702&lt;&gt;"",CHAR(10)&amp;"كما يمكنكم أيضًا حجز: "&amp;I702&amp;".","")&amp;IF(J702&lt;&gt;"",CHAR(10)&amp;CHAR(10)&amp;"رابط التقرير: "&amp;J702,"")&amp;CHAR(10)&amp;CHAR(10)&amp;"يسعدنا مساعدتكم في اختيار المسار الأنسب حسب وضع العيادة الحالي.")</x:f>
      </x:c>
      <x:c r="P702" s="12" t="str">
        <x:f>IF(D702="","",HYPERLINK("https://wa.me/"&amp;REGEXREPLACE(D702,"[^\d]","")&amp;"?text="&amp;ENCODEURL(O702),"واتساب 3"))</x:f>
      </x:c>
    </x:row>
    <x:row r="703" ht="15" hidden="0" customHeight="1">
      <x:c r="A703" s="12" t="str">
        <x:f>IF(Leads!A703="","",Leads!A703)</x:f>
      </x:c>
      <x:c r="B703" s="12" t="str">
        <x:f>IF(Leads!F703="","",Leads!F703)</x:f>
      </x:c>
      <x:c r="C703" s="12" t="str">
        <x:f>IF(Leads!G703="","",Leads!G703)</x:f>
      </x:c>
      <x:c r="D703" s="12" t="str">
        <x:f>IF(Leads!O703="","",Leads!O703)</x:f>
      </x:c>
      <x:c r="E703" s="12" t="str">
        <x:f>IF(Leads!AV703="","",Leads!AV703)</x:f>
      </x:c>
      <x:c r="F703" s="12" t="str">
        <x:f>IF(Leads!AX703="","",Leads!AX703)</x:f>
      </x:c>
      <x:c r="G703" s="12" t="str">
        <x:f>IF(Leads!BC703="","",Leads!BC703)</x:f>
      </x:c>
      <x:c r="H703" s="12" t="str">
        <x:f>IF(Leads!BE703="","",Leads!BE703)</x:f>
      </x:c>
      <x:c r="I703" s="12" t="str">
        <x:f>IF(Leads!BG703="","",Leads!BG703)</x:f>
      </x:c>
      <x:c r="J703" s="12" t="str">
        <x:f>IF(Leads!BH703="","",Leads!BH703)</x:f>
      </x:c>
      <x:c r="K703" s="12" t="str">
        <x:f>IF(A703="","","مرحبًا "&amp;C703&amp;CHAR(10)&amp;CHAR(10)&amp;"شكرًا لإتمام تقييم DBD الخاص بعيادة "&amp;B703&amp;"."&amp;CHAR(10)&amp;"نتيجتكم الحالية: "&amp;E703&amp;"%."&amp;CHAR(10)&amp;"أولوية التحسين الأولى: "&amp;F703&amp;"."&amp;IF(J703&lt;&gt;"",CHAR(10)&amp;CHAR(10)&amp;"رابط التقرير: "&amp;J703,"")&amp;CHAR(10)&amp;CHAR(10)&amp;"إذا أحببت، يمكننا مساعدتك في فهم التقرير وتحديد أفضل خطوة تالية لعيادتكم.")</x:f>
      </x:c>
      <x:c r="L703" s="12" t="str">
        <x:f>IF(D703="","",HYPERLINK("https://wa.me/"&amp;REGEXREPLACE(D703,"[^\d]","")&amp;"?text="&amp;ENCODEURL(K703),"واتساب 1"))</x:f>
      </x:c>
      <x:c r="M703" s="12" t="str">
        <x:f>IF(A703="","","مرحبًا "&amp;C703&amp;CHAR(10)&amp;CHAR(10)&amp;"بناءً على نتيجة تقييم عيادة "&amp;B703&amp;"، فإن الترشيح الأقوى لكم الآن هو: "&amp;G703&amp;"."&amp;CHAR(10)&amp;"هذا الخيار يساعدكم في معالجة أكبر فجوة حالية بشكل عملي ومباشر."&amp;IF(J703&lt;&gt;"",CHAR(10)&amp;CHAR(10)&amp;"رابط التقرير: "&amp;J703,"")&amp;CHAR(10)&amp;CHAR(10)&amp;"إذا رغبت، يمكننا توضيح لماذا هذا الكورس هو الأنسب لكم الآن.")</x:f>
      </x:c>
      <x:c r="N703" s="12" t="str">
        <x:f>IF(D703="","",HYPERLINK("https://wa.me/"&amp;REGEXREPLACE(D703,"[^\d]","")&amp;"?text="&amp;ENCODEURL(M703),"واتساب 2"))</x:f>
      </x:c>
      <x:c r="O703" s="12" t="str">
        <x:f>IF(A703="","","مرحبًا "&amp;C703&amp;CHAR(10)&amp;CHAR(10)&amp;"إذا كانت التحديات لديكم تحتاج حلًا أشمل، فالبرنامج الكامل المناسب لكم هو: "&amp;H703&amp;"."&amp;IF(I703&lt;&gt;"",CHAR(10)&amp;"كما يمكنكم أيضًا حجز: "&amp;I703&amp;".","")&amp;IF(J703&lt;&gt;"",CHAR(10)&amp;CHAR(10)&amp;"رابط التقرير: "&amp;J703,"")&amp;CHAR(10)&amp;CHAR(10)&amp;"يسعدنا مساعدتكم في اختيار المسار الأنسب حسب وضع العيادة الحالي.")</x:f>
      </x:c>
      <x:c r="P703" s="12" t="str">
        <x:f>IF(D703="","",HYPERLINK("https://wa.me/"&amp;REGEXREPLACE(D703,"[^\d]","")&amp;"?text="&amp;ENCODEURL(O703),"واتساب 3"))</x:f>
      </x:c>
    </x:row>
    <x:row r="704" ht="15" hidden="0" customHeight="1">
      <x:c r="A704" s="12" t="str">
        <x:f>IF(Leads!A704="","",Leads!A704)</x:f>
      </x:c>
      <x:c r="B704" s="12" t="str">
        <x:f>IF(Leads!F704="","",Leads!F704)</x:f>
      </x:c>
      <x:c r="C704" s="12" t="str">
        <x:f>IF(Leads!G704="","",Leads!G704)</x:f>
      </x:c>
      <x:c r="D704" s="12" t="str">
        <x:f>IF(Leads!O704="","",Leads!O704)</x:f>
      </x:c>
      <x:c r="E704" s="12" t="str">
        <x:f>IF(Leads!AV704="","",Leads!AV704)</x:f>
      </x:c>
      <x:c r="F704" s="12" t="str">
        <x:f>IF(Leads!AX704="","",Leads!AX704)</x:f>
      </x:c>
      <x:c r="G704" s="12" t="str">
        <x:f>IF(Leads!BC704="","",Leads!BC704)</x:f>
      </x:c>
      <x:c r="H704" s="12" t="str">
        <x:f>IF(Leads!BE704="","",Leads!BE704)</x:f>
      </x:c>
      <x:c r="I704" s="12" t="str">
        <x:f>IF(Leads!BG704="","",Leads!BG704)</x:f>
      </x:c>
      <x:c r="J704" s="12" t="str">
        <x:f>IF(Leads!BH704="","",Leads!BH704)</x:f>
      </x:c>
      <x:c r="K704" s="12" t="str">
        <x:f>IF(A704="","","مرحبًا "&amp;C704&amp;CHAR(10)&amp;CHAR(10)&amp;"شكرًا لإتمام تقييم DBD الخاص بعيادة "&amp;B704&amp;"."&amp;CHAR(10)&amp;"نتيجتكم الحالية: "&amp;E704&amp;"%."&amp;CHAR(10)&amp;"أولوية التحسين الأولى: "&amp;F704&amp;"."&amp;IF(J704&lt;&gt;"",CHAR(10)&amp;CHAR(10)&amp;"رابط التقرير: "&amp;J704,"")&amp;CHAR(10)&amp;CHAR(10)&amp;"إذا أحببت، يمكننا مساعدتك في فهم التقرير وتحديد أفضل خطوة تالية لعيادتكم.")</x:f>
      </x:c>
      <x:c r="L704" s="12" t="str">
        <x:f>IF(D704="","",HYPERLINK("https://wa.me/"&amp;REGEXREPLACE(D704,"[^\d]","")&amp;"?text="&amp;ENCODEURL(K704),"واتساب 1"))</x:f>
      </x:c>
      <x:c r="M704" s="12" t="str">
        <x:f>IF(A704="","","مرحبًا "&amp;C704&amp;CHAR(10)&amp;CHAR(10)&amp;"بناءً على نتيجة تقييم عيادة "&amp;B704&amp;"، فإن الترشيح الأقوى لكم الآن هو: "&amp;G704&amp;"."&amp;CHAR(10)&amp;"هذا الخيار يساعدكم في معالجة أكبر فجوة حالية بشكل عملي ومباشر."&amp;IF(J704&lt;&gt;"",CHAR(10)&amp;CHAR(10)&amp;"رابط التقرير: "&amp;J704,"")&amp;CHAR(10)&amp;CHAR(10)&amp;"إذا رغبت، يمكننا توضيح لماذا هذا الكورس هو الأنسب لكم الآن.")</x:f>
      </x:c>
      <x:c r="N704" s="12" t="str">
        <x:f>IF(D704="","",HYPERLINK("https://wa.me/"&amp;REGEXREPLACE(D704,"[^\d]","")&amp;"?text="&amp;ENCODEURL(M704),"واتساب 2"))</x:f>
      </x:c>
      <x:c r="O704" s="12" t="str">
        <x:f>IF(A704="","","مرحبًا "&amp;C704&amp;CHAR(10)&amp;CHAR(10)&amp;"إذا كانت التحديات لديكم تحتاج حلًا أشمل، فالبرنامج الكامل المناسب لكم هو: "&amp;H704&amp;"."&amp;IF(I704&lt;&gt;"",CHAR(10)&amp;"كما يمكنكم أيضًا حجز: "&amp;I704&amp;".","")&amp;IF(J704&lt;&gt;"",CHAR(10)&amp;CHAR(10)&amp;"رابط التقرير: "&amp;J704,"")&amp;CHAR(10)&amp;CHAR(10)&amp;"يسعدنا مساعدتكم في اختيار المسار الأنسب حسب وضع العيادة الحالي.")</x:f>
      </x:c>
      <x:c r="P704" s="12" t="str">
        <x:f>IF(D704="","",HYPERLINK("https://wa.me/"&amp;REGEXREPLACE(D704,"[^\d]","")&amp;"?text="&amp;ENCODEURL(O704),"واتساب 3"))</x:f>
      </x:c>
    </x:row>
    <x:row r="705" ht="15" hidden="0" customHeight="1">
      <x:c r="A705" s="12" t="str">
        <x:f>IF(Leads!A705="","",Leads!A705)</x:f>
      </x:c>
      <x:c r="B705" s="12" t="str">
        <x:f>IF(Leads!F705="","",Leads!F705)</x:f>
      </x:c>
      <x:c r="C705" s="12" t="str">
        <x:f>IF(Leads!G705="","",Leads!G705)</x:f>
      </x:c>
      <x:c r="D705" s="12" t="str">
        <x:f>IF(Leads!O705="","",Leads!O705)</x:f>
      </x:c>
      <x:c r="E705" s="12" t="str">
        <x:f>IF(Leads!AV705="","",Leads!AV705)</x:f>
      </x:c>
      <x:c r="F705" s="12" t="str">
        <x:f>IF(Leads!AX705="","",Leads!AX705)</x:f>
      </x:c>
      <x:c r="G705" s="12" t="str">
        <x:f>IF(Leads!BC705="","",Leads!BC705)</x:f>
      </x:c>
      <x:c r="H705" s="12" t="str">
        <x:f>IF(Leads!BE705="","",Leads!BE705)</x:f>
      </x:c>
      <x:c r="I705" s="12" t="str">
        <x:f>IF(Leads!BG705="","",Leads!BG705)</x:f>
      </x:c>
      <x:c r="J705" s="12" t="str">
        <x:f>IF(Leads!BH705="","",Leads!BH705)</x:f>
      </x:c>
      <x:c r="K705" s="12" t="str">
        <x:f>IF(A705="","","مرحبًا "&amp;C705&amp;CHAR(10)&amp;CHAR(10)&amp;"شكرًا لإتمام تقييم DBD الخاص بعيادة "&amp;B705&amp;"."&amp;CHAR(10)&amp;"نتيجتكم الحالية: "&amp;E705&amp;"%."&amp;CHAR(10)&amp;"أولوية التحسين الأولى: "&amp;F705&amp;"."&amp;IF(J705&lt;&gt;"",CHAR(10)&amp;CHAR(10)&amp;"رابط التقرير: "&amp;J705,"")&amp;CHAR(10)&amp;CHAR(10)&amp;"إذا أحببت، يمكننا مساعدتك في فهم التقرير وتحديد أفضل خطوة تالية لعيادتكم.")</x:f>
      </x:c>
      <x:c r="L705" s="12" t="str">
        <x:f>IF(D705="","",HYPERLINK("https://wa.me/"&amp;REGEXREPLACE(D705,"[^\d]","")&amp;"?text="&amp;ENCODEURL(K705),"واتساب 1"))</x:f>
      </x:c>
      <x:c r="M705" s="12" t="str">
        <x:f>IF(A705="","","مرحبًا "&amp;C705&amp;CHAR(10)&amp;CHAR(10)&amp;"بناءً على نتيجة تقييم عيادة "&amp;B705&amp;"، فإن الترشيح الأقوى لكم الآن هو: "&amp;G705&amp;"."&amp;CHAR(10)&amp;"هذا الخيار يساعدكم في معالجة أكبر فجوة حالية بشكل عملي ومباشر."&amp;IF(J705&lt;&gt;"",CHAR(10)&amp;CHAR(10)&amp;"رابط التقرير: "&amp;J705,"")&amp;CHAR(10)&amp;CHAR(10)&amp;"إذا رغبت، يمكننا توضيح لماذا هذا الكورس هو الأنسب لكم الآن.")</x:f>
      </x:c>
      <x:c r="N705" s="12" t="str">
        <x:f>IF(D705="","",HYPERLINK("https://wa.me/"&amp;REGEXREPLACE(D705,"[^\d]","")&amp;"?text="&amp;ENCODEURL(M705),"واتساب 2"))</x:f>
      </x:c>
      <x:c r="O705" s="12" t="str">
        <x:f>IF(A705="","","مرحبًا "&amp;C705&amp;CHAR(10)&amp;CHAR(10)&amp;"إذا كانت التحديات لديكم تحتاج حلًا أشمل، فالبرنامج الكامل المناسب لكم هو: "&amp;H705&amp;"."&amp;IF(I705&lt;&gt;"",CHAR(10)&amp;"كما يمكنكم أيضًا حجز: "&amp;I705&amp;".","")&amp;IF(J705&lt;&gt;"",CHAR(10)&amp;CHAR(10)&amp;"رابط التقرير: "&amp;J705,"")&amp;CHAR(10)&amp;CHAR(10)&amp;"يسعدنا مساعدتكم في اختيار المسار الأنسب حسب وضع العيادة الحالي.")</x:f>
      </x:c>
      <x:c r="P705" s="12" t="str">
        <x:f>IF(D705="","",HYPERLINK("https://wa.me/"&amp;REGEXREPLACE(D705,"[^\d]","")&amp;"?text="&amp;ENCODEURL(O705),"واتساب 3"))</x:f>
      </x:c>
    </x:row>
    <x:row r="706" ht="15" hidden="0" customHeight="1">
      <x:c r="A706" s="12" t="str">
        <x:f>IF(Leads!A706="","",Leads!A706)</x:f>
      </x:c>
      <x:c r="B706" s="12" t="str">
        <x:f>IF(Leads!F706="","",Leads!F706)</x:f>
      </x:c>
      <x:c r="C706" s="12" t="str">
        <x:f>IF(Leads!G706="","",Leads!G706)</x:f>
      </x:c>
      <x:c r="D706" s="12" t="str">
        <x:f>IF(Leads!O706="","",Leads!O706)</x:f>
      </x:c>
      <x:c r="E706" s="12" t="str">
        <x:f>IF(Leads!AV706="","",Leads!AV706)</x:f>
      </x:c>
      <x:c r="F706" s="12" t="str">
        <x:f>IF(Leads!AX706="","",Leads!AX706)</x:f>
      </x:c>
      <x:c r="G706" s="12" t="str">
        <x:f>IF(Leads!BC706="","",Leads!BC706)</x:f>
      </x:c>
      <x:c r="H706" s="12" t="str">
        <x:f>IF(Leads!BE706="","",Leads!BE706)</x:f>
      </x:c>
      <x:c r="I706" s="12" t="str">
        <x:f>IF(Leads!BG706="","",Leads!BG706)</x:f>
      </x:c>
      <x:c r="J706" s="12" t="str">
        <x:f>IF(Leads!BH706="","",Leads!BH706)</x:f>
      </x:c>
      <x:c r="K706" s="12" t="str">
        <x:f>IF(A706="","","مرحبًا "&amp;C706&amp;CHAR(10)&amp;CHAR(10)&amp;"شكرًا لإتمام تقييم DBD الخاص بعيادة "&amp;B706&amp;"."&amp;CHAR(10)&amp;"نتيجتكم الحالية: "&amp;E706&amp;"%."&amp;CHAR(10)&amp;"أولوية التحسين الأولى: "&amp;F706&amp;"."&amp;IF(J706&lt;&gt;"",CHAR(10)&amp;CHAR(10)&amp;"رابط التقرير: "&amp;J706,"")&amp;CHAR(10)&amp;CHAR(10)&amp;"إذا أحببت، يمكننا مساعدتك في فهم التقرير وتحديد أفضل خطوة تالية لعيادتكم.")</x:f>
      </x:c>
      <x:c r="L706" s="12" t="str">
        <x:f>IF(D706="","",HYPERLINK("https://wa.me/"&amp;REGEXREPLACE(D706,"[^\d]","")&amp;"?text="&amp;ENCODEURL(K706),"واتساب 1"))</x:f>
      </x:c>
      <x:c r="M706" s="12" t="str">
        <x:f>IF(A706="","","مرحبًا "&amp;C706&amp;CHAR(10)&amp;CHAR(10)&amp;"بناءً على نتيجة تقييم عيادة "&amp;B706&amp;"، فإن الترشيح الأقوى لكم الآن هو: "&amp;G706&amp;"."&amp;CHAR(10)&amp;"هذا الخيار يساعدكم في معالجة أكبر فجوة حالية بشكل عملي ومباشر."&amp;IF(J706&lt;&gt;"",CHAR(10)&amp;CHAR(10)&amp;"رابط التقرير: "&amp;J706,"")&amp;CHAR(10)&amp;CHAR(10)&amp;"إذا رغبت، يمكننا توضيح لماذا هذا الكورس هو الأنسب لكم الآن.")</x:f>
      </x:c>
      <x:c r="N706" s="12" t="str">
        <x:f>IF(D706="","",HYPERLINK("https://wa.me/"&amp;REGEXREPLACE(D706,"[^\d]","")&amp;"?text="&amp;ENCODEURL(M706),"واتساب 2"))</x:f>
      </x:c>
      <x:c r="O706" s="12" t="str">
        <x:f>IF(A706="","","مرحبًا "&amp;C706&amp;CHAR(10)&amp;CHAR(10)&amp;"إذا كانت التحديات لديكم تحتاج حلًا أشمل، فالبرنامج الكامل المناسب لكم هو: "&amp;H706&amp;"."&amp;IF(I706&lt;&gt;"",CHAR(10)&amp;"كما يمكنكم أيضًا حجز: "&amp;I706&amp;".","")&amp;IF(J706&lt;&gt;"",CHAR(10)&amp;CHAR(10)&amp;"رابط التقرير: "&amp;J706,"")&amp;CHAR(10)&amp;CHAR(10)&amp;"يسعدنا مساعدتكم في اختيار المسار الأنسب حسب وضع العيادة الحالي.")</x:f>
      </x:c>
      <x:c r="P706" s="12" t="str">
        <x:f>IF(D706="","",HYPERLINK("https://wa.me/"&amp;REGEXREPLACE(D706,"[^\d]","")&amp;"?text="&amp;ENCODEURL(O706),"واتساب 3"))</x:f>
      </x:c>
    </x:row>
    <x:row r="707" ht="15" hidden="0" customHeight="1">
      <x:c r="A707" s="12" t="str">
        <x:f>IF(Leads!A707="","",Leads!A707)</x:f>
      </x:c>
      <x:c r="B707" s="12" t="str">
        <x:f>IF(Leads!F707="","",Leads!F707)</x:f>
      </x:c>
      <x:c r="C707" s="12" t="str">
        <x:f>IF(Leads!G707="","",Leads!G707)</x:f>
      </x:c>
      <x:c r="D707" s="12" t="str">
        <x:f>IF(Leads!O707="","",Leads!O707)</x:f>
      </x:c>
      <x:c r="E707" s="12" t="str">
        <x:f>IF(Leads!AV707="","",Leads!AV707)</x:f>
      </x:c>
      <x:c r="F707" s="12" t="str">
        <x:f>IF(Leads!AX707="","",Leads!AX707)</x:f>
      </x:c>
      <x:c r="G707" s="12" t="str">
        <x:f>IF(Leads!BC707="","",Leads!BC707)</x:f>
      </x:c>
      <x:c r="H707" s="12" t="str">
        <x:f>IF(Leads!BE707="","",Leads!BE707)</x:f>
      </x:c>
      <x:c r="I707" s="12" t="str">
        <x:f>IF(Leads!BG707="","",Leads!BG707)</x:f>
      </x:c>
      <x:c r="J707" s="12" t="str">
        <x:f>IF(Leads!BH707="","",Leads!BH707)</x:f>
      </x:c>
      <x:c r="K707" s="12" t="str">
        <x:f>IF(A707="","","مرحبًا "&amp;C707&amp;CHAR(10)&amp;CHAR(10)&amp;"شكرًا لإتمام تقييم DBD الخاص بعيادة "&amp;B707&amp;"."&amp;CHAR(10)&amp;"نتيجتكم الحالية: "&amp;E707&amp;"%."&amp;CHAR(10)&amp;"أولوية التحسين الأولى: "&amp;F707&amp;"."&amp;IF(J707&lt;&gt;"",CHAR(10)&amp;CHAR(10)&amp;"رابط التقرير: "&amp;J707,"")&amp;CHAR(10)&amp;CHAR(10)&amp;"إذا أحببت، يمكننا مساعدتك في فهم التقرير وتحديد أفضل خطوة تالية لعيادتكم.")</x:f>
      </x:c>
      <x:c r="L707" s="12" t="str">
        <x:f>IF(D707="","",HYPERLINK("https://wa.me/"&amp;REGEXREPLACE(D707,"[^\d]","")&amp;"?text="&amp;ENCODEURL(K707),"واتساب 1"))</x:f>
      </x:c>
      <x:c r="M707" s="12" t="str">
        <x:f>IF(A707="","","مرحبًا "&amp;C707&amp;CHAR(10)&amp;CHAR(10)&amp;"بناءً على نتيجة تقييم عيادة "&amp;B707&amp;"، فإن الترشيح الأقوى لكم الآن هو: "&amp;G707&amp;"."&amp;CHAR(10)&amp;"هذا الخيار يساعدكم في معالجة أكبر فجوة حالية بشكل عملي ومباشر."&amp;IF(J707&lt;&gt;"",CHAR(10)&amp;CHAR(10)&amp;"رابط التقرير: "&amp;J707,"")&amp;CHAR(10)&amp;CHAR(10)&amp;"إذا رغبت، يمكننا توضيح لماذا هذا الكورس هو الأنسب لكم الآن.")</x:f>
      </x:c>
      <x:c r="N707" s="12" t="str">
        <x:f>IF(D707="","",HYPERLINK("https://wa.me/"&amp;REGEXREPLACE(D707,"[^\d]","")&amp;"?text="&amp;ENCODEURL(M707),"واتساب 2"))</x:f>
      </x:c>
      <x:c r="O707" s="12" t="str">
        <x:f>IF(A707="","","مرحبًا "&amp;C707&amp;CHAR(10)&amp;CHAR(10)&amp;"إذا كانت التحديات لديكم تحتاج حلًا أشمل، فالبرنامج الكامل المناسب لكم هو: "&amp;H707&amp;"."&amp;IF(I707&lt;&gt;"",CHAR(10)&amp;"كما يمكنكم أيضًا حجز: "&amp;I707&amp;".","")&amp;IF(J707&lt;&gt;"",CHAR(10)&amp;CHAR(10)&amp;"رابط التقرير: "&amp;J707,"")&amp;CHAR(10)&amp;CHAR(10)&amp;"يسعدنا مساعدتكم في اختيار المسار الأنسب حسب وضع العيادة الحالي.")</x:f>
      </x:c>
      <x:c r="P707" s="12" t="str">
        <x:f>IF(D707="","",HYPERLINK("https://wa.me/"&amp;REGEXREPLACE(D707,"[^\d]","")&amp;"?text="&amp;ENCODEURL(O707),"واتساب 3"))</x:f>
      </x:c>
    </x:row>
    <x:row r="708" ht="15" hidden="0" customHeight="1">
      <x:c r="A708" s="12" t="str">
        <x:f>IF(Leads!A708="","",Leads!A708)</x:f>
      </x:c>
      <x:c r="B708" s="12" t="str">
        <x:f>IF(Leads!F708="","",Leads!F708)</x:f>
      </x:c>
      <x:c r="C708" s="12" t="str">
        <x:f>IF(Leads!G708="","",Leads!G708)</x:f>
      </x:c>
      <x:c r="D708" s="12" t="str">
        <x:f>IF(Leads!O708="","",Leads!O708)</x:f>
      </x:c>
      <x:c r="E708" s="12" t="str">
        <x:f>IF(Leads!AV708="","",Leads!AV708)</x:f>
      </x:c>
      <x:c r="F708" s="12" t="str">
        <x:f>IF(Leads!AX708="","",Leads!AX708)</x:f>
      </x:c>
      <x:c r="G708" s="12" t="str">
        <x:f>IF(Leads!BC708="","",Leads!BC708)</x:f>
      </x:c>
      <x:c r="H708" s="12" t="str">
        <x:f>IF(Leads!BE708="","",Leads!BE708)</x:f>
      </x:c>
      <x:c r="I708" s="12" t="str">
        <x:f>IF(Leads!BG708="","",Leads!BG708)</x:f>
      </x:c>
      <x:c r="J708" s="12" t="str">
        <x:f>IF(Leads!BH708="","",Leads!BH708)</x:f>
      </x:c>
      <x:c r="K708" s="12" t="str">
        <x:f>IF(A708="","","مرحبًا "&amp;C708&amp;CHAR(10)&amp;CHAR(10)&amp;"شكرًا لإتمام تقييم DBD الخاص بعيادة "&amp;B708&amp;"."&amp;CHAR(10)&amp;"نتيجتكم الحالية: "&amp;E708&amp;"%."&amp;CHAR(10)&amp;"أولوية التحسين الأولى: "&amp;F708&amp;"."&amp;IF(J708&lt;&gt;"",CHAR(10)&amp;CHAR(10)&amp;"رابط التقرير: "&amp;J708,"")&amp;CHAR(10)&amp;CHAR(10)&amp;"إذا أحببت، يمكننا مساعدتك في فهم التقرير وتحديد أفضل خطوة تالية لعيادتكم.")</x:f>
      </x:c>
      <x:c r="L708" s="12" t="str">
        <x:f>IF(D708="","",HYPERLINK("https://wa.me/"&amp;REGEXREPLACE(D708,"[^\d]","")&amp;"?text="&amp;ENCODEURL(K708),"واتساب 1"))</x:f>
      </x:c>
      <x:c r="M708" s="12" t="str">
        <x:f>IF(A708="","","مرحبًا "&amp;C708&amp;CHAR(10)&amp;CHAR(10)&amp;"بناءً على نتيجة تقييم عيادة "&amp;B708&amp;"، فإن الترشيح الأقوى لكم الآن هو: "&amp;G708&amp;"."&amp;CHAR(10)&amp;"هذا الخيار يساعدكم في معالجة أكبر فجوة حالية بشكل عملي ومباشر."&amp;IF(J708&lt;&gt;"",CHAR(10)&amp;CHAR(10)&amp;"رابط التقرير: "&amp;J708,"")&amp;CHAR(10)&amp;CHAR(10)&amp;"إذا رغبت، يمكننا توضيح لماذا هذا الكورس هو الأنسب لكم الآن.")</x:f>
      </x:c>
      <x:c r="N708" s="12" t="str">
        <x:f>IF(D708="","",HYPERLINK("https://wa.me/"&amp;REGEXREPLACE(D708,"[^\d]","")&amp;"?text="&amp;ENCODEURL(M708),"واتساب 2"))</x:f>
      </x:c>
      <x:c r="O708" s="12" t="str">
        <x:f>IF(A708="","","مرحبًا "&amp;C708&amp;CHAR(10)&amp;CHAR(10)&amp;"إذا كانت التحديات لديكم تحتاج حلًا أشمل، فالبرنامج الكامل المناسب لكم هو: "&amp;H708&amp;"."&amp;IF(I708&lt;&gt;"",CHAR(10)&amp;"كما يمكنكم أيضًا حجز: "&amp;I708&amp;".","")&amp;IF(J708&lt;&gt;"",CHAR(10)&amp;CHAR(10)&amp;"رابط التقرير: "&amp;J708,"")&amp;CHAR(10)&amp;CHAR(10)&amp;"يسعدنا مساعدتكم في اختيار المسار الأنسب حسب وضع العيادة الحالي.")</x:f>
      </x:c>
      <x:c r="P708" s="12" t="str">
        <x:f>IF(D708="","",HYPERLINK("https://wa.me/"&amp;REGEXREPLACE(D708,"[^\d]","")&amp;"?text="&amp;ENCODEURL(O708),"واتساب 3"))</x:f>
      </x:c>
    </x:row>
    <x:row r="709" ht="15" hidden="0" customHeight="1">
      <x:c r="A709" s="12" t="str">
        <x:f>IF(Leads!A709="","",Leads!A709)</x:f>
      </x:c>
      <x:c r="B709" s="12" t="str">
        <x:f>IF(Leads!F709="","",Leads!F709)</x:f>
      </x:c>
      <x:c r="C709" s="12" t="str">
        <x:f>IF(Leads!G709="","",Leads!G709)</x:f>
      </x:c>
      <x:c r="D709" s="12" t="str">
        <x:f>IF(Leads!O709="","",Leads!O709)</x:f>
      </x:c>
      <x:c r="E709" s="12" t="str">
        <x:f>IF(Leads!AV709="","",Leads!AV709)</x:f>
      </x:c>
      <x:c r="F709" s="12" t="str">
        <x:f>IF(Leads!AX709="","",Leads!AX709)</x:f>
      </x:c>
      <x:c r="G709" s="12" t="str">
        <x:f>IF(Leads!BC709="","",Leads!BC709)</x:f>
      </x:c>
      <x:c r="H709" s="12" t="str">
        <x:f>IF(Leads!BE709="","",Leads!BE709)</x:f>
      </x:c>
      <x:c r="I709" s="12" t="str">
        <x:f>IF(Leads!BG709="","",Leads!BG709)</x:f>
      </x:c>
      <x:c r="J709" s="12" t="str">
        <x:f>IF(Leads!BH709="","",Leads!BH709)</x:f>
      </x:c>
      <x:c r="K709" s="12" t="str">
        <x:f>IF(A709="","","مرحبًا "&amp;C709&amp;CHAR(10)&amp;CHAR(10)&amp;"شكرًا لإتمام تقييم DBD الخاص بعيادة "&amp;B709&amp;"."&amp;CHAR(10)&amp;"نتيجتكم الحالية: "&amp;E709&amp;"%."&amp;CHAR(10)&amp;"أولوية التحسين الأولى: "&amp;F709&amp;"."&amp;IF(J709&lt;&gt;"",CHAR(10)&amp;CHAR(10)&amp;"رابط التقرير: "&amp;J709,"")&amp;CHAR(10)&amp;CHAR(10)&amp;"إذا أحببت، يمكننا مساعدتك في فهم التقرير وتحديد أفضل خطوة تالية لعيادتكم.")</x:f>
      </x:c>
      <x:c r="L709" s="12" t="str">
        <x:f>IF(D709="","",HYPERLINK("https://wa.me/"&amp;REGEXREPLACE(D709,"[^\d]","")&amp;"?text="&amp;ENCODEURL(K709),"واتساب 1"))</x:f>
      </x:c>
      <x:c r="M709" s="12" t="str">
        <x:f>IF(A709="","","مرحبًا "&amp;C709&amp;CHAR(10)&amp;CHAR(10)&amp;"بناءً على نتيجة تقييم عيادة "&amp;B709&amp;"، فإن الترشيح الأقوى لكم الآن هو: "&amp;G709&amp;"."&amp;CHAR(10)&amp;"هذا الخيار يساعدكم في معالجة أكبر فجوة حالية بشكل عملي ومباشر."&amp;IF(J709&lt;&gt;"",CHAR(10)&amp;CHAR(10)&amp;"رابط التقرير: "&amp;J709,"")&amp;CHAR(10)&amp;CHAR(10)&amp;"إذا رغبت، يمكننا توضيح لماذا هذا الكورس هو الأنسب لكم الآن.")</x:f>
      </x:c>
      <x:c r="N709" s="12" t="str">
        <x:f>IF(D709="","",HYPERLINK("https://wa.me/"&amp;REGEXREPLACE(D709,"[^\d]","")&amp;"?text="&amp;ENCODEURL(M709),"واتساب 2"))</x:f>
      </x:c>
      <x:c r="O709" s="12" t="str">
        <x:f>IF(A709="","","مرحبًا "&amp;C709&amp;CHAR(10)&amp;CHAR(10)&amp;"إذا كانت التحديات لديكم تحتاج حلًا أشمل، فالبرنامج الكامل المناسب لكم هو: "&amp;H709&amp;"."&amp;IF(I709&lt;&gt;"",CHAR(10)&amp;"كما يمكنكم أيضًا حجز: "&amp;I709&amp;".","")&amp;IF(J709&lt;&gt;"",CHAR(10)&amp;CHAR(10)&amp;"رابط التقرير: "&amp;J709,"")&amp;CHAR(10)&amp;CHAR(10)&amp;"يسعدنا مساعدتكم في اختيار المسار الأنسب حسب وضع العيادة الحالي.")</x:f>
      </x:c>
      <x:c r="P709" s="12" t="str">
        <x:f>IF(D709="","",HYPERLINK("https://wa.me/"&amp;REGEXREPLACE(D709,"[^\d]","")&amp;"?text="&amp;ENCODEURL(O709),"واتساب 3"))</x:f>
      </x:c>
    </x:row>
    <x:row r="710" ht="15" hidden="0" customHeight="1">
      <x:c r="A710" s="12" t="str">
        <x:f>IF(Leads!A710="","",Leads!A710)</x:f>
      </x:c>
      <x:c r="B710" s="12" t="str">
        <x:f>IF(Leads!F710="","",Leads!F710)</x:f>
      </x:c>
      <x:c r="C710" s="12" t="str">
        <x:f>IF(Leads!G710="","",Leads!G710)</x:f>
      </x:c>
      <x:c r="D710" s="12" t="str">
        <x:f>IF(Leads!O710="","",Leads!O710)</x:f>
      </x:c>
      <x:c r="E710" s="12" t="str">
        <x:f>IF(Leads!AV710="","",Leads!AV710)</x:f>
      </x:c>
      <x:c r="F710" s="12" t="str">
        <x:f>IF(Leads!AX710="","",Leads!AX710)</x:f>
      </x:c>
      <x:c r="G710" s="12" t="str">
        <x:f>IF(Leads!BC710="","",Leads!BC710)</x:f>
      </x:c>
      <x:c r="H710" s="12" t="str">
        <x:f>IF(Leads!BE710="","",Leads!BE710)</x:f>
      </x:c>
      <x:c r="I710" s="12" t="str">
        <x:f>IF(Leads!BG710="","",Leads!BG710)</x:f>
      </x:c>
      <x:c r="J710" s="12" t="str">
        <x:f>IF(Leads!BH710="","",Leads!BH710)</x:f>
      </x:c>
      <x:c r="K710" s="12" t="str">
        <x:f>IF(A710="","","مرحبًا "&amp;C710&amp;CHAR(10)&amp;CHAR(10)&amp;"شكرًا لإتمام تقييم DBD الخاص بعيادة "&amp;B710&amp;"."&amp;CHAR(10)&amp;"نتيجتكم الحالية: "&amp;E710&amp;"%."&amp;CHAR(10)&amp;"أولوية التحسين الأولى: "&amp;F710&amp;"."&amp;IF(J710&lt;&gt;"",CHAR(10)&amp;CHAR(10)&amp;"رابط التقرير: "&amp;J710,"")&amp;CHAR(10)&amp;CHAR(10)&amp;"إذا أحببت، يمكننا مساعدتك في فهم التقرير وتحديد أفضل خطوة تالية لعيادتكم.")</x:f>
      </x:c>
      <x:c r="L710" s="12" t="str">
        <x:f>IF(D710="","",HYPERLINK("https://wa.me/"&amp;REGEXREPLACE(D710,"[^\d]","")&amp;"?text="&amp;ENCODEURL(K710),"واتساب 1"))</x:f>
      </x:c>
      <x:c r="M710" s="12" t="str">
        <x:f>IF(A710="","","مرحبًا "&amp;C710&amp;CHAR(10)&amp;CHAR(10)&amp;"بناءً على نتيجة تقييم عيادة "&amp;B710&amp;"، فإن الترشيح الأقوى لكم الآن هو: "&amp;G710&amp;"."&amp;CHAR(10)&amp;"هذا الخيار يساعدكم في معالجة أكبر فجوة حالية بشكل عملي ومباشر."&amp;IF(J710&lt;&gt;"",CHAR(10)&amp;CHAR(10)&amp;"رابط التقرير: "&amp;J710,"")&amp;CHAR(10)&amp;CHAR(10)&amp;"إذا رغبت، يمكننا توضيح لماذا هذا الكورس هو الأنسب لكم الآن.")</x:f>
      </x:c>
      <x:c r="N710" s="12" t="str">
        <x:f>IF(D710="","",HYPERLINK("https://wa.me/"&amp;REGEXREPLACE(D710,"[^\d]","")&amp;"?text="&amp;ENCODEURL(M710),"واتساب 2"))</x:f>
      </x:c>
      <x:c r="O710" s="12" t="str">
        <x:f>IF(A710="","","مرحبًا "&amp;C710&amp;CHAR(10)&amp;CHAR(10)&amp;"إذا كانت التحديات لديكم تحتاج حلًا أشمل، فالبرنامج الكامل المناسب لكم هو: "&amp;H710&amp;"."&amp;IF(I710&lt;&gt;"",CHAR(10)&amp;"كما يمكنكم أيضًا حجز: "&amp;I710&amp;".","")&amp;IF(J710&lt;&gt;"",CHAR(10)&amp;CHAR(10)&amp;"رابط التقرير: "&amp;J710,"")&amp;CHAR(10)&amp;CHAR(10)&amp;"يسعدنا مساعدتكم في اختيار المسار الأنسب حسب وضع العيادة الحالي.")</x:f>
      </x:c>
      <x:c r="P710" s="12" t="str">
        <x:f>IF(D710="","",HYPERLINK("https://wa.me/"&amp;REGEXREPLACE(D710,"[^\d]","")&amp;"?text="&amp;ENCODEURL(O710),"واتساب 3"))</x:f>
      </x:c>
    </x:row>
    <x:row r="711" ht="15" hidden="0" customHeight="1">
      <x:c r="A711" s="12" t="str">
        <x:f>IF(Leads!A711="","",Leads!A711)</x:f>
      </x:c>
      <x:c r="B711" s="12" t="str">
        <x:f>IF(Leads!F711="","",Leads!F711)</x:f>
      </x:c>
      <x:c r="C711" s="12" t="str">
        <x:f>IF(Leads!G711="","",Leads!G711)</x:f>
      </x:c>
      <x:c r="D711" s="12" t="str">
        <x:f>IF(Leads!O711="","",Leads!O711)</x:f>
      </x:c>
      <x:c r="E711" s="12" t="str">
        <x:f>IF(Leads!AV711="","",Leads!AV711)</x:f>
      </x:c>
      <x:c r="F711" s="12" t="str">
        <x:f>IF(Leads!AX711="","",Leads!AX711)</x:f>
      </x:c>
      <x:c r="G711" s="12" t="str">
        <x:f>IF(Leads!BC711="","",Leads!BC711)</x:f>
      </x:c>
      <x:c r="H711" s="12" t="str">
        <x:f>IF(Leads!BE711="","",Leads!BE711)</x:f>
      </x:c>
      <x:c r="I711" s="12" t="str">
        <x:f>IF(Leads!BG711="","",Leads!BG711)</x:f>
      </x:c>
      <x:c r="J711" s="12" t="str">
        <x:f>IF(Leads!BH711="","",Leads!BH711)</x:f>
      </x:c>
      <x:c r="K711" s="12" t="str">
        <x:f>IF(A711="","","مرحبًا "&amp;C711&amp;CHAR(10)&amp;CHAR(10)&amp;"شكرًا لإتمام تقييم DBD الخاص بعيادة "&amp;B711&amp;"."&amp;CHAR(10)&amp;"نتيجتكم الحالية: "&amp;E711&amp;"%."&amp;CHAR(10)&amp;"أولوية التحسين الأولى: "&amp;F711&amp;"."&amp;IF(J711&lt;&gt;"",CHAR(10)&amp;CHAR(10)&amp;"رابط التقرير: "&amp;J711,"")&amp;CHAR(10)&amp;CHAR(10)&amp;"إذا أحببت، يمكننا مساعدتك في فهم التقرير وتحديد أفضل خطوة تالية لعيادتكم.")</x:f>
      </x:c>
      <x:c r="L711" s="12" t="str">
        <x:f>IF(D711="","",HYPERLINK("https://wa.me/"&amp;REGEXREPLACE(D711,"[^\d]","")&amp;"?text="&amp;ENCODEURL(K711),"واتساب 1"))</x:f>
      </x:c>
      <x:c r="M711" s="12" t="str">
        <x:f>IF(A711="","","مرحبًا "&amp;C711&amp;CHAR(10)&amp;CHAR(10)&amp;"بناءً على نتيجة تقييم عيادة "&amp;B711&amp;"، فإن الترشيح الأقوى لكم الآن هو: "&amp;G711&amp;"."&amp;CHAR(10)&amp;"هذا الخيار يساعدكم في معالجة أكبر فجوة حالية بشكل عملي ومباشر."&amp;IF(J711&lt;&gt;"",CHAR(10)&amp;CHAR(10)&amp;"رابط التقرير: "&amp;J711,"")&amp;CHAR(10)&amp;CHAR(10)&amp;"إذا رغبت، يمكننا توضيح لماذا هذا الكورس هو الأنسب لكم الآن.")</x:f>
      </x:c>
      <x:c r="N711" s="12" t="str">
        <x:f>IF(D711="","",HYPERLINK("https://wa.me/"&amp;REGEXREPLACE(D711,"[^\d]","")&amp;"?text="&amp;ENCODEURL(M711),"واتساب 2"))</x:f>
      </x:c>
      <x:c r="O711" s="12" t="str">
        <x:f>IF(A711="","","مرحبًا "&amp;C711&amp;CHAR(10)&amp;CHAR(10)&amp;"إذا كانت التحديات لديكم تحتاج حلًا أشمل، فالبرنامج الكامل المناسب لكم هو: "&amp;H711&amp;"."&amp;IF(I711&lt;&gt;"",CHAR(10)&amp;"كما يمكنكم أيضًا حجز: "&amp;I711&amp;".","")&amp;IF(J711&lt;&gt;"",CHAR(10)&amp;CHAR(10)&amp;"رابط التقرير: "&amp;J711,"")&amp;CHAR(10)&amp;CHAR(10)&amp;"يسعدنا مساعدتكم في اختيار المسار الأنسب حسب وضع العيادة الحالي.")</x:f>
      </x:c>
      <x:c r="P711" s="12" t="str">
        <x:f>IF(D711="","",HYPERLINK("https://wa.me/"&amp;REGEXREPLACE(D711,"[^\d]","")&amp;"?text="&amp;ENCODEURL(O711),"واتساب 3"))</x:f>
      </x:c>
    </x:row>
    <x:row r="712" ht="15" hidden="0" customHeight="1">
      <x:c r="A712" s="12" t="str">
        <x:f>IF(Leads!A712="","",Leads!A712)</x:f>
      </x:c>
      <x:c r="B712" s="12" t="str">
        <x:f>IF(Leads!F712="","",Leads!F712)</x:f>
      </x:c>
      <x:c r="C712" s="12" t="str">
        <x:f>IF(Leads!G712="","",Leads!G712)</x:f>
      </x:c>
      <x:c r="D712" s="12" t="str">
        <x:f>IF(Leads!O712="","",Leads!O712)</x:f>
      </x:c>
      <x:c r="E712" s="12" t="str">
        <x:f>IF(Leads!AV712="","",Leads!AV712)</x:f>
      </x:c>
      <x:c r="F712" s="12" t="str">
        <x:f>IF(Leads!AX712="","",Leads!AX712)</x:f>
      </x:c>
      <x:c r="G712" s="12" t="str">
        <x:f>IF(Leads!BC712="","",Leads!BC712)</x:f>
      </x:c>
      <x:c r="H712" s="12" t="str">
        <x:f>IF(Leads!BE712="","",Leads!BE712)</x:f>
      </x:c>
      <x:c r="I712" s="12" t="str">
        <x:f>IF(Leads!BG712="","",Leads!BG712)</x:f>
      </x:c>
      <x:c r="J712" s="12" t="str">
        <x:f>IF(Leads!BH712="","",Leads!BH712)</x:f>
      </x:c>
      <x:c r="K712" s="12" t="str">
        <x:f>IF(A712="","","مرحبًا "&amp;C712&amp;CHAR(10)&amp;CHAR(10)&amp;"شكرًا لإتمام تقييم DBD الخاص بعيادة "&amp;B712&amp;"."&amp;CHAR(10)&amp;"نتيجتكم الحالية: "&amp;E712&amp;"%."&amp;CHAR(10)&amp;"أولوية التحسين الأولى: "&amp;F712&amp;"."&amp;IF(J712&lt;&gt;"",CHAR(10)&amp;CHAR(10)&amp;"رابط التقرير: "&amp;J712,"")&amp;CHAR(10)&amp;CHAR(10)&amp;"إذا أحببت، يمكننا مساعدتك في فهم التقرير وتحديد أفضل خطوة تالية لعيادتكم.")</x:f>
      </x:c>
      <x:c r="L712" s="12" t="str">
        <x:f>IF(D712="","",HYPERLINK("https://wa.me/"&amp;REGEXREPLACE(D712,"[^\d]","")&amp;"?text="&amp;ENCODEURL(K712),"واتساب 1"))</x:f>
      </x:c>
      <x:c r="M712" s="12" t="str">
        <x:f>IF(A712="","","مرحبًا "&amp;C712&amp;CHAR(10)&amp;CHAR(10)&amp;"بناءً على نتيجة تقييم عيادة "&amp;B712&amp;"، فإن الترشيح الأقوى لكم الآن هو: "&amp;G712&amp;"."&amp;CHAR(10)&amp;"هذا الخيار يساعدكم في معالجة أكبر فجوة حالية بشكل عملي ومباشر."&amp;IF(J712&lt;&gt;"",CHAR(10)&amp;CHAR(10)&amp;"رابط التقرير: "&amp;J712,"")&amp;CHAR(10)&amp;CHAR(10)&amp;"إذا رغبت، يمكننا توضيح لماذا هذا الكورس هو الأنسب لكم الآن.")</x:f>
      </x:c>
      <x:c r="N712" s="12" t="str">
        <x:f>IF(D712="","",HYPERLINK("https://wa.me/"&amp;REGEXREPLACE(D712,"[^\d]","")&amp;"?text="&amp;ENCODEURL(M712),"واتساب 2"))</x:f>
      </x:c>
      <x:c r="O712" s="12" t="str">
        <x:f>IF(A712="","","مرحبًا "&amp;C712&amp;CHAR(10)&amp;CHAR(10)&amp;"إذا كانت التحديات لديكم تحتاج حلًا أشمل، فالبرنامج الكامل المناسب لكم هو: "&amp;H712&amp;"."&amp;IF(I712&lt;&gt;"",CHAR(10)&amp;"كما يمكنكم أيضًا حجز: "&amp;I712&amp;".","")&amp;IF(J712&lt;&gt;"",CHAR(10)&amp;CHAR(10)&amp;"رابط التقرير: "&amp;J712,"")&amp;CHAR(10)&amp;CHAR(10)&amp;"يسعدنا مساعدتكم في اختيار المسار الأنسب حسب وضع العيادة الحالي.")</x:f>
      </x:c>
      <x:c r="P712" s="12" t="str">
        <x:f>IF(D712="","",HYPERLINK("https://wa.me/"&amp;REGEXREPLACE(D712,"[^\d]","")&amp;"?text="&amp;ENCODEURL(O712),"واتساب 3"))</x:f>
      </x:c>
    </x:row>
    <x:row r="713" ht="15" hidden="0" customHeight="1">
      <x:c r="A713" s="12" t="str">
        <x:f>IF(Leads!A713="","",Leads!A713)</x:f>
      </x:c>
      <x:c r="B713" s="12" t="str">
        <x:f>IF(Leads!F713="","",Leads!F713)</x:f>
      </x:c>
      <x:c r="C713" s="12" t="str">
        <x:f>IF(Leads!G713="","",Leads!G713)</x:f>
      </x:c>
      <x:c r="D713" s="12" t="str">
        <x:f>IF(Leads!O713="","",Leads!O713)</x:f>
      </x:c>
      <x:c r="E713" s="12" t="str">
        <x:f>IF(Leads!AV713="","",Leads!AV713)</x:f>
      </x:c>
      <x:c r="F713" s="12" t="str">
        <x:f>IF(Leads!AX713="","",Leads!AX713)</x:f>
      </x:c>
      <x:c r="G713" s="12" t="str">
        <x:f>IF(Leads!BC713="","",Leads!BC713)</x:f>
      </x:c>
      <x:c r="H713" s="12" t="str">
        <x:f>IF(Leads!BE713="","",Leads!BE713)</x:f>
      </x:c>
      <x:c r="I713" s="12" t="str">
        <x:f>IF(Leads!BG713="","",Leads!BG713)</x:f>
      </x:c>
      <x:c r="J713" s="12" t="str">
        <x:f>IF(Leads!BH713="","",Leads!BH713)</x:f>
      </x:c>
      <x:c r="K713" s="12" t="str">
        <x:f>IF(A713="","","مرحبًا "&amp;C713&amp;CHAR(10)&amp;CHAR(10)&amp;"شكرًا لإتمام تقييم DBD الخاص بعيادة "&amp;B713&amp;"."&amp;CHAR(10)&amp;"نتيجتكم الحالية: "&amp;E713&amp;"%."&amp;CHAR(10)&amp;"أولوية التحسين الأولى: "&amp;F713&amp;"."&amp;IF(J713&lt;&gt;"",CHAR(10)&amp;CHAR(10)&amp;"رابط التقرير: "&amp;J713,"")&amp;CHAR(10)&amp;CHAR(10)&amp;"إذا أحببت، يمكننا مساعدتك في فهم التقرير وتحديد أفضل خطوة تالية لعيادتكم.")</x:f>
      </x:c>
      <x:c r="L713" s="12" t="str">
        <x:f>IF(D713="","",HYPERLINK("https://wa.me/"&amp;REGEXREPLACE(D713,"[^\d]","")&amp;"?text="&amp;ENCODEURL(K713),"واتساب 1"))</x:f>
      </x:c>
      <x:c r="M713" s="12" t="str">
        <x:f>IF(A713="","","مرحبًا "&amp;C713&amp;CHAR(10)&amp;CHAR(10)&amp;"بناءً على نتيجة تقييم عيادة "&amp;B713&amp;"، فإن الترشيح الأقوى لكم الآن هو: "&amp;G713&amp;"."&amp;CHAR(10)&amp;"هذا الخيار يساعدكم في معالجة أكبر فجوة حالية بشكل عملي ومباشر."&amp;IF(J713&lt;&gt;"",CHAR(10)&amp;CHAR(10)&amp;"رابط التقرير: "&amp;J713,"")&amp;CHAR(10)&amp;CHAR(10)&amp;"إذا رغبت، يمكننا توضيح لماذا هذا الكورس هو الأنسب لكم الآن.")</x:f>
      </x:c>
      <x:c r="N713" s="12" t="str">
        <x:f>IF(D713="","",HYPERLINK("https://wa.me/"&amp;REGEXREPLACE(D713,"[^\d]","")&amp;"?text="&amp;ENCODEURL(M713),"واتساب 2"))</x:f>
      </x:c>
      <x:c r="O713" s="12" t="str">
        <x:f>IF(A713="","","مرحبًا "&amp;C713&amp;CHAR(10)&amp;CHAR(10)&amp;"إذا كانت التحديات لديكم تحتاج حلًا أشمل، فالبرنامج الكامل المناسب لكم هو: "&amp;H713&amp;"."&amp;IF(I713&lt;&gt;"",CHAR(10)&amp;"كما يمكنكم أيضًا حجز: "&amp;I713&amp;".","")&amp;IF(J713&lt;&gt;"",CHAR(10)&amp;CHAR(10)&amp;"رابط التقرير: "&amp;J713,"")&amp;CHAR(10)&amp;CHAR(10)&amp;"يسعدنا مساعدتكم في اختيار المسار الأنسب حسب وضع العيادة الحالي.")</x:f>
      </x:c>
      <x:c r="P713" s="12" t="str">
        <x:f>IF(D713="","",HYPERLINK("https://wa.me/"&amp;REGEXREPLACE(D713,"[^\d]","")&amp;"?text="&amp;ENCODEURL(O713),"واتساب 3"))</x:f>
      </x:c>
    </x:row>
    <x:row r="714" ht="15" hidden="0" customHeight="1">
      <x:c r="A714" s="12" t="str">
        <x:f>IF(Leads!A714="","",Leads!A714)</x:f>
      </x:c>
      <x:c r="B714" s="12" t="str">
        <x:f>IF(Leads!F714="","",Leads!F714)</x:f>
      </x:c>
      <x:c r="C714" s="12" t="str">
        <x:f>IF(Leads!G714="","",Leads!G714)</x:f>
      </x:c>
      <x:c r="D714" s="12" t="str">
        <x:f>IF(Leads!O714="","",Leads!O714)</x:f>
      </x:c>
      <x:c r="E714" s="12" t="str">
        <x:f>IF(Leads!AV714="","",Leads!AV714)</x:f>
      </x:c>
      <x:c r="F714" s="12" t="str">
        <x:f>IF(Leads!AX714="","",Leads!AX714)</x:f>
      </x:c>
      <x:c r="G714" s="12" t="str">
        <x:f>IF(Leads!BC714="","",Leads!BC714)</x:f>
      </x:c>
      <x:c r="H714" s="12" t="str">
        <x:f>IF(Leads!BE714="","",Leads!BE714)</x:f>
      </x:c>
      <x:c r="I714" s="12" t="str">
        <x:f>IF(Leads!BG714="","",Leads!BG714)</x:f>
      </x:c>
      <x:c r="J714" s="12" t="str">
        <x:f>IF(Leads!BH714="","",Leads!BH714)</x:f>
      </x:c>
      <x:c r="K714" s="12" t="str">
        <x:f>IF(A714="","","مرحبًا "&amp;C714&amp;CHAR(10)&amp;CHAR(10)&amp;"شكرًا لإتمام تقييم DBD الخاص بعيادة "&amp;B714&amp;"."&amp;CHAR(10)&amp;"نتيجتكم الحالية: "&amp;E714&amp;"%."&amp;CHAR(10)&amp;"أولوية التحسين الأولى: "&amp;F714&amp;"."&amp;IF(J714&lt;&gt;"",CHAR(10)&amp;CHAR(10)&amp;"رابط التقرير: "&amp;J714,"")&amp;CHAR(10)&amp;CHAR(10)&amp;"إذا أحببت، يمكننا مساعدتك في فهم التقرير وتحديد أفضل خطوة تالية لعيادتكم.")</x:f>
      </x:c>
      <x:c r="L714" s="12" t="str">
        <x:f>IF(D714="","",HYPERLINK("https://wa.me/"&amp;REGEXREPLACE(D714,"[^\d]","")&amp;"?text="&amp;ENCODEURL(K714),"واتساب 1"))</x:f>
      </x:c>
      <x:c r="M714" s="12" t="str">
        <x:f>IF(A714="","","مرحبًا "&amp;C714&amp;CHAR(10)&amp;CHAR(10)&amp;"بناءً على نتيجة تقييم عيادة "&amp;B714&amp;"، فإن الترشيح الأقوى لكم الآن هو: "&amp;G714&amp;"."&amp;CHAR(10)&amp;"هذا الخيار يساعدكم في معالجة أكبر فجوة حالية بشكل عملي ومباشر."&amp;IF(J714&lt;&gt;"",CHAR(10)&amp;CHAR(10)&amp;"رابط التقرير: "&amp;J714,"")&amp;CHAR(10)&amp;CHAR(10)&amp;"إذا رغبت، يمكننا توضيح لماذا هذا الكورس هو الأنسب لكم الآن.")</x:f>
      </x:c>
      <x:c r="N714" s="12" t="str">
        <x:f>IF(D714="","",HYPERLINK("https://wa.me/"&amp;REGEXREPLACE(D714,"[^\d]","")&amp;"?text="&amp;ENCODEURL(M714),"واتساب 2"))</x:f>
      </x:c>
      <x:c r="O714" s="12" t="str">
        <x:f>IF(A714="","","مرحبًا "&amp;C714&amp;CHAR(10)&amp;CHAR(10)&amp;"إذا كانت التحديات لديكم تحتاج حلًا أشمل، فالبرنامج الكامل المناسب لكم هو: "&amp;H714&amp;"."&amp;IF(I714&lt;&gt;"",CHAR(10)&amp;"كما يمكنكم أيضًا حجز: "&amp;I714&amp;".","")&amp;IF(J714&lt;&gt;"",CHAR(10)&amp;CHAR(10)&amp;"رابط التقرير: "&amp;J714,"")&amp;CHAR(10)&amp;CHAR(10)&amp;"يسعدنا مساعدتكم في اختيار المسار الأنسب حسب وضع العيادة الحالي.")</x:f>
      </x:c>
      <x:c r="P714" s="12" t="str">
        <x:f>IF(D714="","",HYPERLINK("https://wa.me/"&amp;REGEXREPLACE(D714,"[^\d]","")&amp;"?text="&amp;ENCODEURL(O714),"واتساب 3"))</x:f>
      </x:c>
    </x:row>
    <x:row r="715" ht="15" hidden="0" customHeight="1">
      <x:c r="A715" s="12" t="str">
        <x:f>IF(Leads!A715="","",Leads!A715)</x:f>
      </x:c>
      <x:c r="B715" s="12" t="str">
        <x:f>IF(Leads!F715="","",Leads!F715)</x:f>
      </x:c>
      <x:c r="C715" s="12" t="str">
        <x:f>IF(Leads!G715="","",Leads!G715)</x:f>
      </x:c>
      <x:c r="D715" s="12" t="str">
        <x:f>IF(Leads!O715="","",Leads!O715)</x:f>
      </x:c>
      <x:c r="E715" s="12" t="str">
        <x:f>IF(Leads!AV715="","",Leads!AV715)</x:f>
      </x:c>
      <x:c r="F715" s="12" t="str">
        <x:f>IF(Leads!AX715="","",Leads!AX715)</x:f>
      </x:c>
      <x:c r="G715" s="12" t="str">
        <x:f>IF(Leads!BC715="","",Leads!BC715)</x:f>
      </x:c>
      <x:c r="H715" s="12" t="str">
        <x:f>IF(Leads!BE715="","",Leads!BE715)</x:f>
      </x:c>
      <x:c r="I715" s="12" t="str">
        <x:f>IF(Leads!BG715="","",Leads!BG715)</x:f>
      </x:c>
      <x:c r="J715" s="12" t="str">
        <x:f>IF(Leads!BH715="","",Leads!BH715)</x:f>
      </x:c>
      <x:c r="K715" s="12" t="str">
        <x:f>IF(A715="","","مرحبًا "&amp;C715&amp;CHAR(10)&amp;CHAR(10)&amp;"شكرًا لإتمام تقييم DBD الخاص بعيادة "&amp;B715&amp;"."&amp;CHAR(10)&amp;"نتيجتكم الحالية: "&amp;E715&amp;"%."&amp;CHAR(10)&amp;"أولوية التحسين الأولى: "&amp;F715&amp;"."&amp;IF(J715&lt;&gt;"",CHAR(10)&amp;CHAR(10)&amp;"رابط التقرير: "&amp;J715,"")&amp;CHAR(10)&amp;CHAR(10)&amp;"إذا أحببت، يمكننا مساعدتك في فهم التقرير وتحديد أفضل خطوة تالية لعيادتكم.")</x:f>
      </x:c>
      <x:c r="L715" s="12" t="str">
        <x:f>IF(D715="","",HYPERLINK("https://wa.me/"&amp;REGEXREPLACE(D715,"[^\d]","")&amp;"?text="&amp;ENCODEURL(K715),"واتساب 1"))</x:f>
      </x:c>
      <x:c r="M715" s="12" t="str">
        <x:f>IF(A715="","","مرحبًا "&amp;C715&amp;CHAR(10)&amp;CHAR(10)&amp;"بناءً على نتيجة تقييم عيادة "&amp;B715&amp;"، فإن الترشيح الأقوى لكم الآن هو: "&amp;G715&amp;"."&amp;CHAR(10)&amp;"هذا الخيار يساعدكم في معالجة أكبر فجوة حالية بشكل عملي ومباشر."&amp;IF(J715&lt;&gt;"",CHAR(10)&amp;CHAR(10)&amp;"رابط التقرير: "&amp;J715,"")&amp;CHAR(10)&amp;CHAR(10)&amp;"إذا رغبت، يمكننا توضيح لماذا هذا الكورس هو الأنسب لكم الآن.")</x:f>
      </x:c>
      <x:c r="N715" s="12" t="str">
        <x:f>IF(D715="","",HYPERLINK("https://wa.me/"&amp;REGEXREPLACE(D715,"[^\d]","")&amp;"?text="&amp;ENCODEURL(M715),"واتساب 2"))</x:f>
      </x:c>
      <x:c r="O715" s="12" t="str">
        <x:f>IF(A715="","","مرحبًا "&amp;C715&amp;CHAR(10)&amp;CHAR(10)&amp;"إذا كانت التحديات لديكم تحتاج حلًا أشمل، فالبرنامج الكامل المناسب لكم هو: "&amp;H715&amp;"."&amp;IF(I715&lt;&gt;"",CHAR(10)&amp;"كما يمكنكم أيضًا حجز: "&amp;I715&amp;".","")&amp;IF(J715&lt;&gt;"",CHAR(10)&amp;CHAR(10)&amp;"رابط التقرير: "&amp;J715,"")&amp;CHAR(10)&amp;CHAR(10)&amp;"يسعدنا مساعدتكم في اختيار المسار الأنسب حسب وضع العيادة الحالي.")</x:f>
      </x:c>
      <x:c r="P715" s="12" t="str">
        <x:f>IF(D715="","",HYPERLINK("https://wa.me/"&amp;REGEXREPLACE(D715,"[^\d]","")&amp;"?text="&amp;ENCODEURL(O715),"واتساب 3"))</x:f>
      </x:c>
    </x:row>
    <x:row r="716" ht="15" hidden="0" customHeight="1">
      <x:c r="A716" s="12" t="str">
        <x:f>IF(Leads!A716="","",Leads!A716)</x:f>
      </x:c>
      <x:c r="B716" s="12" t="str">
        <x:f>IF(Leads!F716="","",Leads!F716)</x:f>
      </x:c>
      <x:c r="C716" s="12" t="str">
        <x:f>IF(Leads!G716="","",Leads!G716)</x:f>
      </x:c>
      <x:c r="D716" s="12" t="str">
        <x:f>IF(Leads!O716="","",Leads!O716)</x:f>
      </x:c>
      <x:c r="E716" s="12" t="str">
        <x:f>IF(Leads!AV716="","",Leads!AV716)</x:f>
      </x:c>
      <x:c r="F716" s="12" t="str">
        <x:f>IF(Leads!AX716="","",Leads!AX716)</x:f>
      </x:c>
      <x:c r="G716" s="12" t="str">
        <x:f>IF(Leads!BC716="","",Leads!BC716)</x:f>
      </x:c>
      <x:c r="H716" s="12" t="str">
        <x:f>IF(Leads!BE716="","",Leads!BE716)</x:f>
      </x:c>
      <x:c r="I716" s="12" t="str">
        <x:f>IF(Leads!BG716="","",Leads!BG716)</x:f>
      </x:c>
      <x:c r="J716" s="12" t="str">
        <x:f>IF(Leads!BH716="","",Leads!BH716)</x:f>
      </x:c>
      <x:c r="K716" s="12" t="str">
        <x:f>IF(A716="","","مرحبًا "&amp;C716&amp;CHAR(10)&amp;CHAR(10)&amp;"شكرًا لإتمام تقييم DBD الخاص بعيادة "&amp;B716&amp;"."&amp;CHAR(10)&amp;"نتيجتكم الحالية: "&amp;E716&amp;"%."&amp;CHAR(10)&amp;"أولوية التحسين الأولى: "&amp;F716&amp;"."&amp;IF(J716&lt;&gt;"",CHAR(10)&amp;CHAR(10)&amp;"رابط التقرير: "&amp;J716,"")&amp;CHAR(10)&amp;CHAR(10)&amp;"إذا أحببت، يمكننا مساعدتك في فهم التقرير وتحديد أفضل خطوة تالية لعيادتكم.")</x:f>
      </x:c>
      <x:c r="L716" s="12" t="str">
        <x:f>IF(D716="","",HYPERLINK("https://wa.me/"&amp;REGEXREPLACE(D716,"[^\d]","")&amp;"?text="&amp;ENCODEURL(K716),"واتساب 1"))</x:f>
      </x:c>
      <x:c r="M716" s="12" t="str">
        <x:f>IF(A716="","","مرحبًا "&amp;C716&amp;CHAR(10)&amp;CHAR(10)&amp;"بناءً على نتيجة تقييم عيادة "&amp;B716&amp;"، فإن الترشيح الأقوى لكم الآن هو: "&amp;G716&amp;"."&amp;CHAR(10)&amp;"هذا الخيار يساعدكم في معالجة أكبر فجوة حالية بشكل عملي ومباشر."&amp;IF(J716&lt;&gt;"",CHAR(10)&amp;CHAR(10)&amp;"رابط التقرير: "&amp;J716,"")&amp;CHAR(10)&amp;CHAR(10)&amp;"إذا رغبت، يمكننا توضيح لماذا هذا الكورس هو الأنسب لكم الآن.")</x:f>
      </x:c>
      <x:c r="N716" s="12" t="str">
        <x:f>IF(D716="","",HYPERLINK("https://wa.me/"&amp;REGEXREPLACE(D716,"[^\d]","")&amp;"?text="&amp;ENCODEURL(M716),"واتساب 2"))</x:f>
      </x:c>
      <x:c r="O716" s="12" t="str">
        <x:f>IF(A716="","","مرحبًا "&amp;C716&amp;CHAR(10)&amp;CHAR(10)&amp;"إذا كانت التحديات لديكم تحتاج حلًا أشمل، فالبرنامج الكامل المناسب لكم هو: "&amp;H716&amp;"."&amp;IF(I716&lt;&gt;"",CHAR(10)&amp;"كما يمكنكم أيضًا حجز: "&amp;I716&amp;".","")&amp;IF(J716&lt;&gt;"",CHAR(10)&amp;CHAR(10)&amp;"رابط التقرير: "&amp;J716,"")&amp;CHAR(10)&amp;CHAR(10)&amp;"يسعدنا مساعدتكم في اختيار المسار الأنسب حسب وضع العيادة الحالي.")</x:f>
      </x:c>
      <x:c r="P716" s="12" t="str">
        <x:f>IF(D716="","",HYPERLINK("https://wa.me/"&amp;REGEXREPLACE(D716,"[^\d]","")&amp;"?text="&amp;ENCODEURL(O716),"واتساب 3"))</x:f>
      </x:c>
    </x:row>
    <x:row r="717" ht="15" hidden="0" customHeight="1">
      <x:c r="A717" s="12" t="str">
        <x:f>IF(Leads!A717="","",Leads!A717)</x:f>
      </x:c>
      <x:c r="B717" s="12" t="str">
        <x:f>IF(Leads!F717="","",Leads!F717)</x:f>
      </x:c>
      <x:c r="C717" s="12" t="str">
        <x:f>IF(Leads!G717="","",Leads!G717)</x:f>
      </x:c>
      <x:c r="D717" s="12" t="str">
        <x:f>IF(Leads!O717="","",Leads!O717)</x:f>
      </x:c>
      <x:c r="E717" s="12" t="str">
        <x:f>IF(Leads!AV717="","",Leads!AV717)</x:f>
      </x:c>
      <x:c r="F717" s="12" t="str">
        <x:f>IF(Leads!AX717="","",Leads!AX717)</x:f>
      </x:c>
      <x:c r="G717" s="12" t="str">
        <x:f>IF(Leads!BC717="","",Leads!BC717)</x:f>
      </x:c>
      <x:c r="H717" s="12" t="str">
        <x:f>IF(Leads!BE717="","",Leads!BE717)</x:f>
      </x:c>
      <x:c r="I717" s="12" t="str">
        <x:f>IF(Leads!BG717="","",Leads!BG717)</x:f>
      </x:c>
      <x:c r="J717" s="12" t="str">
        <x:f>IF(Leads!BH717="","",Leads!BH717)</x:f>
      </x:c>
      <x:c r="K717" s="12" t="str">
        <x:f>IF(A717="","","مرحبًا "&amp;C717&amp;CHAR(10)&amp;CHAR(10)&amp;"شكرًا لإتمام تقييم DBD الخاص بعيادة "&amp;B717&amp;"."&amp;CHAR(10)&amp;"نتيجتكم الحالية: "&amp;E717&amp;"%."&amp;CHAR(10)&amp;"أولوية التحسين الأولى: "&amp;F717&amp;"."&amp;IF(J717&lt;&gt;"",CHAR(10)&amp;CHAR(10)&amp;"رابط التقرير: "&amp;J717,"")&amp;CHAR(10)&amp;CHAR(10)&amp;"إذا أحببت، يمكننا مساعدتك في فهم التقرير وتحديد أفضل خطوة تالية لعيادتكم.")</x:f>
      </x:c>
      <x:c r="L717" s="12" t="str">
        <x:f>IF(D717="","",HYPERLINK("https://wa.me/"&amp;REGEXREPLACE(D717,"[^\d]","")&amp;"?text="&amp;ENCODEURL(K717),"واتساب 1"))</x:f>
      </x:c>
      <x:c r="M717" s="12" t="str">
        <x:f>IF(A717="","","مرحبًا "&amp;C717&amp;CHAR(10)&amp;CHAR(10)&amp;"بناءً على نتيجة تقييم عيادة "&amp;B717&amp;"، فإن الترشيح الأقوى لكم الآن هو: "&amp;G717&amp;"."&amp;CHAR(10)&amp;"هذا الخيار يساعدكم في معالجة أكبر فجوة حالية بشكل عملي ومباشر."&amp;IF(J717&lt;&gt;"",CHAR(10)&amp;CHAR(10)&amp;"رابط التقرير: "&amp;J717,"")&amp;CHAR(10)&amp;CHAR(10)&amp;"إذا رغبت، يمكننا توضيح لماذا هذا الكورس هو الأنسب لكم الآن.")</x:f>
      </x:c>
      <x:c r="N717" s="12" t="str">
        <x:f>IF(D717="","",HYPERLINK("https://wa.me/"&amp;REGEXREPLACE(D717,"[^\d]","")&amp;"?text="&amp;ENCODEURL(M717),"واتساب 2"))</x:f>
      </x:c>
      <x:c r="O717" s="12" t="str">
        <x:f>IF(A717="","","مرحبًا "&amp;C717&amp;CHAR(10)&amp;CHAR(10)&amp;"إذا كانت التحديات لديكم تحتاج حلًا أشمل، فالبرنامج الكامل المناسب لكم هو: "&amp;H717&amp;"."&amp;IF(I717&lt;&gt;"",CHAR(10)&amp;"كما يمكنكم أيضًا حجز: "&amp;I717&amp;".","")&amp;IF(J717&lt;&gt;"",CHAR(10)&amp;CHAR(10)&amp;"رابط التقرير: "&amp;J717,"")&amp;CHAR(10)&amp;CHAR(10)&amp;"يسعدنا مساعدتكم في اختيار المسار الأنسب حسب وضع العيادة الحالي.")</x:f>
      </x:c>
      <x:c r="P717" s="12" t="str">
        <x:f>IF(D717="","",HYPERLINK("https://wa.me/"&amp;REGEXREPLACE(D717,"[^\d]","")&amp;"?text="&amp;ENCODEURL(O717),"واتساب 3"))</x:f>
      </x:c>
    </x:row>
    <x:row r="718" ht="15" hidden="0" customHeight="1">
      <x:c r="A718" s="12" t="str">
        <x:f>IF(Leads!A718="","",Leads!A718)</x:f>
      </x:c>
      <x:c r="B718" s="12" t="str">
        <x:f>IF(Leads!F718="","",Leads!F718)</x:f>
      </x:c>
      <x:c r="C718" s="12" t="str">
        <x:f>IF(Leads!G718="","",Leads!G718)</x:f>
      </x:c>
      <x:c r="D718" s="12" t="str">
        <x:f>IF(Leads!O718="","",Leads!O718)</x:f>
      </x:c>
      <x:c r="E718" s="12" t="str">
        <x:f>IF(Leads!AV718="","",Leads!AV718)</x:f>
      </x:c>
      <x:c r="F718" s="12" t="str">
        <x:f>IF(Leads!AX718="","",Leads!AX718)</x:f>
      </x:c>
      <x:c r="G718" s="12" t="str">
        <x:f>IF(Leads!BC718="","",Leads!BC718)</x:f>
      </x:c>
      <x:c r="H718" s="12" t="str">
        <x:f>IF(Leads!BE718="","",Leads!BE718)</x:f>
      </x:c>
      <x:c r="I718" s="12" t="str">
        <x:f>IF(Leads!BG718="","",Leads!BG718)</x:f>
      </x:c>
      <x:c r="J718" s="12" t="str">
        <x:f>IF(Leads!BH718="","",Leads!BH718)</x:f>
      </x:c>
      <x:c r="K718" s="12" t="str">
        <x:f>IF(A718="","","مرحبًا "&amp;C718&amp;CHAR(10)&amp;CHAR(10)&amp;"شكرًا لإتمام تقييم DBD الخاص بعيادة "&amp;B718&amp;"."&amp;CHAR(10)&amp;"نتيجتكم الحالية: "&amp;E718&amp;"%."&amp;CHAR(10)&amp;"أولوية التحسين الأولى: "&amp;F718&amp;"."&amp;IF(J718&lt;&gt;"",CHAR(10)&amp;CHAR(10)&amp;"رابط التقرير: "&amp;J718,"")&amp;CHAR(10)&amp;CHAR(10)&amp;"إذا أحببت، يمكننا مساعدتك في فهم التقرير وتحديد أفضل خطوة تالية لعيادتكم.")</x:f>
      </x:c>
      <x:c r="L718" s="12" t="str">
        <x:f>IF(D718="","",HYPERLINK("https://wa.me/"&amp;REGEXREPLACE(D718,"[^\d]","")&amp;"?text="&amp;ENCODEURL(K718),"واتساب 1"))</x:f>
      </x:c>
      <x:c r="M718" s="12" t="str">
        <x:f>IF(A718="","","مرحبًا "&amp;C718&amp;CHAR(10)&amp;CHAR(10)&amp;"بناءً على نتيجة تقييم عيادة "&amp;B718&amp;"، فإن الترشيح الأقوى لكم الآن هو: "&amp;G718&amp;"."&amp;CHAR(10)&amp;"هذا الخيار يساعدكم في معالجة أكبر فجوة حالية بشكل عملي ومباشر."&amp;IF(J718&lt;&gt;"",CHAR(10)&amp;CHAR(10)&amp;"رابط التقرير: "&amp;J718,"")&amp;CHAR(10)&amp;CHAR(10)&amp;"إذا رغبت، يمكننا توضيح لماذا هذا الكورس هو الأنسب لكم الآن.")</x:f>
      </x:c>
      <x:c r="N718" s="12" t="str">
        <x:f>IF(D718="","",HYPERLINK("https://wa.me/"&amp;REGEXREPLACE(D718,"[^\d]","")&amp;"?text="&amp;ENCODEURL(M718),"واتساب 2"))</x:f>
      </x:c>
      <x:c r="O718" s="12" t="str">
        <x:f>IF(A718="","","مرحبًا "&amp;C718&amp;CHAR(10)&amp;CHAR(10)&amp;"إذا كانت التحديات لديكم تحتاج حلًا أشمل، فالبرنامج الكامل المناسب لكم هو: "&amp;H718&amp;"."&amp;IF(I718&lt;&gt;"",CHAR(10)&amp;"كما يمكنكم أيضًا حجز: "&amp;I718&amp;".","")&amp;IF(J718&lt;&gt;"",CHAR(10)&amp;CHAR(10)&amp;"رابط التقرير: "&amp;J718,"")&amp;CHAR(10)&amp;CHAR(10)&amp;"يسعدنا مساعدتكم في اختيار المسار الأنسب حسب وضع العيادة الحالي.")</x:f>
      </x:c>
      <x:c r="P718" s="12" t="str">
        <x:f>IF(D718="","",HYPERLINK("https://wa.me/"&amp;REGEXREPLACE(D718,"[^\d]","")&amp;"?text="&amp;ENCODEURL(O718),"واتساب 3"))</x:f>
      </x:c>
    </x:row>
    <x:row r="719" ht="15" hidden="0" customHeight="1">
      <x:c r="A719" s="12" t="str">
        <x:f>IF(Leads!A719="","",Leads!A719)</x:f>
      </x:c>
      <x:c r="B719" s="12" t="str">
        <x:f>IF(Leads!F719="","",Leads!F719)</x:f>
      </x:c>
      <x:c r="C719" s="12" t="str">
        <x:f>IF(Leads!G719="","",Leads!G719)</x:f>
      </x:c>
      <x:c r="D719" s="12" t="str">
        <x:f>IF(Leads!O719="","",Leads!O719)</x:f>
      </x:c>
      <x:c r="E719" s="12" t="str">
        <x:f>IF(Leads!AV719="","",Leads!AV719)</x:f>
      </x:c>
      <x:c r="F719" s="12" t="str">
        <x:f>IF(Leads!AX719="","",Leads!AX719)</x:f>
      </x:c>
      <x:c r="G719" s="12" t="str">
        <x:f>IF(Leads!BC719="","",Leads!BC719)</x:f>
      </x:c>
      <x:c r="H719" s="12" t="str">
        <x:f>IF(Leads!BE719="","",Leads!BE719)</x:f>
      </x:c>
      <x:c r="I719" s="12" t="str">
        <x:f>IF(Leads!BG719="","",Leads!BG719)</x:f>
      </x:c>
      <x:c r="J719" s="12" t="str">
        <x:f>IF(Leads!BH719="","",Leads!BH719)</x:f>
      </x:c>
      <x:c r="K719" s="12" t="str">
        <x:f>IF(A719="","","مرحبًا "&amp;C719&amp;CHAR(10)&amp;CHAR(10)&amp;"شكرًا لإتمام تقييم DBD الخاص بعيادة "&amp;B719&amp;"."&amp;CHAR(10)&amp;"نتيجتكم الحالية: "&amp;E719&amp;"%."&amp;CHAR(10)&amp;"أولوية التحسين الأولى: "&amp;F719&amp;"."&amp;IF(J719&lt;&gt;"",CHAR(10)&amp;CHAR(10)&amp;"رابط التقرير: "&amp;J719,"")&amp;CHAR(10)&amp;CHAR(10)&amp;"إذا أحببت، يمكننا مساعدتك في فهم التقرير وتحديد أفضل خطوة تالية لعيادتكم.")</x:f>
      </x:c>
      <x:c r="L719" s="12" t="str">
        <x:f>IF(D719="","",HYPERLINK("https://wa.me/"&amp;REGEXREPLACE(D719,"[^\d]","")&amp;"?text="&amp;ENCODEURL(K719),"واتساب 1"))</x:f>
      </x:c>
      <x:c r="M719" s="12" t="str">
        <x:f>IF(A719="","","مرحبًا "&amp;C719&amp;CHAR(10)&amp;CHAR(10)&amp;"بناءً على نتيجة تقييم عيادة "&amp;B719&amp;"، فإن الترشيح الأقوى لكم الآن هو: "&amp;G719&amp;"."&amp;CHAR(10)&amp;"هذا الخيار يساعدكم في معالجة أكبر فجوة حالية بشكل عملي ومباشر."&amp;IF(J719&lt;&gt;"",CHAR(10)&amp;CHAR(10)&amp;"رابط التقرير: "&amp;J719,"")&amp;CHAR(10)&amp;CHAR(10)&amp;"إذا رغبت، يمكننا توضيح لماذا هذا الكورس هو الأنسب لكم الآن.")</x:f>
      </x:c>
      <x:c r="N719" s="12" t="str">
        <x:f>IF(D719="","",HYPERLINK("https://wa.me/"&amp;REGEXREPLACE(D719,"[^\d]","")&amp;"?text="&amp;ENCODEURL(M719),"واتساب 2"))</x:f>
      </x:c>
      <x:c r="O719" s="12" t="str">
        <x:f>IF(A719="","","مرحبًا "&amp;C719&amp;CHAR(10)&amp;CHAR(10)&amp;"إذا كانت التحديات لديكم تحتاج حلًا أشمل، فالبرنامج الكامل المناسب لكم هو: "&amp;H719&amp;"."&amp;IF(I719&lt;&gt;"",CHAR(10)&amp;"كما يمكنكم أيضًا حجز: "&amp;I719&amp;".","")&amp;IF(J719&lt;&gt;"",CHAR(10)&amp;CHAR(10)&amp;"رابط التقرير: "&amp;J719,"")&amp;CHAR(10)&amp;CHAR(10)&amp;"يسعدنا مساعدتكم في اختيار المسار الأنسب حسب وضع العيادة الحالي.")</x:f>
      </x:c>
      <x:c r="P719" s="12" t="str">
        <x:f>IF(D719="","",HYPERLINK("https://wa.me/"&amp;REGEXREPLACE(D719,"[^\d]","")&amp;"?text="&amp;ENCODEURL(O719),"واتساب 3"))</x:f>
      </x:c>
    </x:row>
    <x:row r="720" ht="15" hidden="0" customHeight="1">
      <x:c r="A720" s="12" t="str">
        <x:f>IF(Leads!A720="","",Leads!A720)</x:f>
      </x:c>
      <x:c r="B720" s="12" t="str">
        <x:f>IF(Leads!F720="","",Leads!F720)</x:f>
      </x:c>
      <x:c r="C720" s="12" t="str">
        <x:f>IF(Leads!G720="","",Leads!G720)</x:f>
      </x:c>
      <x:c r="D720" s="12" t="str">
        <x:f>IF(Leads!O720="","",Leads!O720)</x:f>
      </x:c>
      <x:c r="E720" s="12" t="str">
        <x:f>IF(Leads!AV720="","",Leads!AV720)</x:f>
      </x:c>
      <x:c r="F720" s="12" t="str">
        <x:f>IF(Leads!AX720="","",Leads!AX720)</x:f>
      </x:c>
      <x:c r="G720" s="12" t="str">
        <x:f>IF(Leads!BC720="","",Leads!BC720)</x:f>
      </x:c>
      <x:c r="H720" s="12" t="str">
        <x:f>IF(Leads!BE720="","",Leads!BE720)</x:f>
      </x:c>
      <x:c r="I720" s="12" t="str">
        <x:f>IF(Leads!BG720="","",Leads!BG720)</x:f>
      </x:c>
      <x:c r="J720" s="12" t="str">
        <x:f>IF(Leads!BH720="","",Leads!BH720)</x:f>
      </x:c>
      <x:c r="K720" s="12" t="str">
        <x:f>IF(A720="","","مرحبًا "&amp;C720&amp;CHAR(10)&amp;CHAR(10)&amp;"شكرًا لإتمام تقييم DBD الخاص بعيادة "&amp;B720&amp;"."&amp;CHAR(10)&amp;"نتيجتكم الحالية: "&amp;E720&amp;"%."&amp;CHAR(10)&amp;"أولوية التحسين الأولى: "&amp;F720&amp;"."&amp;IF(J720&lt;&gt;"",CHAR(10)&amp;CHAR(10)&amp;"رابط التقرير: "&amp;J720,"")&amp;CHAR(10)&amp;CHAR(10)&amp;"إذا أحببت، يمكننا مساعدتك في فهم التقرير وتحديد أفضل خطوة تالية لعيادتكم.")</x:f>
      </x:c>
      <x:c r="L720" s="12" t="str">
        <x:f>IF(D720="","",HYPERLINK("https://wa.me/"&amp;REGEXREPLACE(D720,"[^\d]","")&amp;"?text="&amp;ENCODEURL(K720),"واتساب 1"))</x:f>
      </x:c>
      <x:c r="M720" s="12" t="str">
        <x:f>IF(A720="","","مرحبًا "&amp;C720&amp;CHAR(10)&amp;CHAR(10)&amp;"بناءً على نتيجة تقييم عيادة "&amp;B720&amp;"، فإن الترشيح الأقوى لكم الآن هو: "&amp;G720&amp;"."&amp;CHAR(10)&amp;"هذا الخيار يساعدكم في معالجة أكبر فجوة حالية بشكل عملي ومباشر."&amp;IF(J720&lt;&gt;"",CHAR(10)&amp;CHAR(10)&amp;"رابط التقرير: "&amp;J720,"")&amp;CHAR(10)&amp;CHAR(10)&amp;"إذا رغبت، يمكننا توضيح لماذا هذا الكورس هو الأنسب لكم الآن.")</x:f>
      </x:c>
      <x:c r="N720" s="12" t="str">
        <x:f>IF(D720="","",HYPERLINK("https://wa.me/"&amp;REGEXREPLACE(D720,"[^\d]","")&amp;"?text="&amp;ENCODEURL(M720),"واتساب 2"))</x:f>
      </x:c>
      <x:c r="O720" s="12" t="str">
        <x:f>IF(A720="","","مرحبًا "&amp;C720&amp;CHAR(10)&amp;CHAR(10)&amp;"إذا كانت التحديات لديكم تحتاج حلًا أشمل، فالبرنامج الكامل المناسب لكم هو: "&amp;H720&amp;"."&amp;IF(I720&lt;&gt;"",CHAR(10)&amp;"كما يمكنكم أيضًا حجز: "&amp;I720&amp;".","")&amp;IF(J720&lt;&gt;"",CHAR(10)&amp;CHAR(10)&amp;"رابط التقرير: "&amp;J720,"")&amp;CHAR(10)&amp;CHAR(10)&amp;"يسعدنا مساعدتكم في اختيار المسار الأنسب حسب وضع العيادة الحالي.")</x:f>
      </x:c>
      <x:c r="P720" s="12" t="str">
        <x:f>IF(D720="","",HYPERLINK("https://wa.me/"&amp;REGEXREPLACE(D720,"[^\d]","")&amp;"?text="&amp;ENCODEURL(O720),"واتساب 3"))</x:f>
      </x:c>
    </x:row>
    <x:row r="721" ht="15" hidden="0" customHeight="1">
      <x:c r="A721" s="12" t="str">
        <x:f>IF(Leads!A721="","",Leads!A721)</x:f>
      </x:c>
      <x:c r="B721" s="12" t="str">
        <x:f>IF(Leads!F721="","",Leads!F721)</x:f>
      </x:c>
      <x:c r="C721" s="12" t="str">
        <x:f>IF(Leads!G721="","",Leads!G721)</x:f>
      </x:c>
      <x:c r="D721" s="12" t="str">
        <x:f>IF(Leads!O721="","",Leads!O721)</x:f>
      </x:c>
      <x:c r="E721" s="12" t="str">
        <x:f>IF(Leads!AV721="","",Leads!AV721)</x:f>
      </x:c>
      <x:c r="F721" s="12" t="str">
        <x:f>IF(Leads!AX721="","",Leads!AX721)</x:f>
      </x:c>
      <x:c r="G721" s="12" t="str">
        <x:f>IF(Leads!BC721="","",Leads!BC721)</x:f>
      </x:c>
      <x:c r="H721" s="12" t="str">
        <x:f>IF(Leads!BE721="","",Leads!BE721)</x:f>
      </x:c>
      <x:c r="I721" s="12" t="str">
        <x:f>IF(Leads!BG721="","",Leads!BG721)</x:f>
      </x:c>
      <x:c r="J721" s="12" t="str">
        <x:f>IF(Leads!BH721="","",Leads!BH721)</x:f>
      </x:c>
      <x:c r="K721" s="12" t="str">
        <x:f>IF(A721="","","مرحبًا "&amp;C721&amp;CHAR(10)&amp;CHAR(10)&amp;"شكرًا لإتمام تقييم DBD الخاص بعيادة "&amp;B721&amp;"."&amp;CHAR(10)&amp;"نتيجتكم الحالية: "&amp;E721&amp;"%."&amp;CHAR(10)&amp;"أولوية التحسين الأولى: "&amp;F721&amp;"."&amp;IF(J721&lt;&gt;"",CHAR(10)&amp;CHAR(10)&amp;"رابط التقرير: "&amp;J721,"")&amp;CHAR(10)&amp;CHAR(10)&amp;"إذا أحببت، يمكننا مساعدتك في فهم التقرير وتحديد أفضل خطوة تالية لعيادتكم.")</x:f>
      </x:c>
      <x:c r="L721" s="12" t="str">
        <x:f>IF(D721="","",HYPERLINK("https://wa.me/"&amp;REGEXREPLACE(D721,"[^\d]","")&amp;"?text="&amp;ENCODEURL(K721),"واتساب 1"))</x:f>
      </x:c>
      <x:c r="M721" s="12" t="str">
        <x:f>IF(A721="","","مرحبًا "&amp;C721&amp;CHAR(10)&amp;CHAR(10)&amp;"بناءً على نتيجة تقييم عيادة "&amp;B721&amp;"، فإن الترشيح الأقوى لكم الآن هو: "&amp;G721&amp;"."&amp;CHAR(10)&amp;"هذا الخيار يساعدكم في معالجة أكبر فجوة حالية بشكل عملي ومباشر."&amp;IF(J721&lt;&gt;"",CHAR(10)&amp;CHAR(10)&amp;"رابط التقرير: "&amp;J721,"")&amp;CHAR(10)&amp;CHAR(10)&amp;"إذا رغبت، يمكننا توضيح لماذا هذا الكورس هو الأنسب لكم الآن.")</x:f>
      </x:c>
      <x:c r="N721" s="12" t="str">
        <x:f>IF(D721="","",HYPERLINK("https://wa.me/"&amp;REGEXREPLACE(D721,"[^\d]","")&amp;"?text="&amp;ENCODEURL(M721),"واتساب 2"))</x:f>
      </x:c>
      <x:c r="O721" s="12" t="str">
        <x:f>IF(A721="","","مرحبًا "&amp;C721&amp;CHAR(10)&amp;CHAR(10)&amp;"إذا كانت التحديات لديكم تحتاج حلًا أشمل، فالبرنامج الكامل المناسب لكم هو: "&amp;H721&amp;"."&amp;IF(I721&lt;&gt;"",CHAR(10)&amp;"كما يمكنكم أيضًا حجز: "&amp;I721&amp;".","")&amp;IF(J721&lt;&gt;"",CHAR(10)&amp;CHAR(10)&amp;"رابط التقرير: "&amp;J721,"")&amp;CHAR(10)&amp;CHAR(10)&amp;"يسعدنا مساعدتكم في اختيار المسار الأنسب حسب وضع العيادة الحالي.")</x:f>
      </x:c>
      <x:c r="P721" s="12" t="str">
        <x:f>IF(D721="","",HYPERLINK("https://wa.me/"&amp;REGEXREPLACE(D721,"[^\d]","")&amp;"?text="&amp;ENCODEURL(O721),"واتساب 3"))</x:f>
      </x:c>
    </x:row>
    <x:row r="722" ht="15" hidden="0" customHeight="1">
      <x:c r="A722" s="12" t="str">
        <x:f>IF(Leads!A722="","",Leads!A722)</x:f>
      </x:c>
      <x:c r="B722" s="12" t="str">
        <x:f>IF(Leads!F722="","",Leads!F722)</x:f>
      </x:c>
      <x:c r="C722" s="12" t="str">
        <x:f>IF(Leads!G722="","",Leads!G722)</x:f>
      </x:c>
      <x:c r="D722" s="12" t="str">
        <x:f>IF(Leads!O722="","",Leads!O722)</x:f>
      </x:c>
      <x:c r="E722" s="12" t="str">
        <x:f>IF(Leads!AV722="","",Leads!AV722)</x:f>
      </x:c>
      <x:c r="F722" s="12" t="str">
        <x:f>IF(Leads!AX722="","",Leads!AX722)</x:f>
      </x:c>
      <x:c r="G722" s="12" t="str">
        <x:f>IF(Leads!BC722="","",Leads!BC722)</x:f>
      </x:c>
      <x:c r="H722" s="12" t="str">
        <x:f>IF(Leads!BE722="","",Leads!BE722)</x:f>
      </x:c>
      <x:c r="I722" s="12" t="str">
        <x:f>IF(Leads!BG722="","",Leads!BG722)</x:f>
      </x:c>
      <x:c r="J722" s="12" t="str">
        <x:f>IF(Leads!BH722="","",Leads!BH722)</x:f>
      </x:c>
      <x:c r="K722" s="12" t="str">
        <x:f>IF(A722="","","مرحبًا "&amp;C722&amp;CHAR(10)&amp;CHAR(10)&amp;"شكرًا لإتمام تقييم DBD الخاص بعيادة "&amp;B722&amp;"."&amp;CHAR(10)&amp;"نتيجتكم الحالية: "&amp;E722&amp;"%."&amp;CHAR(10)&amp;"أولوية التحسين الأولى: "&amp;F722&amp;"."&amp;IF(J722&lt;&gt;"",CHAR(10)&amp;CHAR(10)&amp;"رابط التقرير: "&amp;J722,"")&amp;CHAR(10)&amp;CHAR(10)&amp;"إذا أحببت، يمكننا مساعدتك في فهم التقرير وتحديد أفضل خطوة تالية لعيادتكم.")</x:f>
      </x:c>
      <x:c r="L722" s="12" t="str">
        <x:f>IF(D722="","",HYPERLINK("https://wa.me/"&amp;REGEXREPLACE(D722,"[^\d]","")&amp;"?text="&amp;ENCODEURL(K722),"واتساب 1"))</x:f>
      </x:c>
      <x:c r="M722" s="12" t="str">
        <x:f>IF(A722="","","مرحبًا "&amp;C722&amp;CHAR(10)&amp;CHAR(10)&amp;"بناءً على نتيجة تقييم عيادة "&amp;B722&amp;"، فإن الترشيح الأقوى لكم الآن هو: "&amp;G722&amp;"."&amp;CHAR(10)&amp;"هذا الخيار يساعدكم في معالجة أكبر فجوة حالية بشكل عملي ومباشر."&amp;IF(J722&lt;&gt;"",CHAR(10)&amp;CHAR(10)&amp;"رابط التقرير: "&amp;J722,"")&amp;CHAR(10)&amp;CHAR(10)&amp;"إذا رغبت، يمكننا توضيح لماذا هذا الكورس هو الأنسب لكم الآن.")</x:f>
      </x:c>
      <x:c r="N722" s="12" t="str">
        <x:f>IF(D722="","",HYPERLINK("https://wa.me/"&amp;REGEXREPLACE(D722,"[^\d]","")&amp;"?text="&amp;ENCODEURL(M722),"واتساب 2"))</x:f>
      </x:c>
      <x:c r="O722" s="12" t="str">
        <x:f>IF(A722="","","مرحبًا "&amp;C722&amp;CHAR(10)&amp;CHAR(10)&amp;"إذا كانت التحديات لديكم تحتاج حلًا أشمل، فالبرنامج الكامل المناسب لكم هو: "&amp;H722&amp;"."&amp;IF(I722&lt;&gt;"",CHAR(10)&amp;"كما يمكنكم أيضًا حجز: "&amp;I722&amp;".","")&amp;IF(J722&lt;&gt;"",CHAR(10)&amp;CHAR(10)&amp;"رابط التقرير: "&amp;J722,"")&amp;CHAR(10)&amp;CHAR(10)&amp;"يسعدنا مساعدتكم في اختيار المسار الأنسب حسب وضع العيادة الحالي.")</x:f>
      </x:c>
      <x:c r="P722" s="12" t="str">
        <x:f>IF(D722="","",HYPERLINK("https://wa.me/"&amp;REGEXREPLACE(D722,"[^\d]","")&amp;"?text="&amp;ENCODEURL(O722),"واتساب 3"))</x:f>
      </x:c>
    </x:row>
    <x:row r="723" ht="15" hidden="0" customHeight="1">
      <x:c r="A723" s="12" t="str">
        <x:f>IF(Leads!A723="","",Leads!A723)</x:f>
      </x:c>
      <x:c r="B723" s="12" t="str">
        <x:f>IF(Leads!F723="","",Leads!F723)</x:f>
      </x:c>
      <x:c r="C723" s="12" t="str">
        <x:f>IF(Leads!G723="","",Leads!G723)</x:f>
      </x:c>
      <x:c r="D723" s="12" t="str">
        <x:f>IF(Leads!O723="","",Leads!O723)</x:f>
      </x:c>
      <x:c r="E723" s="12" t="str">
        <x:f>IF(Leads!AV723="","",Leads!AV723)</x:f>
      </x:c>
      <x:c r="F723" s="12" t="str">
        <x:f>IF(Leads!AX723="","",Leads!AX723)</x:f>
      </x:c>
      <x:c r="G723" s="12" t="str">
        <x:f>IF(Leads!BC723="","",Leads!BC723)</x:f>
      </x:c>
      <x:c r="H723" s="12" t="str">
        <x:f>IF(Leads!BE723="","",Leads!BE723)</x:f>
      </x:c>
      <x:c r="I723" s="12" t="str">
        <x:f>IF(Leads!BG723="","",Leads!BG723)</x:f>
      </x:c>
      <x:c r="J723" s="12" t="str">
        <x:f>IF(Leads!BH723="","",Leads!BH723)</x:f>
      </x:c>
      <x:c r="K723" s="12" t="str">
        <x:f>IF(A723="","","مرحبًا "&amp;C723&amp;CHAR(10)&amp;CHAR(10)&amp;"شكرًا لإتمام تقييم DBD الخاص بعيادة "&amp;B723&amp;"."&amp;CHAR(10)&amp;"نتيجتكم الحالية: "&amp;E723&amp;"%."&amp;CHAR(10)&amp;"أولوية التحسين الأولى: "&amp;F723&amp;"."&amp;IF(J723&lt;&gt;"",CHAR(10)&amp;CHAR(10)&amp;"رابط التقرير: "&amp;J723,"")&amp;CHAR(10)&amp;CHAR(10)&amp;"إذا أحببت، يمكننا مساعدتك في فهم التقرير وتحديد أفضل خطوة تالية لعيادتكم.")</x:f>
      </x:c>
      <x:c r="L723" s="12" t="str">
        <x:f>IF(D723="","",HYPERLINK("https://wa.me/"&amp;REGEXREPLACE(D723,"[^\d]","")&amp;"?text="&amp;ENCODEURL(K723),"واتساب 1"))</x:f>
      </x:c>
      <x:c r="M723" s="12" t="str">
        <x:f>IF(A723="","","مرحبًا "&amp;C723&amp;CHAR(10)&amp;CHAR(10)&amp;"بناءً على نتيجة تقييم عيادة "&amp;B723&amp;"، فإن الترشيح الأقوى لكم الآن هو: "&amp;G723&amp;"."&amp;CHAR(10)&amp;"هذا الخيار يساعدكم في معالجة أكبر فجوة حالية بشكل عملي ومباشر."&amp;IF(J723&lt;&gt;"",CHAR(10)&amp;CHAR(10)&amp;"رابط التقرير: "&amp;J723,"")&amp;CHAR(10)&amp;CHAR(10)&amp;"إذا رغبت، يمكننا توضيح لماذا هذا الكورس هو الأنسب لكم الآن.")</x:f>
      </x:c>
      <x:c r="N723" s="12" t="str">
        <x:f>IF(D723="","",HYPERLINK("https://wa.me/"&amp;REGEXREPLACE(D723,"[^\d]","")&amp;"?text="&amp;ENCODEURL(M723),"واتساب 2"))</x:f>
      </x:c>
      <x:c r="O723" s="12" t="str">
        <x:f>IF(A723="","","مرحبًا "&amp;C723&amp;CHAR(10)&amp;CHAR(10)&amp;"إذا كانت التحديات لديكم تحتاج حلًا أشمل، فالبرنامج الكامل المناسب لكم هو: "&amp;H723&amp;"."&amp;IF(I723&lt;&gt;"",CHAR(10)&amp;"كما يمكنكم أيضًا حجز: "&amp;I723&amp;".","")&amp;IF(J723&lt;&gt;"",CHAR(10)&amp;CHAR(10)&amp;"رابط التقرير: "&amp;J723,"")&amp;CHAR(10)&amp;CHAR(10)&amp;"يسعدنا مساعدتكم في اختيار المسار الأنسب حسب وضع العيادة الحالي.")</x:f>
      </x:c>
      <x:c r="P723" s="12" t="str">
        <x:f>IF(D723="","",HYPERLINK("https://wa.me/"&amp;REGEXREPLACE(D723,"[^\d]","")&amp;"?text="&amp;ENCODEURL(O723),"واتساب 3"))</x:f>
      </x:c>
    </x:row>
    <x:row r="724" ht="15" hidden="0" customHeight="1">
      <x:c r="A724" s="12" t="str">
        <x:f>IF(Leads!A724="","",Leads!A724)</x:f>
      </x:c>
      <x:c r="B724" s="12" t="str">
        <x:f>IF(Leads!F724="","",Leads!F724)</x:f>
      </x:c>
      <x:c r="C724" s="12" t="str">
        <x:f>IF(Leads!G724="","",Leads!G724)</x:f>
      </x:c>
      <x:c r="D724" s="12" t="str">
        <x:f>IF(Leads!O724="","",Leads!O724)</x:f>
      </x:c>
      <x:c r="E724" s="12" t="str">
        <x:f>IF(Leads!AV724="","",Leads!AV724)</x:f>
      </x:c>
      <x:c r="F724" s="12" t="str">
        <x:f>IF(Leads!AX724="","",Leads!AX724)</x:f>
      </x:c>
      <x:c r="G724" s="12" t="str">
        <x:f>IF(Leads!BC724="","",Leads!BC724)</x:f>
      </x:c>
      <x:c r="H724" s="12" t="str">
        <x:f>IF(Leads!BE724="","",Leads!BE724)</x:f>
      </x:c>
      <x:c r="I724" s="12" t="str">
        <x:f>IF(Leads!BG724="","",Leads!BG724)</x:f>
      </x:c>
      <x:c r="J724" s="12" t="str">
        <x:f>IF(Leads!BH724="","",Leads!BH724)</x:f>
      </x:c>
      <x:c r="K724" s="12" t="str">
        <x:f>IF(A724="","","مرحبًا "&amp;C724&amp;CHAR(10)&amp;CHAR(10)&amp;"شكرًا لإتمام تقييم DBD الخاص بعيادة "&amp;B724&amp;"."&amp;CHAR(10)&amp;"نتيجتكم الحالية: "&amp;E724&amp;"%."&amp;CHAR(10)&amp;"أولوية التحسين الأولى: "&amp;F724&amp;"."&amp;IF(J724&lt;&gt;"",CHAR(10)&amp;CHAR(10)&amp;"رابط التقرير: "&amp;J724,"")&amp;CHAR(10)&amp;CHAR(10)&amp;"إذا أحببت، يمكننا مساعدتك في فهم التقرير وتحديد أفضل خطوة تالية لعيادتكم.")</x:f>
      </x:c>
      <x:c r="L724" s="12" t="str">
        <x:f>IF(D724="","",HYPERLINK("https://wa.me/"&amp;REGEXREPLACE(D724,"[^\d]","")&amp;"?text="&amp;ENCODEURL(K724),"واتساب 1"))</x:f>
      </x:c>
      <x:c r="M724" s="12" t="str">
        <x:f>IF(A724="","","مرحبًا "&amp;C724&amp;CHAR(10)&amp;CHAR(10)&amp;"بناءً على نتيجة تقييم عيادة "&amp;B724&amp;"، فإن الترشيح الأقوى لكم الآن هو: "&amp;G724&amp;"."&amp;CHAR(10)&amp;"هذا الخيار يساعدكم في معالجة أكبر فجوة حالية بشكل عملي ومباشر."&amp;IF(J724&lt;&gt;"",CHAR(10)&amp;CHAR(10)&amp;"رابط التقرير: "&amp;J724,"")&amp;CHAR(10)&amp;CHAR(10)&amp;"إذا رغبت، يمكننا توضيح لماذا هذا الكورس هو الأنسب لكم الآن.")</x:f>
      </x:c>
      <x:c r="N724" s="12" t="str">
        <x:f>IF(D724="","",HYPERLINK("https://wa.me/"&amp;REGEXREPLACE(D724,"[^\d]","")&amp;"?text="&amp;ENCODEURL(M724),"واتساب 2"))</x:f>
      </x:c>
      <x:c r="O724" s="12" t="str">
        <x:f>IF(A724="","","مرحبًا "&amp;C724&amp;CHAR(10)&amp;CHAR(10)&amp;"إذا كانت التحديات لديكم تحتاج حلًا أشمل، فالبرنامج الكامل المناسب لكم هو: "&amp;H724&amp;"."&amp;IF(I724&lt;&gt;"",CHAR(10)&amp;"كما يمكنكم أيضًا حجز: "&amp;I724&amp;".","")&amp;IF(J724&lt;&gt;"",CHAR(10)&amp;CHAR(10)&amp;"رابط التقرير: "&amp;J724,"")&amp;CHAR(10)&amp;CHAR(10)&amp;"يسعدنا مساعدتكم في اختيار المسار الأنسب حسب وضع العيادة الحالي.")</x:f>
      </x:c>
      <x:c r="P724" s="12" t="str">
        <x:f>IF(D724="","",HYPERLINK("https://wa.me/"&amp;REGEXREPLACE(D724,"[^\d]","")&amp;"?text="&amp;ENCODEURL(O724),"واتساب 3"))</x:f>
      </x:c>
    </x:row>
    <x:row r="725" ht="15" hidden="0" customHeight="1">
      <x:c r="A725" s="12" t="str">
        <x:f>IF(Leads!A725="","",Leads!A725)</x:f>
      </x:c>
      <x:c r="B725" s="12" t="str">
        <x:f>IF(Leads!F725="","",Leads!F725)</x:f>
      </x:c>
      <x:c r="C725" s="12" t="str">
        <x:f>IF(Leads!G725="","",Leads!G725)</x:f>
      </x:c>
      <x:c r="D725" s="12" t="str">
        <x:f>IF(Leads!O725="","",Leads!O725)</x:f>
      </x:c>
      <x:c r="E725" s="12" t="str">
        <x:f>IF(Leads!AV725="","",Leads!AV725)</x:f>
      </x:c>
      <x:c r="F725" s="12" t="str">
        <x:f>IF(Leads!AX725="","",Leads!AX725)</x:f>
      </x:c>
      <x:c r="G725" s="12" t="str">
        <x:f>IF(Leads!BC725="","",Leads!BC725)</x:f>
      </x:c>
      <x:c r="H725" s="12" t="str">
        <x:f>IF(Leads!BE725="","",Leads!BE725)</x:f>
      </x:c>
      <x:c r="I725" s="12" t="str">
        <x:f>IF(Leads!BG725="","",Leads!BG725)</x:f>
      </x:c>
      <x:c r="J725" s="12" t="str">
        <x:f>IF(Leads!BH725="","",Leads!BH725)</x:f>
      </x:c>
      <x:c r="K725" s="12" t="str">
        <x:f>IF(A725="","","مرحبًا "&amp;C725&amp;CHAR(10)&amp;CHAR(10)&amp;"شكرًا لإتمام تقييم DBD الخاص بعيادة "&amp;B725&amp;"."&amp;CHAR(10)&amp;"نتيجتكم الحالية: "&amp;E725&amp;"%."&amp;CHAR(10)&amp;"أولوية التحسين الأولى: "&amp;F725&amp;"."&amp;IF(J725&lt;&gt;"",CHAR(10)&amp;CHAR(10)&amp;"رابط التقرير: "&amp;J725,"")&amp;CHAR(10)&amp;CHAR(10)&amp;"إذا أحببت، يمكننا مساعدتك في فهم التقرير وتحديد أفضل خطوة تالية لعيادتكم.")</x:f>
      </x:c>
      <x:c r="L725" s="12" t="str">
        <x:f>IF(D725="","",HYPERLINK("https://wa.me/"&amp;REGEXREPLACE(D725,"[^\d]","")&amp;"?text="&amp;ENCODEURL(K725),"واتساب 1"))</x:f>
      </x:c>
      <x:c r="M725" s="12" t="str">
        <x:f>IF(A725="","","مرحبًا "&amp;C725&amp;CHAR(10)&amp;CHAR(10)&amp;"بناءً على نتيجة تقييم عيادة "&amp;B725&amp;"، فإن الترشيح الأقوى لكم الآن هو: "&amp;G725&amp;"."&amp;CHAR(10)&amp;"هذا الخيار يساعدكم في معالجة أكبر فجوة حالية بشكل عملي ومباشر."&amp;IF(J725&lt;&gt;"",CHAR(10)&amp;CHAR(10)&amp;"رابط التقرير: "&amp;J725,"")&amp;CHAR(10)&amp;CHAR(10)&amp;"إذا رغبت، يمكننا توضيح لماذا هذا الكورس هو الأنسب لكم الآن.")</x:f>
      </x:c>
      <x:c r="N725" s="12" t="str">
        <x:f>IF(D725="","",HYPERLINK("https://wa.me/"&amp;REGEXREPLACE(D725,"[^\d]","")&amp;"?text="&amp;ENCODEURL(M725),"واتساب 2"))</x:f>
      </x:c>
      <x:c r="O725" s="12" t="str">
        <x:f>IF(A725="","","مرحبًا "&amp;C725&amp;CHAR(10)&amp;CHAR(10)&amp;"إذا كانت التحديات لديكم تحتاج حلًا أشمل، فالبرنامج الكامل المناسب لكم هو: "&amp;H725&amp;"."&amp;IF(I725&lt;&gt;"",CHAR(10)&amp;"كما يمكنكم أيضًا حجز: "&amp;I725&amp;".","")&amp;IF(J725&lt;&gt;"",CHAR(10)&amp;CHAR(10)&amp;"رابط التقرير: "&amp;J725,"")&amp;CHAR(10)&amp;CHAR(10)&amp;"يسعدنا مساعدتكم في اختيار المسار الأنسب حسب وضع العيادة الحالي.")</x:f>
      </x:c>
      <x:c r="P725" s="12" t="str">
        <x:f>IF(D725="","",HYPERLINK("https://wa.me/"&amp;REGEXREPLACE(D725,"[^\d]","")&amp;"?text="&amp;ENCODEURL(O725),"واتساب 3"))</x:f>
      </x:c>
    </x:row>
    <x:row r="726" ht="15" hidden="0" customHeight="1">
      <x:c r="A726" s="12" t="str">
        <x:f>IF(Leads!A726="","",Leads!A726)</x:f>
      </x:c>
      <x:c r="B726" s="12" t="str">
        <x:f>IF(Leads!F726="","",Leads!F726)</x:f>
      </x:c>
      <x:c r="C726" s="12" t="str">
        <x:f>IF(Leads!G726="","",Leads!G726)</x:f>
      </x:c>
      <x:c r="D726" s="12" t="str">
        <x:f>IF(Leads!O726="","",Leads!O726)</x:f>
      </x:c>
      <x:c r="E726" s="12" t="str">
        <x:f>IF(Leads!AV726="","",Leads!AV726)</x:f>
      </x:c>
      <x:c r="F726" s="12" t="str">
        <x:f>IF(Leads!AX726="","",Leads!AX726)</x:f>
      </x:c>
      <x:c r="G726" s="12" t="str">
        <x:f>IF(Leads!BC726="","",Leads!BC726)</x:f>
      </x:c>
      <x:c r="H726" s="12" t="str">
        <x:f>IF(Leads!BE726="","",Leads!BE726)</x:f>
      </x:c>
      <x:c r="I726" s="12" t="str">
        <x:f>IF(Leads!BG726="","",Leads!BG726)</x:f>
      </x:c>
      <x:c r="J726" s="12" t="str">
        <x:f>IF(Leads!BH726="","",Leads!BH726)</x:f>
      </x:c>
      <x:c r="K726" s="12" t="str">
        <x:f>IF(A726="","","مرحبًا "&amp;C726&amp;CHAR(10)&amp;CHAR(10)&amp;"شكرًا لإتمام تقييم DBD الخاص بعيادة "&amp;B726&amp;"."&amp;CHAR(10)&amp;"نتيجتكم الحالية: "&amp;E726&amp;"%."&amp;CHAR(10)&amp;"أولوية التحسين الأولى: "&amp;F726&amp;"."&amp;IF(J726&lt;&gt;"",CHAR(10)&amp;CHAR(10)&amp;"رابط التقرير: "&amp;J726,"")&amp;CHAR(10)&amp;CHAR(10)&amp;"إذا أحببت، يمكننا مساعدتك في فهم التقرير وتحديد أفضل خطوة تالية لعيادتكم.")</x:f>
      </x:c>
      <x:c r="L726" s="12" t="str">
        <x:f>IF(D726="","",HYPERLINK("https://wa.me/"&amp;REGEXREPLACE(D726,"[^\d]","")&amp;"?text="&amp;ENCODEURL(K726),"واتساب 1"))</x:f>
      </x:c>
      <x:c r="M726" s="12" t="str">
        <x:f>IF(A726="","","مرحبًا "&amp;C726&amp;CHAR(10)&amp;CHAR(10)&amp;"بناءً على نتيجة تقييم عيادة "&amp;B726&amp;"، فإن الترشيح الأقوى لكم الآن هو: "&amp;G726&amp;"."&amp;CHAR(10)&amp;"هذا الخيار يساعدكم في معالجة أكبر فجوة حالية بشكل عملي ومباشر."&amp;IF(J726&lt;&gt;"",CHAR(10)&amp;CHAR(10)&amp;"رابط التقرير: "&amp;J726,"")&amp;CHAR(10)&amp;CHAR(10)&amp;"إذا رغبت، يمكننا توضيح لماذا هذا الكورس هو الأنسب لكم الآن.")</x:f>
      </x:c>
      <x:c r="N726" s="12" t="str">
        <x:f>IF(D726="","",HYPERLINK("https://wa.me/"&amp;REGEXREPLACE(D726,"[^\d]","")&amp;"?text="&amp;ENCODEURL(M726),"واتساب 2"))</x:f>
      </x:c>
      <x:c r="O726" s="12" t="str">
        <x:f>IF(A726="","","مرحبًا "&amp;C726&amp;CHAR(10)&amp;CHAR(10)&amp;"إذا كانت التحديات لديكم تحتاج حلًا أشمل، فالبرنامج الكامل المناسب لكم هو: "&amp;H726&amp;"."&amp;IF(I726&lt;&gt;"",CHAR(10)&amp;"كما يمكنكم أيضًا حجز: "&amp;I726&amp;".","")&amp;IF(J726&lt;&gt;"",CHAR(10)&amp;CHAR(10)&amp;"رابط التقرير: "&amp;J726,"")&amp;CHAR(10)&amp;CHAR(10)&amp;"يسعدنا مساعدتكم في اختيار المسار الأنسب حسب وضع العيادة الحالي.")</x:f>
      </x:c>
      <x:c r="P726" s="12" t="str">
        <x:f>IF(D726="","",HYPERLINK("https://wa.me/"&amp;REGEXREPLACE(D726,"[^\d]","")&amp;"?text="&amp;ENCODEURL(O726),"واتساب 3"))</x:f>
      </x:c>
    </x:row>
    <x:row r="727" ht="15" hidden="0" customHeight="1">
      <x:c r="A727" s="12" t="str">
        <x:f>IF(Leads!A727="","",Leads!A727)</x:f>
      </x:c>
      <x:c r="B727" s="12" t="str">
        <x:f>IF(Leads!F727="","",Leads!F727)</x:f>
      </x:c>
      <x:c r="C727" s="12" t="str">
        <x:f>IF(Leads!G727="","",Leads!G727)</x:f>
      </x:c>
      <x:c r="D727" s="12" t="str">
        <x:f>IF(Leads!O727="","",Leads!O727)</x:f>
      </x:c>
      <x:c r="E727" s="12" t="str">
        <x:f>IF(Leads!AV727="","",Leads!AV727)</x:f>
      </x:c>
      <x:c r="F727" s="12" t="str">
        <x:f>IF(Leads!AX727="","",Leads!AX727)</x:f>
      </x:c>
      <x:c r="G727" s="12" t="str">
        <x:f>IF(Leads!BC727="","",Leads!BC727)</x:f>
      </x:c>
      <x:c r="H727" s="12" t="str">
        <x:f>IF(Leads!BE727="","",Leads!BE727)</x:f>
      </x:c>
      <x:c r="I727" s="12" t="str">
        <x:f>IF(Leads!BG727="","",Leads!BG727)</x:f>
      </x:c>
      <x:c r="J727" s="12" t="str">
        <x:f>IF(Leads!BH727="","",Leads!BH727)</x:f>
      </x:c>
      <x:c r="K727" s="12" t="str">
        <x:f>IF(A727="","","مرحبًا "&amp;C727&amp;CHAR(10)&amp;CHAR(10)&amp;"شكرًا لإتمام تقييم DBD الخاص بعيادة "&amp;B727&amp;"."&amp;CHAR(10)&amp;"نتيجتكم الحالية: "&amp;E727&amp;"%."&amp;CHAR(10)&amp;"أولوية التحسين الأولى: "&amp;F727&amp;"."&amp;IF(J727&lt;&gt;"",CHAR(10)&amp;CHAR(10)&amp;"رابط التقرير: "&amp;J727,"")&amp;CHAR(10)&amp;CHAR(10)&amp;"إذا أحببت، يمكننا مساعدتك في فهم التقرير وتحديد أفضل خطوة تالية لعيادتكم.")</x:f>
      </x:c>
      <x:c r="L727" s="12" t="str">
        <x:f>IF(D727="","",HYPERLINK("https://wa.me/"&amp;REGEXREPLACE(D727,"[^\d]","")&amp;"?text="&amp;ENCODEURL(K727),"واتساب 1"))</x:f>
      </x:c>
      <x:c r="M727" s="12" t="str">
        <x:f>IF(A727="","","مرحبًا "&amp;C727&amp;CHAR(10)&amp;CHAR(10)&amp;"بناءً على نتيجة تقييم عيادة "&amp;B727&amp;"، فإن الترشيح الأقوى لكم الآن هو: "&amp;G727&amp;"."&amp;CHAR(10)&amp;"هذا الخيار يساعدكم في معالجة أكبر فجوة حالية بشكل عملي ومباشر."&amp;IF(J727&lt;&gt;"",CHAR(10)&amp;CHAR(10)&amp;"رابط التقرير: "&amp;J727,"")&amp;CHAR(10)&amp;CHAR(10)&amp;"إذا رغبت، يمكننا توضيح لماذا هذا الكورس هو الأنسب لكم الآن.")</x:f>
      </x:c>
      <x:c r="N727" s="12" t="str">
        <x:f>IF(D727="","",HYPERLINK("https://wa.me/"&amp;REGEXREPLACE(D727,"[^\d]","")&amp;"?text="&amp;ENCODEURL(M727),"واتساب 2"))</x:f>
      </x:c>
      <x:c r="O727" s="12" t="str">
        <x:f>IF(A727="","","مرحبًا "&amp;C727&amp;CHAR(10)&amp;CHAR(10)&amp;"إذا كانت التحديات لديكم تحتاج حلًا أشمل، فالبرنامج الكامل المناسب لكم هو: "&amp;H727&amp;"."&amp;IF(I727&lt;&gt;"",CHAR(10)&amp;"كما يمكنكم أيضًا حجز: "&amp;I727&amp;".","")&amp;IF(J727&lt;&gt;"",CHAR(10)&amp;CHAR(10)&amp;"رابط التقرير: "&amp;J727,"")&amp;CHAR(10)&amp;CHAR(10)&amp;"يسعدنا مساعدتكم في اختيار المسار الأنسب حسب وضع العيادة الحالي.")</x:f>
      </x:c>
      <x:c r="P727" s="12" t="str">
        <x:f>IF(D727="","",HYPERLINK("https://wa.me/"&amp;REGEXREPLACE(D727,"[^\d]","")&amp;"?text="&amp;ENCODEURL(O727),"واتساب 3"))</x:f>
      </x:c>
    </x:row>
    <x:row r="728" ht="15" hidden="0" customHeight="1">
      <x:c r="A728" s="12" t="str">
        <x:f>IF(Leads!A728="","",Leads!A728)</x:f>
      </x:c>
      <x:c r="B728" s="12" t="str">
        <x:f>IF(Leads!F728="","",Leads!F728)</x:f>
      </x:c>
      <x:c r="C728" s="12" t="str">
        <x:f>IF(Leads!G728="","",Leads!G728)</x:f>
      </x:c>
      <x:c r="D728" s="12" t="str">
        <x:f>IF(Leads!O728="","",Leads!O728)</x:f>
      </x:c>
      <x:c r="E728" s="12" t="str">
        <x:f>IF(Leads!AV728="","",Leads!AV728)</x:f>
      </x:c>
      <x:c r="F728" s="12" t="str">
        <x:f>IF(Leads!AX728="","",Leads!AX728)</x:f>
      </x:c>
      <x:c r="G728" s="12" t="str">
        <x:f>IF(Leads!BC728="","",Leads!BC728)</x:f>
      </x:c>
      <x:c r="H728" s="12" t="str">
        <x:f>IF(Leads!BE728="","",Leads!BE728)</x:f>
      </x:c>
      <x:c r="I728" s="12" t="str">
        <x:f>IF(Leads!BG728="","",Leads!BG728)</x:f>
      </x:c>
      <x:c r="J728" s="12" t="str">
        <x:f>IF(Leads!BH728="","",Leads!BH728)</x:f>
      </x:c>
      <x:c r="K728" s="12" t="str">
        <x:f>IF(A728="","","مرحبًا "&amp;C728&amp;CHAR(10)&amp;CHAR(10)&amp;"شكرًا لإتمام تقييم DBD الخاص بعيادة "&amp;B728&amp;"."&amp;CHAR(10)&amp;"نتيجتكم الحالية: "&amp;E728&amp;"%."&amp;CHAR(10)&amp;"أولوية التحسين الأولى: "&amp;F728&amp;"."&amp;IF(J728&lt;&gt;"",CHAR(10)&amp;CHAR(10)&amp;"رابط التقرير: "&amp;J728,"")&amp;CHAR(10)&amp;CHAR(10)&amp;"إذا أحببت، يمكننا مساعدتك في فهم التقرير وتحديد أفضل خطوة تالية لعيادتكم.")</x:f>
      </x:c>
      <x:c r="L728" s="12" t="str">
        <x:f>IF(D728="","",HYPERLINK("https://wa.me/"&amp;REGEXREPLACE(D728,"[^\d]","")&amp;"?text="&amp;ENCODEURL(K728),"واتساب 1"))</x:f>
      </x:c>
      <x:c r="M728" s="12" t="str">
        <x:f>IF(A728="","","مرحبًا "&amp;C728&amp;CHAR(10)&amp;CHAR(10)&amp;"بناءً على نتيجة تقييم عيادة "&amp;B728&amp;"، فإن الترشيح الأقوى لكم الآن هو: "&amp;G728&amp;"."&amp;CHAR(10)&amp;"هذا الخيار يساعدكم في معالجة أكبر فجوة حالية بشكل عملي ومباشر."&amp;IF(J728&lt;&gt;"",CHAR(10)&amp;CHAR(10)&amp;"رابط التقرير: "&amp;J728,"")&amp;CHAR(10)&amp;CHAR(10)&amp;"إذا رغبت، يمكننا توضيح لماذا هذا الكورس هو الأنسب لكم الآن.")</x:f>
      </x:c>
      <x:c r="N728" s="12" t="str">
        <x:f>IF(D728="","",HYPERLINK("https://wa.me/"&amp;REGEXREPLACE(D728,"[^\d]","")&amp;"?text="&amp;ENCODEURL(M728),"واتساب 2"))</x:f>
      </x:c>
      <x:c r="O728" s="12" t="str">
        <x:f>IF(A728="","","مرحبًا "&amp;C728&amp;CHAR(10)&amp;CHAR(10)&amp;"إذا كانت التحديات لديكم تحتاج حلًا أشمل، فالبرنامج الكامل المناسب لكم هو: "&amp;H728&amp;"."&amp;IF(I728&lt;&gt;"",CHAR(10)&amp;"كما يمكنكم أيضًا حجز: "&amp;I728&amp;".","")&amp;IF(J728&lt;&gt;"",CHAR(10)&amp;CHAR(10)&amp;"رابط التقرير: "&amp;J728,"")&amp;CHAR(10)&amp;CHAR(10)&amp;"يسعدنا مساعدتكم في اختيار المسار الأنسب حسب وضع العيادة الحالي.")</x:f>
      </x:c>
      <x:c r="P728" s="12" t="str">
        <x:f>IF(D728="","",HYPERLINK("https://wa.me/"&amp;REGEXREPLACE(D728,"[^\d]","")&amp;"?text="&amp;ENCODEURL(O728),"واتساب 3"))</x:f>
      </x:c>
    </x:row>
    <x:row r="729" ht="15" hidden="0" customHeight="1">
      <x:c r="A729" s="12" t="str">
        <x:f>IF(Leads!A729="","",Leads!A729)</x:f>
      </x:c>
      <x:c r="B729" s="12" t="str">
        <x:f>IF(Leads!F729="","",Leads!F729)</x:f>
      </x:c>
      <x:c r="C729" s="12" t="str">
        <x:f>IF(Leads!G729="","",Leads!G729)</x:f>
      </x:c>
      <x:c r="D729" s="12" t="str">
        <x:f>IF(Leads!O729="","",Leads!O729)</x:f>
      </x:c>
      <x:c r="E729" s="12" t="str">
        <x:f>IF(Leads!AV729="","",Leads!AV729)</x:f>
      </x:c>
      <x:c r="F729" s="12" t="str">
        <x:f>IF(Leads!AX729="","",Leads!AX729)</x:f>
      </x:c>
      <x:c r="G729" s="12" t="str">
        <x:f>IF(Leads!BC729="","",Leads!BC729)</x:f>
      </x:c>
      <x:c r="H729" s="12" t="str">
        <x:f>IF(Leads!BE729="","",Leads!BE729)</x:f>
      </x:c>
      <x:c r="I729" s="12" t="str">
        <x:f>IF(Leads!BG729="","",Leads!BG729)</x:f>
      </x:c>
      <x:c r="J729" s="12" t="str">
        <x:f>IF(Leads!BH729="","",Leads!BH729)</x:f>
      </x:c>
      <x:c r="K729" s="12" t="str">
        <x:f>IF(A729="","","مرحبًا "&amp;C729&amp;CHAR(10)&amp;CHAR(10)&amp;"شكرًا لإتمام تقييم DBD الخاص بعيادة "&amp;B729&amp;"."&amp;CHAR(10)&amp;"نتيجتكم الحالية: "&amp;E729&amp;"%."&amp;CHAR(10)&amp;"أولوية التحسين الأولى: "&amp;F729&amp;"."&amp;IF(J729&lt;&gt;"",CHAR(10)&amp;CHAR(10)&amp;"رابط التقرير: "&amp;J729,"")&amp;CHAR(10)&amp;CHAR(10)&amp;"إذا أحببت، يمكننا مساعدتك في فهم التقرير وتحديد أفضل خطوة تالية لعيادتكم.")</x:f>
      </x:c>
      <x:c r="L729" s="12" t="str">
        <x:f>IF(D729="","",HYPERLINK("https://wa.me/"&amp;REGEXREPLACE(D729,"[^\d]","")&amp;"?text="&amp;ENCODEURL(K729),"واتساب 1"))</x:f>
      </x:c>
      <x:c r="M729" s="12" t="str">
        <x:f>IF(A729="","","مرحبًا "&amp;C729&amp;CHAR(10)&amp;CHAR(10)&amp;"بناءً على نتيجة تقييم عيادة "&amp;B729&amp;"، فإن الترشيح الأقوى لكم الآن هو: "&amp;G729&amp;"."&amp;CHAR(10)&amp;"هذا الخيار يساعدكم في معالجة أكبر فجوة حالية بشكل عملي ومباشر."&amp;IF(J729&lt;&gt;"",CHAR(10)&amp;CHAR(10)&amp;"رابط التقرير: "&amp;J729,"")&amp;CHAR(10)&amp;CHAR(10)&amp;"إذا رغبت، يمكننا توضيح لماذا هذا الكورس هو الأنسب لكم الآن.")</x:f>
      </x:c>
      <x:c r="N729" s="12" t="str">
        <x:f>IF(D729="","",HYPERLINK("https://wa.me/"&amp;REGEXREPLACE(D729,"[^\d]","")&amp;"?text="&amp;ENCODEURL(M729),"واتساب 2"))</x:f>
      </x:c>
      <x:c r="O729" s="12" t="str">
        <x:f>IF(A729="","","مرحبًا "&amp;C729&amp;CHAR(10)&amp;CHAR(10)&amp;"إذا كانت التحديات لديكم تحتاج حلًا أشمل، فالبرنامج الكامل المناسب لكم هو: "&amp;H729&amp;"."&amp;IF(I729&lt;&gt;"",CHAR(10)&amp;"كما يمكنكم أيضًا حجز: "&amp;I729&amp;".","")&amp;IF(J729&lt;&gt;"",CHAR(10)&amp;CHAR(10)&amp;"رابط التقرير: "&amp;J729,"")&amp;CHAR(10)&amp;CHAR(10)&amp;"يسعدنا مساعدتكم في اختيار المسار الأنسب حسب وضع العيادة الحالي.")</x:f>
      </x:c>
      <x:c r="P729" s="12" t="str">
        <x:f>IF(D729="","",HYPERLINK("https://wa.me/"&amp;REGEXREPLACE(D729,"[^\d]","")&amp;"?text="&amp;ENCODEURL(O729),"واتساب 3"))</x:f>
      </x:c>
    </x:row>
    <x:row r="730" ht="15" hidden="0" customHeight="1">
      <x:c r="A730" s="12" t="str">
        <x:f>IF(Leads!A730="","",Leads!A730)</x:f>
      </x:c>
      <x:c r="B730" s="12" t="str">
        <x:f>IF(Leads!F730="","",Leads!F730)</x:f>
      </x:c>
      <x:c r="C730" s="12" t="str">
        <x:f>IF(Leads!G730="","",Leads!G730)</x:f>
      </x:c>
      <x:c r="D730" s="12" t="str">
        <x:f>IF(Leads!O730="","",Leads!O730)</x:f>
      </x:c>
      <x:c r="E730" s="12" t="str">
        <x:f>IF(Leads!AV730="","",Leads!AV730)</x:f>
      </x:c>
      <x:c r="F730" s="12" t="str">
        <x:f>IF(Leads!AX730="","",Leads!AX730)</x:f>
      </x:c>
      <x:c r="G730" s="12" t="str">
        <x:f>IF(Leads!BC730="","",Leads!BC730)</x:f>
      </x:c>
      <x:c r="H730" s="12" t="str">
        <x:f>IF(Leads!BE730="","",Leads!BE730)</x:f>
      </x:c>
      <x:c r="I730" s="12" t="str">
        <x:f>IF(Leads!BG730="","",Leads!BG730)</x:f>
      </x:c>
      <x:c r="J730" s="12" t="str">
        <x:f>IF(Leads!BH730="","",Leads!BH730)</x:f>
      </x:c>
      <x:c r="K730" s="12" t="str">
        <x:f>IF(A730="","","مرحبًا "&amp;C730&amp;CHAR(10)&amp;CHAR(10)&amp;"شكرًا لإتمام تقييم DBD الخاص بعيادة "&amp;B730&amp;"."&amp;CHAR(10)&amp;"نتيجتكم الحالية: "&amp;E730&amp;"%."&amp;CHAR(10)&amp;"أولوية التحسين الأولى: "&amp;F730&amp;"."&amp;IF(J730&lt;&gt;"",CHAR(10)&amp;CHAR(10)&amp;"رابط التقرير: "&amp;J730,"")&amp;CHAR(10)&amp;CHAR(10)&amp;"إذا أحببت، يمكننا مساعدتك في فهم التقرير وتحديد أفضل خطوة تالية لعيادتكم.")</x:f>
      </x:c>
      <x:c r="L730" s="12" t="str">
        <x:f>IF(D730="","",HYPERLINK("https://wa.me/"&amp;REGEXREPLACE(D730,"[^\d]","")&amp;"?text="&amp;ENCODEURL(K730),"واتساب 1"))</x:f>
      </x:c>
      <x:c r="M730" s="12" t="str">
        <x:f>IF(A730="","","مرحبًا "&amp;C730&amp;CHAR(10)&amp;CHAR(10)&amp;"بناءً على نتيجة تقييم عيادة "&amp;B730&amp;"، فإن الترشيح الأقوى لكم الآن هو: "&amp;G730&amp;"."&amp;CHAR(10)&amp;"هذا الخيار يساعدكم في معالجة أكبر فجوة حالية بشكل عملي ومباشر."&amp;IF(J730&lt;&gt;"",CHAR(10)&amp;CHAR(10)&amp;"رابط التقرير: "&amp;J730,"")&amp;CHAR(10)&amp;CHAR(10)&amp;"إذا رغبت، يمكننا توضيح لماذا هذا الكورس هو الأنسب لكم الآن.")</x:f>
      </x:c>
      <x:c r="N730" s="12" t="str">
        <x:f>IF(D730="","",HYPERLINK("https://wa.me/"&amp;REGEXREPLACE(D730,"[^\d]","")&amp;"?text="&amp;ENCODEURL(M730),"واتساب 2"))</x:f>
      </x:c>
      <x:c r="O730" s="12" t="str">
        <x:f>IF(A730="","","مرحبًا "&amp;C730&amp;CHAR(10)&amp;CHAR(10)&amp;"إذا كانت التحديات لديكم تحتاج حلًا أشمل، فالبرنامج الكامل المناسب لكم هو: "&amp;H730&amp;"."&amp;IF(I730&lt;&gt;"",CHAR(10)&amp;"كما يمكنكم أيضًا حجز: "&amp;I730&amp;".","")&amp;IF(J730&lt;&gt;"",CHAR(10)&amp;CHAR(10)&amp;"رابط التقرير: "&amp;J730,"")&amp;CHAR(10)&amp;CHAR(10)&amp;"يسعدنا مساعدتكم في اختيار المسار الأنسب حسب وضع العيادة الحالي.")</x:f>
      </x:c>
      <x:c r="P730" s="12" t="str">
        <x:f>IF(D730="","",HYPERLINK("https://wa.me/"&amp;REGEXREPLACE(D730,"[^\d]","")&amp;"?text="&amp;ENCODEURL(O730),"واتساب 3"))</x:f>
      </x:c>
    </x:row>
    <x:row r="731" ht="15" hidden="0" customHeight="1">
      <x:c r="A731" s="12" t="str">
        <x:f>IF(Leads!A731="","",Leads!A731)</x:f>
      </x:c>
      <x:c r="B731" s="12" t="str">
        <x:f>IF(Leads!F731="","",Leads!F731)</x:f>
      </x:c>
      <x:c r="C731" s="12" t="str">
        <x:f>IF(Leads!G731="","",Leads!G731)</x:f>
      </x:c>
      <x:c r="D731" s="12" t="str">
        <x:f>IF(Leads!O731="","",Leads!O731)</x:f>
      </x:c>
      <x:c r="E731" s="12" t="str">
        <x:f>IF(Leads!AV731="","",Leads!AV731)</x:f>
      </x:c>
      <x:c r="F731" s="12" t="str">
        <x:f>IF(Leads!AX731="","",Leads!AX731)</x:f>
      </x:c>
      <x:c r="G731" s="12" t="str">
        <x:f>IF(Leads!BC731="","",Leads!BC731)</x:f>
      </x:c>
      <x:c r="H731" s="12" t="str">
        <x:f>IF(Leads!BE731="","",Leads!BE731)</x:f>
      </x:c>
      <x:c r="I731" s="12" t="str">
        <x:f>IF(Leads!BG731="","",Leads!BG731)</x:f>
      </x:c>
      <x:c r="J731" s="12" t="str">
        <x:f>IF(Leads!BH731="","",Leads!BH731)</x:f>
      </x:c>
      <x:c r="K731" s="12" t="str">
        <x:f>IF(A731="","","مرحبًا "&amp;C731&amp;CHAR(10)&amp;CHAR(10)&amp;"شكرًا لإتمام تقييم DBD الخاص بعيادة "&amp;B731&amp;"."&amp;CHAR(10)&amp;"نتيجتكم الحالية: "&amp;E731&amp;"%."&amp;CHAR(10)&amp;"أولوية التحسين الأولى: "&amp;F731&amp;"."&amp;IF(J731&lt;&gt;"",CHAR(10)&amp;CHAR(10)&amp;"رابط التقرير: "&amp;J731,"")&amp;CHAR(10)&amp;CHAR(10)&amp;"إذا أحببت، يمكننا مساعدتك في فهم التقرير وتحديد أفضل خطوة تالية لعيادتكم.")</x:f>
      </x:c>
      <x:c r="L731" s="12" t="str">
        <x:f>IF(D731="","",HYPERLINK("https://wa.me/"&amp;REGEXREPLACE(D731,"[^\d]","")&amp;"?text="&amp;ENCODEURL(K731),"واتساب 1"))</x:f>
      </x:c>
      <x:c r="M731" s="12" t="str">
        <x:f>IF(A731="","","مرحبًا "&amp;C731&amp;CHAR(10)&amp;CHAR(10)&amp;"بناءً على نتيجة تقييم عيادة "&amp;B731&amp;"، فإن الترشيح الأقوى لكم الآن هو: "&amp;G731&amp;"."&amp;CHAR(10)&amp;"هذا الخيار يساعدكم في معالجة أكبر فجوة حالية بشكل عملي ومباشر."&amp;IF(J731&lt;&gt;"",CHAR(10)&amp;CHAR(10)&amp;"رابط التقرير: "&amp;J731,"")&amp;CHAR(10)&amp;CHAR(10)&amp;"إذا رغبت، يمكننا توضيح لماذا هذا الكورس هو الأنسب لكم الآن.")</x:f>
      </x:c>
      <x:c r="N731" s="12" t="str">
        <x:f>IF(D731="","",HYPERLINK("https://wa.me/"&amp;REGEXREPLACE(D731,"[^\d]","")&amp;"?text="&amp;ENCODEURL(M731),"واتساب 2"))</x:f>
      </x:c>
      <x:c r="O731" s="12" t="str">
        <x:f>IF(A731="","","مرحبًا "&amp;C731&amp;CHAR(10)&amp;CHAR(10)&amp;"إذا كانت التحديات لديكم تحتاج حلًا أشمل، فالبرنامج الكامل المناسب لكم هو: "&amp;H731&amp;"."&amp;IF(I731&lt;&gt;"",CHAR(10)&amp;"كما يمكنكم أيضًا حجز: "&amp;I731&amp;".","")&amp;IF(J731&lt;&gt;"",CHAR(10)&amp;CHAR(10)&amp;"رابط التقرير: "&amp;J731,"")&amp;CHAR(10)&amp;CHAR(10)&amp;"يسعدنا مساعدتكم في اختيار المسار الأنسب حسب وضع العيادة الحالي.")</x:f>
      </x:c>
      <x:c r="P731" s="12" t="str">
        <x:f>IF(D731="","",HYPERLINK("https://wa.me/"&amp;REGEXREPLACE(D731,"[^\d]","")&amp;"?text="&amp;ENCODEURL(O731),"واتساب 3"))</x:f>
      </x:c>
    </x:row>
    <x:row r="732" ht="15" hidden="0" customHeight="1">
      <x:c r="A732" s="12" t="str">
        <x:f>IF(Leads!A732="","",Leads!A732)</x:f>
      </x:c>
      <x:c r="B732" s="12" t="str">
        <x:f>IF(Leads!F732="","",Leads!F732)</x:f>
      </x:c>
      <x:c r="C732" s="12" t="str">
        <x:f>IF(Leads!G732="","",Leads!G732)</x:f>
      </x:c>
      <x:c r="D732" s="12" t="str">
        <x:f>IF(Leads!O732="","",Leads!O732)</x:f>
      </x:c>
      <x:c r="E732" s="12" t="str">
        <x:f>IF(Leads!AV732="","",Leads!AV732)</x:f>
      </x:c>
      <x:c r="F732" s="12" t="str">
        <x:f>IF(Leads!AX732="","",Leads!AX732)</x:f>
      </x:c>
      <x:c r="G732" s="12" t="str">
        <x:f>IF(Leads!BC732="","",Leads!BC732)</x:f>
      </x:c>
      <x:c r="H732" s="12" t="str">
        <x:f>IF(Leads!BE732="","",Leads!BE732)</x:f>
      </x:c>
      <x:c r="I732" s="12" t="str">
        <x:f>IF(Leads!BG732="","",Leads!BG732)</x:f>
      </x:c>
      <x:c r="J732" s="12" t="str">
        <x:f>IF(Leads!BH732="","",Leads!BH732)</x:f>
      </x:c>
      <x:c r="K732" s="12" t="str">
        <x:f>IF(A732="","","مرحبًا "&amp;C732&amp;CHAR(10)&amp;CHAR(10)&amp;"شكرًا لإتمام تقييم DBD الخاص بعيادة "&amp;B732&amp;"."&amp;CHAR(10)&amp;"نتيجتكم الحالية: "&amp;E732&amp;"%."&amp;CHAR(10)&amp;"أولوية التحسين الأولى: "&amp;F732&amp;"."&amp;IF(J732&lt;&gt;"",CHAR(10)&amp;CHAR(10)&amp;"رابط التقرير: "&amp;J732,"")&amp;CHAR(10)&amp;CHAR(10)&amp;"إذا أحببت، يمكننا مساعدتك في فهم التقرير وتحديد أفضل خطوة تالية لعيادتكم.")</x:f>
      </x:c>
      <x:c r="L732" s="12" t="str">
        <x:f>IF(D732="","",HYPERLINK("https://wa.me/"&amp;REGEXREPLACE(D732,"[^\d]","")&amp;"?text="&amp;ENCODEURL(K732),"واتساب 1"))</x:f>
      </x:c>
      <x:c r="M732" s="12" t="str">
        <x:f>IF(A732="","","مرحبًا "&amp;C732&amp;CHAR(10)&amp;CHAR(10)&amp;"بناءً على نتيجة تقييم عيادة "&amp;B732&amp;"، فإن الترشيح الأقوى لكم الآن هو: "&amp;G732&amp;"."&amp;CHAR(10)&amp;"هذا الخيار يساعدكم في معالجة أكبر فجوة حالية بشكل عملي ومباشر."&amp;IF(J732&lt;&gt;"",CHAR(10)&amp;CHAR(10)&amp;"رابط التقرير: "&amp;J732,"")&amp;CHAR(10)&amp;CHAR(10)&amp;"إذا رغبت، يمكننا توضيح لماذا هذا الكورس هو الأنسب لكم الآن.")</x:f>
      </x:c>
      <x:c r="N732" s="12" t="str">
        <x:f>IF(D732="","",HYPERLINK("https://wa.me/"&amp;REGEXREPLACE(D732,"[^\d]","")&amp;"?text="&amp;ENCODEURL(M732),"واتساب 2"))</x:f>
      </x:c>
      <x:c r="O732" s="12" t="str">
        <x:f>IF(A732="","","مرحبًا "&amp;C732&amp;CHAR(10)&amp;CHAR(10)&amp;"إذا كانت التحديات لديكم تحتاج حلًا أشمل، فالبرنامج الكامل المناسب لكم هو: "&amp;H732&amp;"."&amp;IF(I732&lt;&gt;"",CHAR(10)&amp;"كما يمكنكم أيضًا حجز: "&amp;I732&amp;".","")&amp;IF(J732&lt;&gt;"",CHAR(10)&amp;CHAR(10)&amp;"رابط التقرير: "&amp;J732,"")&amp;CHAR(10)&amp;CHAR(10)&amp;"يسعدنا مساعدتكم في اختيار المسار الأنسب حسب وضع العيادة الحالي.")</x:f>
      </x:c>
      <x:c r="P732" s="12" t="str">
        <x:f>IF(D732="","",HYPERLINK("https://wa.me/"&amp;REGEXREPLACE(D732,"[^\d]","")&amp;"?text="&amp;ENCODEURL(O732),"واتساب 3"))</x:f>
      </x:c>
    </x:row>
    <x:row r="733" ht="15" hidden="0" customHeight="1">
      <x:c r="A733" s="12" t="str">
        <x:f>IF(Leads!A733="","",Leads!A733)</x:f>
      </x:c>
      <x:c r="B733" s="12" t="str">
        <x:f>IF(Leads!F733="","",Leads!F733)</x:f>
      </x:c>
      <x:c r="C733" s="12" t="str">
        <x:f>IF(Leads!G733="","",Leads!G733)</x:f>
      </x:c>
      <x:c r="D733" s="12" t="str">
        <x:f>IF(Leads!O733="","",Leads!O733)</x:f>
      </x:c>
      <x:c r="E733" s="12" t="str">
        <x:f>IF(Leads!AV733="","",Leads!AV733)</x:f>
      </x:c>
      <x:c r="F733" s="12" t="str">
        <x:f>IF(Leads!AX733="","",Leads!AX733)</x:f>
      </x:c>
      <x:c r="G733" s="12" t="str">
        <x:f>IF(Leads!BC733="","",Leads!BC733)</x:f>
      </x:c>
      <x:c r="H733" s="12" t="str">
        <x:f>IF(Leads!BE733="","",Leads!BE733)</x:f>
      </x:c>
      <x:c r="I733" s="12" t="str">
        <x:f>IF(Leads!BG733="","",Leads!BG733)</x:f>
      </x:c>
      <x:c r="J733" s="12" t="str">
        <x:f>IF(Leads!BH733="","",Leads!BH733)</x:f>
      </x:c>
      <x:c r="K733" s="12" t="str">
        <x:f>IF(A733="","","مرحبًا "&amp;C733&amp;CHAR(10)&amp;CHAR(10)&amp;"شكرًا لإتمام تقييم DBD الخاص بعيادة "&amp;B733&amp;"."&amp;CHAR(10)&amp;"نتيجتكم الحالية: "&amp;E733&amp;"%."&amp;CHAR(10)&amp;"أولوية التحسين الأولى: "&amp;F733&amp;"."&amp;IF(J733&lt;&gt;"",CHAR(10)&amp;CHAR(10)&amp;"رابط التقرير: "&amp;J733,"")&amp;CHAR(10)&amp;CHAR(10)&amp;"إذا أحببت، يمكننا مساعدتك في فهم التقرير وتحديد أفضل خطوة تالية لعيادتكم.")</x:f>
      </x:c>
      <x:c r="L733" s="12" t="str">
        <x:f>IF(D733="","",HYPERLINK("https://wa.me/"&amp;REGEXREPLACE(D733,"[^\d]","")&amp;"?text="&amp;ENCODEURL(K733),"واتساب 1"))</x:f>
      </x:c>
      <x:c r="M733" s="12" t="str">
        <x:f>IF(A733="","","مرحبًا "&amp;C733&amp;CHAR(10)&amp;CHAR(10)&amp;"بناءً على نتيجة تقييم عيادة "&amp;B733&amp;"، فإن الترشيح الأقوى لكم الآن هو: "&amp;G733&amp;"."&amp;CHAR(10)&amp;"هذا الخيار يساعدكم في معالجة أكبر فجوة حالية بشكل عملي ومباشر."&amp;IF(J733&lt;&gt;"",CHAR(10)&amp;CHAR(10)&amp;"رابط التقرير: "&amp;J733,"")&amp;CHAR(10)&amp;CHAR(10)&amp;"إذا رغبت، يمكننا توضيح لماذا هذا الكورس هو الأنسب لكم الآن.")</x:f>
      </x:c>
      <x:c r="N733" s="12" t="str">
        <x:f>IF(D733="","",HYPERLINK("https://wa.me/"&amp;REGEXREPLACE(D733,"[^\d]","")&amp;"?text="&amp;ENCODEURL(M733),"واتساب 2"))</x:f>
      </x:c>
      <x:c r="O733" s="12" t="str">
        <x:f>IF(A733="","","مرحبًا "&amp;C733&amp;CHAR(10)&amp;CHAR(10)&amp;"إذا كانت التحديات لديكم تحتاج حلًا أشمل، فالبرنامج الكامل المناسب لكم هو: "&amp;H733&amp;"."&amp;IF(I733&lt;&gt;"",CHAR(10)&amp;"كما يمكنكم أيضًا حجز: "&amp;I733&amp;".","")&amp;IF(J733&lt;&gt;"",CHAR(10)&amp;CHAR(10)&amp;"رابط التقرير: "&amp;J733,"")&amp;CHAR(10)&amp;CHAR(10)&amp;"يسعدنا مساعدتكم في اختيار المسار الأنسب حسب وضع العيادة الحالي.")</x:f>
      </x:c>
      <x:c r="P733" s="12" t="str">
        <x:f>IF(D733="","",HYPERLINK("https://wa.me/"&amp;REGEXREPLACE(D733,"[^\d]","")&amp;"?text="&amp;ENCODEURL(O733),"واتساب 3"))</x:f>
      </x:c>
    </x:row>
    <x:row r="734" ht="15" hidden="0" customHeight="1">
      <x:c r="A734" s="12" t="str">
        <x:f>IF(Leads!A734="","",Leads!A734)</x:f>
      </x:c>
      <x:c r="B734" s="12" t="str">
        <x:f>IF(Leads!F734="","",Leads!F734)</x:f>
      </x:c>
      <x:c r="C734" s="12" t="str">
        <x:f>IF(Leads!G734="","",Leads!G734)</x:f>
      </x:c>
      <x:c r="D734" s="12" t="str">
        <x:f>IF(Leads!O734="","",Leads!O734)</x:f>
      </x:c>
      <x:c r="E734" s="12" t="str">
        <x:f>IF(Leads!AV734="","",Leads!AV734)</x:f>
      </x:c>
      <x:c r="F734" s="12" t="str">
        <x:f>IF(Leads!AX734="","",Leads!AX734)</x:f>
      </x:c>
      <x:c r="G734" s="12" t="str">
        <x:f>IF(Leads!BC734="","",Leads!BC734)</x:f>
      </x:c>
      <x:c r="H734" s="12" t="str">
        <x:f>IF(Leads!BE734="","",Leads!BE734)</x:f>
      </x:c>
      <x:c r="I734" s="12" t="str">
        <x:f>IF(Leads!BG734="","",Leads!BG734)</x:f>
      </x:c>
      <x:c r="J734" s="12" t="str">
        <x:f>IF(Leads!BH734="","",Leads!BH734)</x:f>
      </x:c>
      <x:c r="K734" s="12" t="str">
        <x:f>IF(A734="","","مرحبًا "&amp;C734&amp;CHAR(10)&amp;CHAR(10)&amp;"شكرًا لإتمام تقييم DBD الخاص بعيادة "&amp;B734&amp;"."&amp;CHAR(10)&amp;"نتيجتكم الحالية: "&amp;E734&amp;"%."&amp;CHAR(10)&amp;"أولوية التحسين الأولى: "&amp;F734&amp;"."&amp;IF(J734&lt;&gt;"",CHAR(10)&amp;CHAR(10)&amp;"رابط التقرير: "&amp;J734,"")&amp;CHAR(10)&amp;CHAR(10)&amp;"إذا أحببت، يمكننا مساعدتك في فهم التقرير وتحديد أفضل خطوة تالية لعيادتكم.")</x:f>
      </x:c>
      <x:c r="L734" s="12" t="str">
        <x:f>IF(D734="","",HYPERLINK("https://wa.me/"&amp;REGEXREPLACE(D734,"[^\d]","")&amp;"?text="&amp;ENCODEURL(K734),"واتساب 1"))</x:f>
      </x:c>
      <x:c r="M734" s="12" t="str">
        <x:f>IF(A734="","","مرحبًا "&amp;C734&amp;CHAR(10)&amp;CHAR(10)&amp;"بناءً على نتيجة تقييم عيادة "&amp;B734&amp;"، فإن الترشيح الأقوى لكم الآن هو: "&amp;G734&amp;"."&amp;CHAR(10)&amp;"هذا الخيار يساعدكم في معالجة أكبر فجوة حالية بشكل عملي ومباشر."&amp;IF(J734&lt;&gt;"",CHAR(10)&amp;CHAR(10)&amp;"رابط التقرير: "&amp;J734,"")&amp;CHAR(10)&amp;CHAR(10)&amp;"إذا رغبت، يمكننا توضيح لماذا هذا الكورس هو الأنسب لكم الآن.")</x:f>
      </x:c>
      <x:c r="N734" s="12" t="str">
        <x:f>IF(D734="","",HYPERLINK("https://wa.me/"&amp;REGEXREPLACE(D734,"[^\d]","")&amp;"?text="&amp;ENCODEURL(M734),"واتساب 2"))</x:f>
      </x:c>
      <x:c r="O734" s="12" t="str">
        <x:f>IF(A734="","","مرحبًا "&amp;C734&amp;CHAR(10)&amp;CHAR(10)&amp;"إذا كانت التحديات لديكم تحتاج حلًا أشمل، فالبرنامج الكامل المناسب لكم هو: "&amp;H734&amp;"."&amp;IF(I734&lt;&gt;"",CHAR(10)&amp;"كما يمكنكم أيضًا حجز: "&amp;I734&amp;".","")&amp;IF(J734&lt;&gt;"",CHAR(10)&amp;CHAR(10)&amp;"رابط التقرير: "&amp;J734,"")&amp;CHAR(10)&amp;CHAR(10)&amp;"يسعدنا مساعدتكم في اختيار المسار الأنسب حسب وضع العيادة الحالي.")</x:f>
      </x:c>
      <x:c r="P734" s="12" t="str">
        <x:f>IF(D734="","",HYPERLINK("https://wa.me/"&amp;REGEXREPLACE(D734,"[^\d]","")&amp;"?text="&amp;ENCODEURL(O734),"واتساب 3"))</x:f>
      </x:c>
    </x:row>
    <x:row r="735" ht="15" hidden="0" customHeight="1">
      <x:c r="A735" s="12" t="str">
        <x:f>IF(Leads!A735="","",Leads!A735)</x:f>
      </x:c>
      <x:c r="B735" s="12" t="str">
        <x:f>IF(Leads!F735="","",Leads!F735)</x:f>
      </x:c>
      <x:c r="C735" s="12" t="str">
        <x:f>IF(Leads!G735="","",Leads!G735)</x:f>
      </x:c>
      <x:c r="D735" s="12" t="str">
        <x:f>IF(Leads!O735="","",Leads!O735)</x:f>
      </x:c>
      <x:c r="E735" s="12" t="str">
        <x:f>IF(Leads!AV735="","",Leads!AV735)</x:f>
      </x:c>
      <x:c r="F735" s="12" t="str">
        <x:f>IF(Leads!AX735="","",Leads!AX735)</x:f>
      </x:c>
      <x:c r="G735" s="12" t="str">
        <x:f>IF(Leads!BC735="","",Leads!BC735)</x:f>
      </x:c>
      <x:c r="H735" s="12" t="str">
        <x:f>IF(Leads!BE735="","",Leads!BE735)</x:f>
      </x:c>
      <x:c r="I735" s="12" t="str">
        <x:f>IF(Leads!BG735="","",Leads!BG735)</x:f>
      </x:c>
      <x:c r="J735" s="12" t="str">
        <x:f>IF(Leads!BH735="","",Leads!BH735)</x:f>
      </x:c>
      <x:c r="K735" s="12" t="str">
        <x:f>IF(A735="","","مرحبًا "&amp;C735&amp;CHAR(10)&amp;CHAR(10)&amp;"شكرًا لإتمام تقييم DBD الخاص بعيادة "&amp;B735&amp;"."&amp;CHAR(10)&amp;"نتيجتكم الحالية: "&amp;E735&amp;"%."&amp;CHAR(10)&amp;"أولوية التحسين الأولى: "&amp;F735&amp;"."&amp;IF(J735&lt;&gt;"",CHAR(10)&amp;CHAR(10)&amp;"رابط التقرير: "&amp;J735,"")&amp;CHAR(10)&amp;CHAR(10)&amp;"إذا أحببت، يمكننا مساعدتك في فهم التقرير وتحديد أفضل خطوة تالية لعيادتكم.")</x:f>
      </x:c>
      <x:c r="L735" s="12" t="str">
        <x:f>IF(D735="","",HYPERLINK("https://wa.me/"&amp;REGEXREPLACE(D735,"[^\d]","")&amp;"?text="&amp;ENCODEURL(K735),"واتساب 1"))</x:f>
      </x:c>
      <x:c r="M735" s="12" t="str">
        <x:f>IF(A735="","","مرحبًا "&amp;C735&amp;CHAR(10)&amp;CHAR(10)&amp;"بناءً على نتيجة تقييم عيادة "&amp;B735&amp;"، فإن الترشيح الأقوى لكم الآن هو: "&amp;G735&amp;"."&amp;CHAR(10)&amp;"هذا الخيار يساعدكم في معالجة أكبر فجوة حالية بشكل عملي ومباشر."&amp;IF(J735&lt;&gt;"",CHAR(10)&amp;CHAR(10)&amp;"رابط التقرير: "&amp;J735,"")&amp;CHAR(10)&amp;CHAR(10)&amp;"إذا رغبت، يمكننا توضيح لماذا هذا الكورس هو الأنسب لكم الآن.")</x:f>
      </x:c>
      <x:c r="N735" s="12" t="str">
        <x:f>IF(D735="","",HYPERLINK("https://wa.me/"&amp;REGEXREPLACE(D735,"[^\d]","")&amp;"?text="&amp;ENCODEURL(M735),"واتساب 2"))</x:f>
      </x:c>
      <x:c r="O735" s="12" t="str">
        <x:f>IF(A735="","","مرحبًا "&amp;C735&amp;CHAR(10)&amp;CHAR(10)&amp;"إذا كانت التحديات لديكم تحتاج حلًا أشمل، فالبرنامج الكامل المناسب لكم هو: "&amp;H735&amp;"."&amp;IF(I735&lt;&gt;"",CHAR(10)&amp;"كما يمكنكم أيضًا حجز: "&amp;I735&amp;".","")&amp;IF(J735&lt;&gt;"",CHAR(10)&amp;CHAR(10)&amp;"رابط التقرير: "&amp;J735,"")&amp;CHAR(10)&amp;CHAR(10)&amp;"يسعدنا مساعدتكم في اختيار المسار الأنسب حسب وضع العيادة الحالي.")</x:f>
      </x:c>
      <x:c r="P735" s="12" t="str">
        <x:f>IF(D735="","",HYPERLINK("https://wa.me/"&amp;REGEXREPLACE(D735,"[^\d]","")&amp;"?text="&amp;ENCODEURL(O735),"واتساب 3"))</x:f>
      </x:c>
    </x:row>
    <x:row r="736" ht="15" hidden="0" customHeight="1">
      <x:c r="A736" s="12" t="str">
        <x:f>IF(Leads!A736="","",Leads!A736)</x:f>
      </x:c>
      <x:c r="B736" s="12" t="str">
        <x:f>IF(Leads!F736="","",Leads!F736)</x:f>
      </x:c>
      <x:c r="C736" s="12" t="str">
        <x:f>IF(Leads!G736="","",Leads!G736)</x:f>
      </x:c>
      <x:c r="D736" s="12" t="str">
        <x:f>IF(Leads!O736="","",Leads!O736)</x:f>
      </x:c>
      <x:c r="E736" s="12" t="str">
        <x:f>IF(Leads!AV736="","",Leads!AV736)</x:f>
      </x:c>
      <x:c r="F736" s="12" t="str">
        <x:f>IF(Leads!AX736="","",Leads!AX736)</x:f>
      </x:c>
      <x:c r="G736" s="12" t="str">
        <x:f>IF(Leads!BC736="","",Leads!BC736)</x:f>
      </x:c>
      <x:c r="H736" s="12" t="str">
        <x:f>IF(Leads!BE736="","",Leads!BE736)</x:f>
      </x:c>
      <x:c r="I736" s="12" t="str">
        <x:f>IF(Leads!BG736="","",Leads!BG736)</x:f>
      </x:c>
      <x:c r="J736" s="12" t="str">
        <x:f>IF(Leads!BH736="","",Leads!BH736)</x:f>
      </x:c>
      <x:c r="K736" s="12" t="str">
        <x:f>IF(A736="","","مرحبًا "&amp;C736&amp;CHAR(10)&amp;CHAR(10)&amp;"شكرًا لإتمام تقييم DBD الخاص بعيادة "&amp;B736&amp;"."&amp;CHAR(10)&amp;"نتيجتكم الحالية: "&amp;E736&amp;"%."&amp;CHAR(10)&amp;"أولوية التحسين الأولى: "&amp;F736&amp;"."&amp;IF(J736&lt;&gt;"",CHAR(10)&amp;CHAR(10)&amp;"رابط التقرير: "&amp;J736,"")&amp;CHAR(10)&amp;CHAR(10)&amp;"إذا أحببت، يمكننا مساعدتك في فهم التقرير وتحديد أفضل خطوة تالية لعيادتكم.")</x:f>
      </x:c>
      <x:c r="L736" s="12" t="str">
        <x:f>IF(D736="","",HYPERLINK("https://wa.me/"&amp;REGEXREPLACE(D736,"[^\d]","")&amp;"?text="&amp;ENCODEURL(K736),"واتساب 1"))</x:f>
      </x:c>
      <x:c r="M736" s="12" t="str">
        <x:f>IF(A736="","","مرحبًا "&amp;C736&amp;CHAR(10)&amp;CHAR(10)&amp;"بناءً على نتيجة تقييم عيادة "&amp;B736&amp;"، فإن الترشيح الأقوى لكم الآن هو: "&amp;G736&amp;"."&amp;CHAR(10)&amp;"هذا الخيار يساعدكم في معالجة أكبر فجوة حالية بشكل عملي ومباشر."&amp;IF(J736&lt;&gt;"",CHAR(10)&amp;CHAR(10)&amp;"رابط التقرير: "&amp;J736,"")&amp;CHAR(10)&amp;CHAR(10)&amp;"إذا رغبت، يمكننا توضيح لماذا هذا الكورس هو الأنسب لكم الآن.")</x:f>
      </x:c>
      <x:c r="N736" s="12" t="str">
        <x:f>IF(D736="","",HYPERLINK("https://wa.me/"&amp;REGEXREPLACE(D736,"[^\d]","")&amp;"?text="&amp;ENCODEURL(M736),"واتساب 2"))</x:f>
      </x:c>
      <x:c r="O736" s="12" t="str">
        <x:f>IF(A736="","","مرحبًا "&amp;C736&amp;CHAR(10)&amp;CHAR(10)&amp;"إذا كانت التحديات لديكم تحتاج حلًا أشمل، فالبرنامج الكامل المناسب لكم هو: "&amp;H736&amp;"."&amp;IF(I736&lt;&gt;"",CHAR(10)&amp;"كما يمكنكم أيضًا حجز: "&amp;I736&amp;".","")&amp;IF(J736&lt;&gt;"",CHAR(10)&amp;CHAR(10)&amp;"رابط التقرير: "&amp;J736,"")&amp;CHAR(10)&amp;CHAR(10)&amp;"يسعدنا مساعدتكم في اختيار المسار الأنسب حسب وضع العيادة الحالي.")</x:f>
      </x:c>
      <x:c r="P736" s="12" t="str">
        <x:f>IF(D736="","",HYPERLINK("https://wa.me/"&amp;REGEXREPLACE(D736,"[^\d]","")&amp;"?text="&amp;ENCODEURL(O736),"واتساب 3"))</x:f>
      </x:c>
    </x:row>
    <x:row r="737" ht="15" hidden="0" customHeight="1">
      <x:c r="A737" s="12" t="str">
        <x:f>IF(Leads!A737="","",Leads!A737)</x:f>
      </x:c>
      <x:c r="B737" s="12" t="str">
        <x:f>IF(Leads!F737="","",Leads!F737)</x:f>
      </x:c>
      <x:c r="C737" s="12" t="str">
        <x:f>IF(Leads!G737="","",Leads!G737)</x:f>
      </x:c>
      <x:c r="D737" s="12" t="str">
        <x:f>IF(Leads!O737="","",Leads!O737)</x:f>
      </x:c>
      <x:c r="E737" s="12" t="str">
        <x:f>IF(Leads!AV737="","",Leads!AV737)</x:f>
      </x:c>
      <x:c r="F737" s="12" t="str">
        <x:f>IF(Leads!AX737="","",Leads!AX737)</x:f>
      </x:c>
      <x:c r="G737" s="12" t="str">
        <x:f>IF(Leads!BC737="","",Leads!BC737)</x:f>
      </x:c>
      <x:c r="H737" s="12" t="str">
        <x:f>IF(Leads!BE737="","",Leads!BE737)</x:f>
      </x:c>
      <x:c r="I737" s="12" t="str">
        <x:f>IF(Leads!BG737="","",Leads!BG737)</x:f>
      </x:c>
      <x:c r="J737" s="12" t="str">
        <x:f>IF(Leads!BH737="","",Leads!BH737)</x:f>
      </x:c>
      <x:c r="K737" s="12" t="str">
        <x:f>IF(A737="","","مرحبًا "&amp;C737&amp;CHAR(10)&amp;CHAR(10)&amp;"شكرًا لإتمام تقييم DBD الخاص بعيادة "&amp;B737&amp;"."&amp;CHAR(10)&amp;"نتيجتكم الحالية: "&amp;E737&amp;"%."&amp;CHAR(10)&amp;"أولوية التحسين الأولى: "&amp;F737&amp;"."&amp;IF(J737&lt;&gt;"",CHAR(10)&amp;CHAR(10)&amp;"رابط التقرير: "&amp;J737,"")&amp;CHAR(10)&amp;CHAR(10)&amp;"إذا أحببت، يمكننا مساعدتك في فهم التقرير وتحديد أفضل خطوة تالية لعيادتكم.")</x:f>
      </x:c>
      <x:c r="L737" s="12" t="str">
        <x:f>IF(D737="","",HYPERLINK("https://wa.me/"&amp;REGEXREPLACE(D737,"[^\d]","")&amp;"?text="&amp;ENCODEURL(K737),"واتساب 1"))</x:f>
      </x:c>
      <x:c r="M737" s="12" t="str">
        <x:f>IF(A737="","","مرحبًا "&amp;C737&amp;CHAR(10)&amp;CHAR(10)&amp;"بناءً على نتيجة تقييم عيادة "&amp;B737&amp;"، فإن الترشيح الأقوى لكم الآن هو: "&amp;G737&amp;"."&amp;CHAR(10)&amp;"هذا الخيار يساعدكم في معالجة أكبر فجوة حالية بشكل عملي ومباشر."&amp;IF(J737&lt;&gt;"",CHAR(10)&amp;CHAR(10)&amp;"رابط التقرير: "&amp;J737,"")&amp;CHAR(10)&amp;CHAR(10)&amp;"إذا رغبت، يمكننا توضيح لماذا هذا الكورس هو الأنسب لكم الآن.")</x:f>
      </x:c>
      <x:c r="N737" s="12" t="str">
        <x:f>IF(D737="","",HYPERLINK("https://wa.me/"&amp;REGEXREPLACE(D737,"[^\d]","")&amp;"?text="&amp;ENCODEURL(M737),"واتساب 2"))</x:f>
      </x:c>
      <x:c r="O737" s="12" t="str">
        <x:f>IF(A737="","","مرحبًا "&amp;C737&amp;CHAR(10)&amp;CHAR(10)&amp;"إذا كانت التحديات لديكم تحتاج حلًا أشمل، فالبرنامج الكامل المناسب لكم هو: "&amp;H737&amp;"."&amp;IF(I737&lt;&gt;"",CHAR(10)&amp;"كما يمكنكم أيضًا حجز: "&amp;I737&amp;".","")&amp;IF(J737&lt;&gt;"",CHAR(10)&amp;CHAR(10)&amp;"رابط التقرير: "&amp;J737,"")&amp;CHAR(10)&amp;CHAR(10)&amp;"يسعدنا مساعدتكم في اختيار المسار الأنسب حسب وضع العيادة الحالي.")</x:f>
      </x:c>
      <x:c r="P737" s="12" t="str">
        <x:f>IF(D737="","",HYPERLINK("https://wa.me/"&amp;REGEXREPLACE(D737,"[^\d]","")&amp;"?text="&amp;ENCODEURL(O737),"واتساب 3"))</x:f>
      </x:c>
    </x:row>
    <x:row r="738" ht="15" hidden="0" customHeight="1">
      <x:c r="A738" s="12" t="str">
        <x:f>IF(Leads!A738="","",Leads!A738)</x:f>
      </x:c>
      <x:c r="B738" s="12" t="str">
        <x:f>IF(Leads!F738="","",Leads!F738)</x:f>
      </x:c>
      <x:c r="C738" s="12" t="str">
        <x:f>IF(Leads!G738="","",Leads!G738)</x:f>
      </x:c>
      <x:c r="D738" s="12" t="str">
        <x:f>IF(Leads!O738="","",Leads!O738)</x:f>
      </x:c>
      <x:c r="E738" s="12" t="str">
        <x:f>IF(Leads!AV738="","",Leads!AV738)</x:f>
      </x:c>
      <x:c r="F738" s="12" t="str">
        <x:f>IF(Leads!AX738="","",Leads!AX738)</x:f>
      </x:c>
      <x:c r="G738" s="12" t="str">
        <x:f>IF(Leads!BC738="","",Leads!BC738)</x:f>
      </x:c>
      <x:c r="H738" s="12" t="str">
        <x:f>IF(Leads!BE738="","",Leads!BE738)</x:f>
      </x:c>
      <x:c r="I738" s="12" t="str">
        <x:f>IF(Leads!BG738="","",Leads!BG738)</x:f>
      </x:c>
      <x:c r="J738" s="12" t="str">
        <x:f>IF(Leads!BH738="","",Leads!BH738)</x:f>
      </x:c>
      <x:c r="K738" s="12" t="str">
        <x:f>IF(A738="","","مرحبًا "&amp;C738&amp;CHAR(10)&amp;CHAR(10)&amp;"شكرًا لإتمام تقييم DBD الخاص بعيادة "&amp;B738&amp;"."&amp;CHAR(10)&amp;"نتيجتكم الحالية: "&amp;E738&amp;"%."&amp;CHAR(10)&amp;"أولوية التحسين الأولى: "&amp;F738&amp;"."&amp;IF(J738&lt;&gt;"",CHAR(10)&amp;CHAR(10)&amp;"رابط التقرير: "&amp;J738,"")&amp;CHAR(10)&amp;CHAR(10)&amp;"إذا أحببت، يمكننا مساعدتك في فهم التقرير وتحديد أفضل خطوة تالية لعيادتكم.")</x:f>
      </x:c>
      <x:c r="L738" s="12" t="str">
        <x:f>IF(D738="","",HYPERLINK("https://wa.me/"&amp;REGEXREPLACE(D738,"[^\d]","")&amp;"?text="&amp;ENCODEURL(K738),"واتساب 1"))</x:f>
      </x:c>
      <x:c r="M738" s="12" t="str">
        <x:f>IF(A738="","","مرحبًا "&amp;C738&amp;CHAR(10)&amp;CHAR(10)&amp;"بناءً على نتيجة تقييم عيادة "&amp;B738&amp;"، فإن الترشيح الأقوى لكم الآن هو: "&amp;G738&amp;"."&amp;CHAR(10)&amp;"هذا الخيار يساعدكم في معالجة أكبر فجوة حالية بشكل عملي ومباشر."&amp;IF(J738&lt;&gt;"",CHAR(10)&amp;CHAR(10)&amp;"رابط التقرير: "&amp;J738,"")&amp;CHAR(10)&amp;CHAR(10)&amp;"إذا رغبت، يمكننا توضيح لماذا هذا الكورس هو الأنسب لكم الآن.")</x:f>
      </x:c>
      <x:c r="N738" s="12" t="str">
        <x:f>IF(D738="","",HYPERLINK("https://wa.me/"&amp;REGEXREPLACE(D738,"[^\d]","")&amp;"?text="&amp;ENCODEURL(M738),"واتساب 2"))</x:f>
      </x:c>
      <x:c r="O738" s="12" t="str">
        <x:f>IF(A738="","","مرحبًا "&amp;C738&amp;CHAR(10)&amp;CHAR(10)&amp;"إذا كانت التحديات لديكم تحتاج حلًا أشمل، فالبرنامج الكامل المناسب لكم هو: "&amp;H738&amp;"."&amp;IF(I738&lt;&gt;"",CHAR(10)&amp;"كما يمكنكم أيضًا حجز: "&amp;I738&amp;".","")&amp;IF(J738&lt;&gt;"",CHAR(10)&amp;CHAR(10)&amp;"رابط التقرير: "&amp;J738,"")&amp;CHAR(10)&amp;CHAR(10)&amp;"يسعدنا مساعدتكم في اختيار المسار الأنسب حسب وضع العيادة الحالي.")</x:f>
      </x:c>
      <x:c r="P738" s="12" t="str">
        <x:f>IF(D738="","",HYPERLINK("https://wa.me/"&amp;REGEXREPLACE(D738,"[^\d]","")&amp;"?text="&amp;ENCODEURL(O738),"واتساب 3"))</x:f>
      </x:c>
    </x:row>
    <x:row r="739" ht="15" hidden="0" customHeight="1">
      <x:c r="A739" s="12" t="str">
        <x:f>IF(Leads!A739="","",Leads!A739)</x:f>
      </x:c>
      <x:c r="B739" s="12" t="str">
        <x:f>IF(Leads!F739="","",Leads!F739)</x:f>
      </x:c>
      <x:c r="C739" s="12" t="str">
        <x:f>IF(Leads!G739="","",Leads!G739)</x:f>
      </x:c>
      <x:c r="D739" s="12" t="str">
        <x:f>IF(Leads!O739="","",Leads!O739)</x:f>
      </x:c>
      <x:c r="E739" s="12" t="str">
        <x:f>IF(Leads!AV739="","",Leads!AV739)</x:f>
      </x:c>
      <x:c r="F739" s="12" t="str">
        <x:f>IF(Leads!AX739="","",Leads!AX739)</x:f>
      </x:c>
      <x:c r="G739" s="12" t="str">
        <x:f>IF(Leads!BC739="","",Leads!BC739)</x:f>
      </x:c>
      <x:c r="H739" s="12" t="str">
        <x:f>IF(Leads!BE739="","",Leads!BE739)</x:f>
      </x:c>
      <x:c r="I739" s="12" t="str">
        <x:f>IF(Leads!BG739="","",Leads!BG739)</x:f>
      </x:c>
      <x:c r="J739" s="12" t="str">
        <x:f>IF(Leads!BH739="","",Leads!BH739)</x:f>
      </x:c>
      <x:c r="K739" s="12" t="str">
        <x:f>IF(A739="","","مرحبًا "&amp;C739&amp;CHAR(10)&amp;CHAR(10)&amp;"شكرًا لإتمام تقييم DBD الخاص بعيادة "&amp;B739&amp;"."&amp;CHAR(10)&amp;"نتيجتكم الحالية: "&amp;E739&amp;"%."&amp;CHAR(10)&amp;"أولوية التحسين الأولى: "&amp;F739&amp;"."&amp;IF(J739&lt;&gt;"",CHAR(10)&amp;CHAR(10)&amp;"رابط التقرير: "&amp;J739,"")&amp;CHAR(10)&amp;CHAR(10)&amp;"إذا أحببت، يمكننا مساعدتك في فهم التقرير وتحديد أفضل خطوة تالية لعيادتكم.")</x:f>
      </x:c>
      <x:c r="L739" s="12" t="str">
        <x:f>IF(D739="","",HYPERLINK("https://wa.me/"&amp;REGEXREPLACE(D739,"[^\d]","")&amp;"?text="&amp;ENCODEURL(K739),"واتساب 1"))</x:f>
      </x:c>
      <x:c r="M739" s="12" t="str">
        <x:f>IF(A739="","","مرحبًا "&amp;C739&amp;CHAR(10)&amp;CHAR(10)&amp;"بناءً على نتيجة تقييم عيادة "&amp;B739&amp;"، فإن الترشيح الأقوى لكم الآن هو: "&amp;G739&amp;"."&amp;CHAR(10)&amp;"هذا الخيار يساعدكم في معالجة أكبر فجوة حالية بشكل عملي ومباشر."&amp;IF(J739&lt;&gt;"",CHAR(10)&amp;CHAR(10)&amp;"رابط التقرير: "&amp;J739,"")&amp;CHAR(10)&amp;CHAR(10)&amp;"إذا رغبت، يمكننا توضيح لماذا هذا الكورس هو الأنسب لكم الآن.")</x:f>
      </x:c>
      <x:c r="N739" s="12" t="str">
        <x:f>IF(D739="","",HYPERLINK("https://wa.me/"&amp;REGEXREPLACE(D739,"[^\d]","")&amp;"?text="&amp;ENCODEURL(M739),"واتساب 2"))</x:f>
      </x:c>
      <x:c r="O739" s="12" t="str">
        <x:f>IF(A739="","","مرحبًا "&amp;C739&amp;CHAR(10)&amp;CHAR(10)&amp;"إذا كانت التحديات لديكم تحتاج حلًا أشمل، فالبرنامج الكامل المناسب لكم هو: "&amp;H739&amp;"."&amp;IF(I739&lt;&gt;"",CHAR(10)&amp;"كما يمكنكم أيضًا حجز: "&amp;I739&amp;".","")&amp;IF(J739&lt;&gt;"",CHAR(10)&amp;CHAR(10)&amp;"رابط التقرير: "&amp;J739,"")&amp;CHAR(10)&amp;CHAR(10)&amp;"يسعدنا مساعدتكم في اختيار المسار الأنسب حسب وضع العيادة الحالي.")</x:f>
      </x:c>
      <x:c r="P739" s="12" t="str">
        <x:f>IF(D739="","",HYPERLINK("https://wa.me/"&amp;REGEXREPLACE(D739,"[^\d]","")&amp;"?text="&amp;ENCODEURL(O739),"واتساب 3"))</x:f>
      </x:c>
    </x:row>
    <x:row r="740" ht="15" hidden="0" customHeight="1">
      <x:c r="A740" s="12" t="str">
        <x:f>IF(Leads!A740="","",Leads!A740)</x:f>
      </x:c>
      <x:c r="B740" s="12" t="str">
        <x:f>IF(Leads!F740="","",Leads!F740)</x:f>
      </x:c>
      <x:c r="C740" s="12" t="str">
        <x:f>IF(Leads!G740="","",Leads!G740)</x:f>
      </x:c>
      <x:c r="D740" s="12" t="str">
        <x:f>IF(Leads!O740="","",Leads!O740)</x:f>
      </x:c>
      <x:c r="E740" s="12" t="str">
        <x:f>IF(Leads!AV740="","",Leads!AV740)</x:f>
      </x:c>
      <x:c r="F740" s="12" t="str">
        <x:f>IF(Leads!AX740="","",Leads!AX740)</x:f>
      </x:c>
      <x:c r="G740" s="12" t="str">
        <x:f>IF(Leads!BC740="","",Leads!BC740)</x:f>
      </x:c>
      <x:c r="H740" s="12" t="str">
        <x:f>IF(Leads!BE740="","",Leads!BE740)</x:f>
      </x:c>
      <x:c r="I740" s="12" t="str">
        <x:f>IF(Leads!BG740="","",Leads!BG740)</x:f>
      </x:c>
      <x:c r="J740" s="12" t="str">
        <x:f>IF(Leads!BH740="","",Leads!BH740)</x:f>
      </x:c>
      <x:c r="K740" s="12" t="str">
        <x:f>IF(A740="","","مرحبًا "&amp;C740&amp;CHAR(10)&amp;CHAR(10)&amp;"شكرًا لإتمام تقييم DBD الخاص بعيادة "&amp;B740&amp;"."&amp;CHAR(10)&amp;"نتيجتكم الحالية: "&amp;E740&amp;"%."&amp;CHAR(10)&amp;"أولوية التحسين الأولى: "&amp;F740&amp;"."&amp;IF(J740&lt;&gt;"",CHAR(10)&amp;CHAR(10)&amp;"رابط التقرير: "&amp;J740,"")&amp;CHAR(10)&amp;CHAR(10)&amp;"إذا أحببت، يمكننا مساعدتك في فهم التقرير وتحديد أفضل خطوة تالية لعيادتكم.")</x:f>
      </x:c>
      <x:c r="L740" s="12" t="str">
        <x:f>IF(D740="","",HYPERLINK("https://wa.me/"&amp;REGEXREPLACE(D740,"[^\d]","")&amp;"?text="&amp;ENCODEURL(K740),"واتساب 1"))</x:f>
      </x:c>
      <x:c r="M740" s="12" t="str">
        <x:f>IF(A740="","","مرحبًا "&amp;C740&amp;CHAR(10)&amp;CHAR(10)&amp;"بناءً على نتيجة تقييم عيادة "&amp;B740&amp;"، فإن الترشيح الأقوى لكم الآن هو: "&amp;G740&amp;"."&amp;CHAR(10)&amp;"هذا الخيار يساعدكم في معالجة أكبر فجوة حالية بشكل عملي ومباشر."&amp;IF(J740&lt;&gt;"",CHAR(10)&amp;CHAR(10)&amp;"رابط التقرير: "&amp;J740,"")&amp;CHAR(10)&amp;CHAR(10)&amp;"إذا رغبت، يمكننا توضيح لماذا هذا الكورس هو الأنسب لكم الآن.")</x:f>
      </x:c>
      <x:c r="N740" s="12" t="str">
        <x:f>IF(D740="","",HYPERLINK("https://wa.me/"&amp;REGEXREPLACE(D740,"[^\d]","")&amp;"?text="&amp;ENCODEURL(M740),"واتساب 2"))</x:f>
      </x:c>
      <x:c r="O740" s="12" t="str">
        <x:f>IF(A740="","","مرحبًا "&amp;C740&amp;CHAR(10)&amp;CHAR(10)&amp;"إذا كانت التحديات لديكم تحتاج حلًا أشمل، فالبرنامج الكامل المناسب لكم هو: "&amp;H740&amp;"."&amp;IF(I740&lt;&gt;"",CHAR(10)&amp;"كما يمكنكم أيضًا حجز: "&amp;I740&amp;".","")&amp;IF(J740&lt;&gt;"",CHAR(10)&amp;CHAR(10)&amp;"رابط التقرير: "&amp;J740,"")&amp;CHAR(10)&amp;CHAR(10)&amp;"يسعدنا مساعدتكم في اختيار المسار الأنسب حسب وضع العيادة الحالي.")</x:f>
      </x:c>
      <x:c r="P740" s="12" t="str">
        <x:f>IF(D740="","",HYPERLINK("https://wa.me/"&amp;REGEXREPLACE(D740,"[^\d]","")&amp;"?text="&amp;ENCODEURL(O740),"واتساب 3"))</x:f>
      </x:c>
    </x:row>
    <x:row r="741" ht="15" hidden="0" customHeight="1">
      <x:c r="A741" s="12" t="str">
        <x:f>IF(Leads!A741="","",Leads!A741)</x:f>
      </x:c>
      <x:c r="B741" s="12" t="str">
        <x:f>IF(Leads!F741="","",Leads!F741)</x:f>
      </x:c>
      <x:c r="C741" s="12" t="str">
        <x:f>IF(Leads!G741="","",Leads!G741)</x:f>
      </x:c>
      <x:c r="D741" s="12" t="str">
        <x:f>IF(Leads!O741="","",Leads!O741)</x:f>
      </x:c>
      <x:c r="E741" s="12" t="str">
        <x:f>IF(Leads!AV741="","",Leads!AV741)</x:f>
      </x:c>
      <x:c r="F741" s="12" t="str">
        <x:f>IF(Leads!AX741="","",Leads!AX741)</x:f>
      </x:c>
      <x:c r="G741" s="12" t="str">
        <x:f>IF(Leads!BC741="","",Leads!BC741)</x:f>
      </x:c>
      <x:c r="H741" s="12" t="str">
        <x:f>IF(Leads!BE741="","",Leads!BE741)</x:f>
      </x:c>
      <x:c r="I741" s="12" t="str">
        <x:f>IF(Leads!BG741="","",Leads!BG741)</x:f>
      </x:c>
      <x:c r="J741" s="12" t="str">
        <x:f>IF(Leads!BH741="","",Leads!BH741)</x:f>
      </x:c>
      <x:c r="K741" s="12" t="str">
        <x:f>IF(A741="","","مرحبًا "&amp;C741&amp;CHAR(10)&amp;CHAR(10)&amp;"شكرًا لإتمام تقييم DBD الخاص بعيادة "&amp;B741&amp;"."&amp;CHAR(10)&amp;"نتيجتكم الحالية: "&amp;E741&amp;"%."&amp;CHAR(10)&amp;"أولوية التحسين الأولى: "&amp;F741&amp;"."&amp;IF(J741&lt;&gt;"",CHAR(10)&amp;CHAR(10)&amp;"رابط التقرير: "&amp;J741,"")&amp;CHAR(10)&amp;CHAR(10)&amp;"إذا أحببت، يمكننا مساعدتك في فهم التقرير وتحديد أفضل خطوة تالية لعيادتكم.")</x:f>
      </x:c>
      <x:c r="L741" s="12" t="str">
        <x:f>IF(D741="","",HYPERLINK("https://wa.me/"&amp;REGEXREPLACE(D741,"[^\d]","")&amp;"?text="&amp;ENCODEURL(K741),"واتساب 1"))</x:f>
      </x:c>
      <x:c r="M741" s="12" t="str">
        <x:f>IF(A741="","","مرحبًا "&amp;C741&amp;CHAR(10)&amp;CHAR(10)&amp;"بناءً على نتيجة تقييم عيادة "&amp;B741&amp;"، فإن الترشيح الأقوى لكم الآن هو: "&amp;G741&amp;"."&amp;CHAR(10)&amp;"هذا الخيار يساعدكم في معالجة أكبر فجوة حالية بشكل عملي ومباشر."&amp;IF(J741&lt;&gt;"",CHAR(10)&amp;CHAR(10)&amp;"رابط التقرير: "&amp;J741,"")&amp;CHAR(10)&amp;CHAR(10)&amp;"إذا رغبت، يمكننا توضيح لماذا هذا الكورس هو الأنسب لكم الآن.")</x:f>
      </x:c>
      <x:c r="N741" s="12" t="str">
        <x:f>IF(D741="","",HYPERLINK("https://wa.me/"&amp;REGEXREPLACE(D741,"[^\d]","")&amp;"?text="&amp;ENCODEURL(M741),"واتساب 2"))</x:f>
      </x:c>
      <x:c r="O741" s="12" t="str">
        <x:f>IF(A741="","","مرحبًا "&amp;C741&amp;CHAR(10)&amp;CHAR(10)&amp;"إذا كانت التحديات لديكم تحتاج حلًا أشمل، فالبرنامج الكامل المناسب لكم هو: "&amp;H741&amp;"."&amp;IF(I741&lt;&gt;"",CHAR(10)&amp;"كما يمكنكم أيضًا حجز: "&amp;I741&amp;".","")&amp;IF(J741&lt;&gt;"",CHAR(10)&amp;CHAR(10)&amp;"رابط التقرير: "&amp;J741,"")&amp;CHAR(10)&amp;CHAR(10)&amp;"يسعدنا مساعدتكم في اختيار المسار الأنسب حسب وضع العيادة الحالي.")</x:f>
      </x:c>
      <x:c r="P741" s="12" t="str">
        <x:f>IF(D741="","",HYPERLINK("https://wa.me/"&amp;REGEXREPLACE(D741,"[^\d]","")&amp;"?text="&amp;ENCODEURL(O741),"واتساب 3"))</x:f>
      </x:c>
    </x:row>
    <x:row r="742" ht="15" hidden="0" customHeight="1">
      <x:c r="A742" s="12" t="str">
        <x:f>IF(Leads!A742="","",Leads!A742)</x:f>
      </x:c>
      <x:c r="B742" s="12" t="str">
        <x:f>IF(Leads!F742="","",Leads!F742)</x:f>
      </x:c>
      <x:c r="C742" s="12" t="str">
        <x:f>IF(Leads!G742="","",Leads!G742)</x:f>
      </x:c>
      <x:c r="D742" s="12" t="str">
        <x:f>IF(Leads!O742="","",Leads!O742)</x:f>
      </x:c>
      <x:c r="E742" s="12" t="str">
        <x:f>IF(Leads!AV742="","",Leads!AV742)</x:f>
      </x:c>
      <x:c r="F742" s="12" t="str">
        <x:f>IF(Leads!AX742="","",Leads!AX742)</x:f>
      </x:c>
      <x:c r="G742" s="12" t="str">
        <x:f>IF(Leads!BC742="","",Leads!BC742)</x:f>
      </x:c>
      <x:c r="H742" s="12" t="str">
        <x:f>IF(Leads!BE742="","",Leads!BE742)</x:f>
      </x:c>
      <x:c r="I742" s="12" t="str">
        <x:f>IF(Leads!BG742="","",Leads!BG742)</x:f>
      </x:c>
      <x:c r="J742" s="12" t="str">
        <x:f>IF(Leads!BH742="","",Leads!BH742)</x:f>
      </x:c>
      <x:c r="K742" s="12" t="str">
        <x:f>IF(A742="","","مرحبًا "&amp;C742&amp;CHAR(10)&amp;CHAR(10)&amp;"شكرًا لإتمام تقييم DBD الخاص بعيادة "&amp;B742&amp;"."&amp;CHAR(10)&amp;"نتيجتكم الحالية: "&amp;E742&amp;"%."&amp;CHAR(10)&amp;"أولوية التحسين الأولى: "&amp;F742&amp;"."&amp;IF(J742&lt;&gt;"",CHAR(10)&amp;CHAR(10)&amp;"رابط التقرير: "&amp;J742,"")&amp;CHAR(10)&amp;CHAR(10)&amp;"إذا أحببت، يمكننا مساعدتك في فهم التقرير وتحديد أفضل خطوة تالية لعيادتكم.")</x:f>
      </x:c>
      <x:c r="L742" s="12" t="str">
        <x:f>IF(D742="","",HYPERLINK("https://wa.me/"&amp;REGEXREPLACE(D742,"[^\d]","")&amp;"?text="&amp;ENCODEURL(K742),"واتساب 1"))</x:f>
      </x:c>
      <x:c r="M742" s="12" t="str">
        <x:f>IF(A742="","","مرحبًا "&amp;C742&amp;CHAR(10)&amp;CHAR(10)&amp;"بناءً على نتيجة تقييم عيادة "&amp;B742&amp;"، فإن الترشيح الأقوى لكم الآن هو: "&amp;G742&amp;"."&amp;CHAR(10)&amp;"هذا الخيار يساعدكم في معالجة أكبر فجوة حالية بشكل عملي ومباشر."&amp;IF(J742&lt;&gt;"",CHAR(10)&amp;CHAR(10)&amp;"رابط التقرير: "&amp;J742,"")&amp;CHAR(10)&amp;CHAR(10)&amp;"إذا رغبت، يمكننا توضيح لماذا هذا الكورس هو الأنسب لكم الآن.")</x:f>
      </x:c>
      <x:c r="N742" s="12" t="str">
        <x:f>IF(D742="","",HYPERLINK("https://wa.me/"&amp;REGEXREPLACE(D742,"[^\d]","")&amp;"?text="&amp;ENCODEURL(M742),"واتساب 2"))</x:f>
      </x:c>
      <x:c r="O742" s="12" t="str">
        <x:f>IF(A742="","","مرحبًا "&amp;C742&amp;CHAR(10)&amp;CHAR(10)&amp;"إذا كانت التحديات لديكم تحتاج حلًا أشمل، فالبرنامج الكامل المناسب لكم هو: "&amp;H742&amp;"."&amp;IF(I742&lt;&gt;"",CHAR(10)&amp;"كما يمكنكم أيضًا حجز: "&amp;I742&amp;".","")&amp;IF(J742&lt;&gt;"",CHAR(10)&amp;CHAR(10)&amp;"رابط التقرير: "&amp;J742,"")&amp;CHAR(10)&amp;CHAR(10)&amp;"يسعدنا مساعدتكم في اختيار المسار الأنسب حسب وضع العيادة الحالي.")</x:f>
      </x:c>
      <x:c r="P742" s="12" t="str">
        <x:f>IF(D742="","",HYPERLINK("https://wa.me/"&amp;REGEXREPLACE(D742,"[^\d]","")&amp;"?text="&amp;ENCODEURL(O742),"واتساب 3"))</x:f>
      </x:c>
    </x:row>
    <x:row r="743" ht="15" hidden="0" customHeight="1">
      <x:c r="A743" s="12" t="str">
        <x:f>IF(Leads!A743="","",Leads!A743)</x:f>
      </x:c>
      <x:c r="B743" s="12" t="str">
        <x:f>IF(Leads!F743="","",Leads!F743)</x:f>
      </x:c>
      <x:c r="C743" s="12" t="str">
        <x:f>IF(Leads!G743="","",Leads!G743)</x:f>
      </x:c>
      <x:c r="D743" s="12" t="str">
        <x:f>IF(Leads!O743="","",Leads!O743)</x:f>
      </x:c>
      <x:c r="E743" s="12" t="str">
        <x:f>IF(Leads!AV743="","",Leads!AV743)</x:f>
      </x:c>
      <x:c r="F743" s="12" t="str">
        <x:f>IF(Leads!AX743="","",Leads!AX743)</x:f>
      </x:c>
      <x:c r="G743" s="12" t="str">
        <x:f>IF(Leads!BC743="","",Leads!BC743)</x:f>
      </x:c>
      <x:c r="H743" s="12" t="str">
        <x:f>IF(Leads!BE743="","",Leads!BE743)</x:f>
      </x:c>
      <x:c r="I743" s="12" t="str">
        <x:f>IF(Leads!BG743="","",Leads!BG743)</x:f>
      </x:c>
      <x:c r="J743" s="12" t="str">
        <x:f>IF(Leads!BH743="","",Leads!BH743)</x:f>
      </x:c>
      <x:c r="K743" s="12" t="str">
        <x:f>IF(A743="","","مرحبًا "&amp;C743&amp;CHAR(10)&amp;CHAR(10)&amp;"شكرًا لإتمام تقييم DBD الخاص بعيادة "&amp;B743&amp;"."&amp;CHAR(10)&amp;"نتيجتكم الحالية: "&amp;E743&amp;"%."&amp;CHAR(10)&amp;"أولوية التحسين الأولى: "&amp;F743&amp;"."&amp;IF(J743&lt;&gt;"",CHAR(10)&amp;CHAR(10)&amp;"رابط التقرير: "&amp;J743,"")&amp;CHAR(10)&amp;CHAR(10)&amp;"إذا أحببت، يمكننا مساعدتك في فهم التقرير وتحديد أفضل خطوة تالية لعيادتكم.")</x:f>
      </x:c>
      <x:c r="L743" s="12" t="str">
        <x:f>IF(D743="","",HYPERLINK("https://wa.me/"&amp;REGEXREPLACE(D743,"[^\d]","")&amp;"?text="&amp;ENCODEURL(K743),"واتساب 1"))</x:f>
      </x:c>
      <x:c r="M743" s="12" t="str">
        <x:f>IF(A743="","","مرحبًا "&amp;C743&amp;CHAR(10)&amp;CHAR(10)&amp;"بناءً على نتيجة تقييم عيادة "&amp;B743&amp;"، فإن الترشيح الأقوى لكم الآن هو: "&amp;G743&amp;"."&amp;CHAR(10)&amp;"هذا الخيار يساعدكم في معالجة أكبر فجوة حالية بشكل عملي ومباشر."&amp;IF(J743&lt;&gt;"",CHAR(10)&amp;CHAR(10)&amp;"رابط التقرير: "&amp;J743,"")&amp;CHAR(10)&amp;CHAR(10)&amp;"إذا رغبت، يمكننا توضيح لماذا هذا الكورس هو الأنسب لكم الآن.")</x:f>
      </x:c>
      <x:c r="N743" s="12" t="str">
        <x:f>IF(D743="","",HYPERLINK("https://wa.me/"&amp;REGEXREPLACE(D743,"[^\d]","")&amp;"?text="&amp;ENCODEURL(M743),"واتساب 2"))</x:f>
      </x:c>
      <x:c r="O743" s="12" t="str">
        <x:f>IF(A743="","","مرحبًا "&amp;C743&amp;CHAR(10)&amp;CHAR(10)&amp;"إذا كانت التحديات لديكم تحتاج حلًا أشمل، فالبرنامج الكامل المناسب لكم هو: "&amp;H743&amp;"."&amp;IF(I743&lt;&gt;"",CHAR(10)&amp;"كما يمكنكم أيضًا حجز: "&amp;I743&amp;".","")&amp;IF(J743&lt;&gt;"",CHAR(10)&amp;CHAR(10)&amp;"رابط التقرير: "&amp;J743,"")&amp;CHAR(10)&amp;CHAR(10)&amp;"يسعدنا مساعدتكم في اختيار المسار الأنسب حسب وضع العيادة الحالي.")</x:f>
      </x:c>
      <x:c r="P743" s="12" t="str">
        <x:f>IF(D743="","",HYPERLINK("https://wa.me/"&amp;REGEXREPLACE(D743,"[^\d]","")&amp;"?text="&amp;ENCODEURL(O743),"واتساب 3"))</x:f>
      </x:c>
    </x:row>
    <x:row r="744" ht="15" hidden="0" customHeight="1">
      <x:c r="A744" s="12" t="str">
        <x:f>IF(Leads!A744="","",Leads!A744)</x:f>
      </x:c>
      <x:c r="B744" s="12" t="str">
        <x:f>IF(Leads!F744="","",Leads!F744)</x:f>
      </x:c>
      <x:c r="C744" s="12" t="str">
        <x:f>IF(Leads!G744="","",Leads!G744)</x:f>
      </x:c>
      <x:c r="D744" s="12" t="str">
        <x:f>IF(Leads!O744="","",Leads!O744)</x:f>
      </x:c>
      <x:c r="E744" s="12" t="str">
        <x:f>IF(Leads!AV744="","",Leads!AV744)</x:f>
      </x:c>
      <x:c r="F744" s="12" t="str">
        <x:f>IF(Leads!AX744="","",Leads!AX744)</x:f>
      </x:c>
      <x:c r="G744" s="12" t="str">
        <x:f>IF(Leads!BC744="","",Leads!BC744)</x:f>
      </x:c>
      <x:c r="H744" s="12" t="str">
        <x:f>IF(Leads!BE744="","",Leads!BE744)</x:f>
      </x:c>
      <x:c r="I744" s="12" t="str">
        <x:f>IF(Leads!BG744="","",Leads!BG744)</x:f>
      </x:c>
      <x:c r="J744" s="12" t="str">
        <x:f>IF(Leads!BH744="","",Leads!BH744)</x:f>
      </x:c>
      <x:c r="K744" s="12" t="str">
        <x:f>IF(A744="","","مرحبًا "&amp;C744&amp;CHAR(10)&amp;CHAR(10)&amp;"شكرًا لإتمام تقييم DBD الخاص بعيادة "&amp;B744&amp;"."&amp;CHAR(10)&amp;"نتيجتكم الحالية: "&amp;E744&amp;"%."&amp;CHAR(10)&amp;"أولوية التحسين الأولى: "&amp;F744&amp;"."&amp;IF(J744&lt;&gt;"",CHAR(10)&amp;CHAR(10)&amp;"رابط التقرير: "&amp;J744,"")&amp;CHAR(10)&amp;CHAR(10)&amp;"إذا أحببت، يمكننا مساعدتك في فهم التقرير وتحديد أفضل خطوة تالية لعيادتكم.")</x:f>
      </x:c>
      <x:c r="L744" s="12" t="str">
        <x:f>IF(D744="","",HYPERLINK("https://wa.me/"&amp;REGEXREPLACE(D744,"[^\d]","")&amp;"?text="&amp;ENCODEURL(K744),"واتساب 1"))</x:f>
      </x:c>
      <x:c r="M744" s="12" t="str">
        <x:f>IF(A744="","","مرحبًا "&amp;C744&amp;CHAR(10)&amp;CHAR(10)&amp;"بناءً على نتيجة تقييم عيادة "&amp;B744&amp;"، فإن الترشيح الأقوى لكم الآن هو: "&amp;G744&amp;"."&amp;CHAR(10)&amp;"هذا الخيار يساعدكم في معالجة أكبر فجوة حالية بشكل عملي ومباشر."&amp;IF(J744&lt;&gt;"",CHAR(10)&amp;CHAR(10)&amp;"رابط التقرير: "&amp;J744,"")&amp;CHAR(10)&amp;CHAR(10)&amp;"إذا رغبت، يمكننا توضيح لماذا هذا الكورس هو الأنسب لكم الآن.")</x:f>
      </x:c>
      <x:c r="N744" s="12" t="str">
        <x:f>IF(D744="","",HYPERLINK("https://wa.me/"&amp;REGEXREPLACE(D744,"[^\d]","")&amp;"?text="&amp;ENCODEURL(M744),"واتساب 2"))</x:f>
      </x:c>
      <x:c r="O744" s="12" t="str">
        <x:f>IF(A744="","","مرحبًا "&amp;C744&amp;CHAR(10)&amp;CHAR(10)&amp;"إذا كانت التحديات لديكم تحتاج حلًا أشمل، فالبرنامج الكامل المناسب لكم هو: "&amp;H744&amp;"."&amp;IF(I744&lt;&gt;"",CHAR(10)&amp;"كما يمكنكم أيضًا حجز: "&amp;I744&amp;".","")&amp;IF(J744&lt;&gt;"",CHAR(10)&amp;CHAR(10)&amp;"رابط التقرير: "&amp;J744,"")&amp;CHAR(10)&amp;CHAR(10)&amp;"يسعدنا مساعدتكم في اختيار المسار الأنسب حسب وضع العيادة الحالي.")</x:f>
      </x:c>
      <x:c r="P744" s="12" t="str">
        <x:f>IF(D744="","",HYPERLINK("https://wa.me/"&amp;REGEXREPLACE(D744,"[^\d]","")&amp;"?text="&amp;ENCODEURL(O744),"واتساب 3"))</x:f>
      </x:c>
    </x:row>
    <x:row r="745" ht="15" hidden="0" customHeight="1">
      <x:c r="A745" s="12" t="str">
        <x:f>IF(Leads!A745="","",Leads!A745)</x:f>
      </x:c>
      <x:c r="B745" s="12" t="str">
        <x:f>IF(Leads!F745="","",Leads!F745)</x:f>
      </x:c>
      <x:c r="C745" s="12" t="str">
        <x:f>IF(Leads!G745="","",Leads!G745)</x:f>
      </x:c>
      <x:c r="D745" s="12" t="str">
        <x:f>IF(Leads!O745="","",Leads!O745)</x:f>
      </x:c>
      <x:c r="E745" s="12" t="str">
        <x:f>IF(Leads!AV745="","",Leads!AV745)</x:f>
      </x:c>
      <x:c r="F745" s="12" t="str">
        <x:f>IF(Leads!AX745="","",Leads!AX745)</x:f>
      </x:c>
      <x:c r="G745" s="12" t="str">
        <x:f>IF(Leads!BC745="","",Leads!BC745)</x:f>
      </x:c>
      <x:c r="H745" s="12" t="str">
        <x:f>IF(Leads!BE745="","",Leads!BE745)</x:f>
      </x:c>
      <x:c r="I745" s="12" t="str">
        <x:f>IF(Leads!BG745="","",Leads!BG745)</x:f>
      </x:c>
      <x:c r="J745" s="12" t="str">
        <x:f>IF(Leads!BH745="","",Leads!BH745)</x:f>
      </x:c>
      <x:c r="K745" s="12" t="str">
        <x:f>IF(A745="","","مرحبًا "&amp;C745&amp;CHAR(10)&amp;CHAR(10)&amp;"شكرًا لإتمام تقييم DBD الخاص بعيادة "&amp;B745&amp;"."&amp;CHAR(10)&amp;"نتيجتكم الحالية: "&amp;E745&amp;"%."&amp;CHAR(10)&amp;"أولوية التحسين الأولى: "&amp;F745&amp;"."&amp;IF(J745&lt;&gt;"",CHAR(10)&amp;CHAR(10)&amp;"رابط التقرير: "&amp;J745,"")&amp;CHAR(10)&amp;CHAR(10)&amp;"إذا أحببت، يمكننا مساعدتك في فهم التقرير وتحديد أفضل خطوة تالية لعيادتكم.")</x:f>
      </x:c>
      <x:c r="L745" s="12" t="str">
        <x:f>IF(D745="","",HYPERLINK("https://wa.me/"&amp;REGEXREPLACE(D745,"[^\d]","")&amp;"?text="&amp;ENCODEURL(K745),"واتساب 1"))</x:f>
      </x:c>
      <x:c r="M745" s="12" t="str">
        <x:f>IF(A745="","","مرحبًا "&amp;C745&amp;CHAR(10)&amp;CHAR(10)&amp;"بناءً على نتيجة تقييم عيادة "&amp;B745&amp;"، فإن الترشيح الأقوى لكم الآن هو: "&amp;G745&amp;"."&amp;CHAR(10)&amp;"هذا الخيار يساعدكم في معالجة أكبر فجوة حالية بشكل عملي ومباشر."&amp;IF(J745&lt;&gt;"",CHAR(10)&amp;CHAR(10)&amp;"رابط التقرير: "&amp;J745,"")&amp;CHAR(10)&amp;CHAR(10)&amp;"إذا رغبت، يمكننا توضيح لماذا هذا الكورس هو الأنسب لكم الآن.")</x:f>
      </x:c>
      <x:c r="N745" s="12" t="str">
        <x:f>IF(D745="","",HYPERLINK("https://wa.me/"&amp;REGEXREPLACE(D745,"[^\d]","")&amp;"?text="&amp;ENCODEURL(M745),"واتساب 2"))</x:f>
      </x:c>
      <x:c r="O745" s="12" t="str">
        <x:f>IF(A745="","","مرحبًا "&amp;C745&amp;CHAR(10)&amp;CHAR(10)&amp;"إذا كانت التحديات لديكم تحتاج حلًا أشمل، فالبرنامج الكامل المناسب لكم هو: "&amp;H745&amp;"."&amp;IF(I745&lt;&gt;"",CHAR(10)&amp;"كما يمكنكم أيضًا حجز: "&amp;I745&amp;".","")&amp;IF(J745&lt;&gt;"",CHAR(10)&amp;CHAR(10)&amp;"رابط التقرير: "&amp;J745,"")&amp;CHAR(10)&amp;CHAR(10)&amp;"يسعدنا مساعدتكم في اختيار المسار الأنسب حسب وضع العيادة الحالي.")</x:f>
      </x:c>
      <x:c r="P745" s="12" t="str">
        <x:f>IF(D745="","",HYPERLINK("https://wa.me/"&amp;REGEXREPLACE(D745,"[^\d]","")&amp;"?text="&amp;ENCODEURL(O745),"واتساب 3"))</x:f>
      </x:c>
    </x:row>
    <x:row r="746" ht="15" hidden="0" customHeight="1">
      <x:c r="A746" s="12" t="str">
        <x:f>IF(Leads!A746="","",Leads!A746)</x:f>
      </x:c>
      <x:c r="B746" s="12" t="str">
        <x:f>IF(Leads!F746="","",Leads!F746)</x:f>
      </x:c>
      <x:c r="C746" s="12" t="str">
        <x:f>IF(Leads!G746="","",Leads!G746)</x:f>
      </x:c>
      <x:c r="D746" s="12" t="str">
        <x:f>IF(Leads!O746="","",Leads!O746)</x:f>
      </x:c>
      <x:c r="E746" s="12" t="str">
        <x:f>IF(Leads!AV746="","",Leads!AV746)</x:f>
      </x:c>
      <x:c r="F746" s="12" t="str">
        <x:f>IF(Leads!AX746="","",Leads!AX746)</x:f>
      </x:c>
      <x:c r="G746" s="12" t="str">
        <x:f>IF(Leads!BC746="","",Leads!BC746)</x:f>
      </x:c>
      <x:c r="H746" s="12" t="str">
        <x:f>IF(Leads!BE746="","",Leads!BE746)</x:f>
      </x:c>
      <x:c r="I746" s="12" t="str">
        <x:f>IF(Leads!BG746="","",Leads!BG746)</x:f>
      </x:c>
      <x:c r="J746" s="12" t="str">
        <x:f>IF(Leads!BH746="","",Leads!BH746)</x:f>
      </x:c>
      <x:c r="K746" s="12" t="str">
        <x:f>IF(A746="","","مرحبًا "&amp;C746&amp;CHAR(10)&amp;CHAR(10)&amp;"شكرًا لإتمام تقييم DBD الخاص بعيادة "&amp;B746&amp;"."&amp;CHAR(10)&amp;"نتيجتكم الحالية: "&amp;E746&amp;"%."&amp;CHAR(10)&amp;"أولوية التحسين الأولى: "&amp;F746&amp;"."&amp;IF(J746&lt;&gt;"",CHAR(10)&amp;CHAR(10)&amp;"رابط التقرير: "&amp;J746,"")&amp;CHAR(10)&amp;CHAR(10)&amp;"إذا أحببت، يمكننا مساعدتك في فهم التقرير وتحديد أفضل خطوة تالية لعيادتكم.")</x:f>
      </x:c>
      <x:c r="L746" s="12" t="str">
        <x:f>IF(D746="","",HYPERLINK("https://wa.me/"&amp;REGEXREPLACE(D746,"[^\d]","")&amp;"?text="&amp;ENCODEURL(K746),"واتساب 1"))</x:f>
      </x:c>
      <x:c r="M746" s="12" t="str">
        <x:f>IF(A746="","","مرحبًا "&amp;C746&amp;CHAR(10)&amp;CHAR(10)&amp;"بناءً على نتيجة تقييم عيادة "&amp;B746&amp;"، فإن الترشيح الأقوى لكم الآن هو: "&amp;G746&amp;"."&amp;CHAR(10)&amp;"هذا الخيار يساعدكم في معالجة أكبر فجوة حالية بشكل عملي ومباشر."&amp;IF(J746&lt;&gt;"",CHAR(10)&amp;CHAR(10)&amp;"رابط التقرير: "&amp;J746,"")&amp;CHAR(10)&amp;CHAR(10)&amp;"إذا رغبت، يمكننا توضيح لماذا هذا الكورس هو الأنسب لكم الآن.")</x:f>
      </x:c>
      <x:c r="N746" s="12" t="str">
        <x:f>IF(D746="","",HYPERLINK("https://wa.me/"&amp;REGEXREPLACE(D746,"[^\d]","")&amp;"?text="&amp;ENCODEURL(M746),"واتساب 2"))</x:f>
      </x:c>
      <x:c r="O746" s="12" t="str">
        <x:f>IF(A746="","","مرحبًا "&amp;C746&amp;CHAR(10)&amp;CHAR(10)&amp;"إذا كانت التحديات لديكم تحتاج حلًا أشمل، فالبرنامج الكامل المناسب لكم هو: "&amp;H746&amp;"."&amp;IF(I746&lt;&gt;"",CHAR(10)&amp;"كما يمكنكم أيضًا حجز: "&amp;I746&amp;".","")&amp;IF(J746&lt;&gt;"",CHAR(10)&amp;CHAR(10)&amp;"رابط التقرير: "&amp;J746,"")&amp;CHAR(10)&amp;CHAR(10)&amp;"يسعدنا مساعدتكم في اختيار المسار الأنسب حسب وضع العيادة الحالي.")</x:f>
      </x:c>
      <x:c r="P746" s="12" t="str">
        <x:f>IF(D746="","",HYPERLINK("https://wa.me/"&amp;REGEXREPLACE(D746,"[^\d]","")&amp;"?text="&amp;ENCODEURL(O746),"واتساب 3"))</x:f>
      </x:c>
    </x:row>
    <x:row r="747" ht="15" hidden="0" customHeight="1">
      <x:c r="A747" s="12" t="str">
        <x:f>IF(Leads!A747="","",Leads!A747)</x:f>
      </x:c>
      <x:c r="B747" s="12" t="str">
        <x:f>IF(Leads!F747="","",Leads!F747)</x:f>
      </x:c>
      <x:c r="C747" s="12" t="str">
        <x:f>IF(Leads!G747="","",Leads!G747)</x:f>
      </x:c>
      <x:c r="D747" s="12" t="str">
        <x:f>IF(Leads!O747="","",Leads!O747)</x:f>
      </x:c>
      <x:c r="E747" s="12" t="str">
        <x:f>IF(Leads!AV747="","",Leads!AV747)</x:f>
      </x:c>
      <x:c r="F747" s="12" t="str">
        <x:f>IF(Leads!AX747="","",Leads!AX747)</x:f>
      </x:c>
      <x:c r="G747" s="12" t="str">
        <x:f>IF(Leads!BC747="","",Leads!BC747)</x:f>
      </x:c>
      <x:c r="H747" s="12" t="str">
        <x:f>IF(Leads!BE747="","",Leads!BE747)</x:f>
      </x:c>
      <x:c r="I747" s="12" t="str">
        <x:f>IF(Leads!BG747="","",Leads!BG747)</x:f>
      </x:c>
      <x:c r="J747" s="12" t="str">
        <x:f>IF(Leads!BH747="","",Leads!BH747)</x:f>
      </x:c>
      <x:c r="K747" s="12" t="str">
        <x:f>IF(A747="","","مرحبًا "&amp;C747&amp;CHAR(10)&amp;CHAR(10)&amp;"شكرًا لإتمام تقييم DBD الخاص بعيادة "&amp;B747&amp;"."&amp;CHAR(10)&amp;"نتيجتكم الحالية: "&amp;E747&amp;"%."&amp;CHAR(10)&amp;"أولوية التحسين الأولى: "&amp;F747&amp;"."&amp;IF(J747&lt;&gt;"",CHAR(10)&amp;CHAR(10)&amp;"رابط التقرير: "&amp;J747,"")&amp;CHAR(10)&amp;CHAR(10)&amp;"إذا أحببت، يمكننا مساعدتك في فهم التقرير وتحديد أفضل خطوة تالية لعيادتكم.")</x:f>
      </x:c>
      <x:c r="L747" s="12" t="str">
        <x:f>IF(D747="","",HYPERLINK("https://wa.me/"&amp;REGEXREPLACE(D747,"[^\d]","")&amp;"?text="&amp;ENCODEURL(K747),"واتساب 1"))</x:f>
      </x:c>
      <x:c r="M747" s="12" t="str">
        <x:f>IF(A747="","","مرحبًا "&amp;C747&amp;CHAR(10)&amp;CHAR(10)&amp;"بناءً على نتيجة تقييم عيادة "&amp;B747&amp;"، فإن الترشيح الأقوى لكم الآن هو: "&amp;G747&amp;"."&amp;CHAR(10)&amp;"هذا الخيار يساعدكم في معالجة أكبر فجوة حالية بشكل عملي ومباشر."&amp;IF(J747&lt;&gt;"",CHAR(10)&amp;CHAR(10)&amp;"رابط التقرير: "&amp;J747,"")&amp;CHAR(10)&amp;CHAR(10)&amp;"إذا رغبت، يمكننا توضيح لماذا هذا الكورس هو الأنسب لكم الآن.")</x:f>
      </x:c>
      <x:c r="N747" s="12" t="str">
        <x:f>IF(D747="","",HYPERLINK("https://wa.me/"&amp;REGEXREPLACE(D747,"[^\d]","")&amp;"?text="&amp;ENCODEURL(M747),"واتساب 2"))</x:f>
      </x:c>
      <x:c r="O747" s="12" t="str">
        <x:f>IF(A747="","","مرحبًا "&amp;C747&amp;CHAR(10)&amp;CHAR(10)&amp;"إذا كانت التحديات لديكم تحتاج حلًا أشمل، فالبرنامج الكامل المناسب لكم هو: "&amp;H747&amp;"."&amp;IF(I747&lt;&gt;"",CHAR(10)&amp;"كما يمكنكم أيضًا حجز: "&amp;I747&amp;".","")&amp;IF(J747&lt;&gt;"",CHAR(10)&amp;CHAR(10)&amp;"رابط التقرير: "&amp;J747,"")&amp;CHAR(10)&amp;CHAR(10)&amp;"يسعدنا مساعدتكم في اختيار المسار الأنسب حسب وضع العيادة الحالي.")</x:f>
      </x:c>
      <x:c r="P747" s="12" t="str">
        <x:f>IF(D747="","",HYPERLINK("https://wa.me/"&amp;REGEXREPLACE(D747,"[^\d]","")&amp;"?text="&amp;ENCODEURL(O747),"واتساب 3"))</x:f>
      </x:c>
    </x:row>
    <x:row r="748" ht="15" hidden="0" customHeight="1">
      <x:c r="A748" s="12" t="str">
        <x:f>IF(Leads!A748="","",Leads!A748)</x:f>
      </x:c>
      <x:c r="B748" s="12" t="str">
        <x:f>IF(Leads!F748="","",Leads!F748)</x:f>
      </x:c>
      <x:c r="C748" s="12" t="str">
        <x:f>IF(Leads!G748="","",Leads!G748)</x:f>
      </x:c>
      <x:c r="D748" s="12" t="str">
        <x:f>IF(Leads!O748="","",Leads!O748)</x:f>
      </x:c>
      <x:c r="E748" s="12" t="str">
        <x:f>IF(Leads!AV748="","",Leads!AV748)</x:f>
      </x:c>
      <x:c r="F748" s="12" t="str">
        <x:f>IF(Leads!AX748="","",Leads!AX748)</x:f>
      </x:c>
      <x:c r="G748" s="12" t="str">
        <x:f>IF(Leads!BC748="","",Leads!BC748)</x:f>
      </x:c>
      <x:c r="H748" s="12" t="str">
        <x:f>IF(Leads!BE748="","",Leads!BE748)</x:f>
      </x:c>
      <x:c r="I748" s="12" t="str">
        <x:f>IF(Leads!BG748="","",Leads!BG748)</x:f>
      </x:c>
      <x:c r="J748" s="12" t="str">
        <x:f>IF(Leads!BH748="","",Leads!BH748)</x:f>
      </x:c>
      <x:c r="K748" s="12" t="str">
        <x:f>IF(A748="","","مرحبًا "&amp;C748&amp;CHAR(10)&amp;CHAR(10)&amp;"شكرًا لإتمام تقييم DBD الخاص بعيادة "&amp;B748&amp;"."&amp;CHAR(10)&amp;"نتيجتكم الحالية: "&amp;E748&amp;"%."&amp;CHAR(10)&amp;"أولوية التحسين الأولى: "&amp;F748&amp;"."&amp;IF(J748&lt;&gt;"",CHAR(10)&amp;CHAR(10)&amp;"رابط التقرير: "&amp;J748,"")&amp;CHAR(10)&amp;CHAR(10)&amp;"إذا أحببت، يمكننا مساعدتك في فهم التقرير وتحديد أفضل خطوة تالية لعيادتكم.")</x:f>
      </x:c>
      <x:c r="L748" s="12" t="str">
        <x:f>IF(D748="","",HYPERLINK("https://wa.me/"&amp;REGEXREPLACE(D748,"[^\d]","")&amp;"?text="&amp;ENCODEURL(K748),"واتساب 1"))</x:f>
      </x:c>
      <x:c r="M748" s="12" t="str">
        <x:f>IF(A748="","","مرحبًا "&amp;C748&amp;CHAR(10)&amp;CHAR(10)&amp;"بناءً على نتيجة تقييم عيادة "&amp;B748&amp;"، فإن الترشيح الأقوى لكم الآن هو: "&amp;G748&amp;"."&amp;CHAR(10)&amp;"هذا الخيار يساعدكم في معالجة أكبر فجوة حالية بشكل عملي ومباشر."&amp;IF(J748&lt;&gt;"",CHAR(10)&amp;CHAR(10)&amp;"رابط التقرير: "&amp;J748,"")&amp;CHAR(10)&amp;CHAR(10)&amp;"إذا رغبت، يمكننا توضيح لماذا هذا الكورس هو الأنسب لكم الآن.")</x:f>
      </x:c>
      <x:c r="N748" s="12" t="str">
        <x:f>IF(D748="","",HYPERLINK("https://wa.me/"&amp;REGEXREPLACE(D748,"[^\d]","")&amp;"?text="&amp;ENCODEURL(M748),"واتساب 2"))</x:f>
      </x:c>
      <x:c r="O748" s="12" t="str">
        <x:f>IF(A748="","","مرحبًا "&amp;C748&amp;CHAR(10)&amp;CHAR(10)&amp;"إذا كانت التحديات لديكم تحتاج حلًا أشمل، فالبرنامج الكامل المناسب لكم هو: "&amp;H748&amp;"."&amp;IF(I748&lt;&gt;"",CHAR(10)&amp;"كما يمكنكم أيضًا حجز: "&amp;I748&amp;".","")&amp;IF(J748&lt;&gt;"",CHAR(10)&amp;CHAR(10)&amp;"رابط التقرير: "&amp;J748,"")&amp;CHAR(10)&amp;CHAR(10)&amp;"يسعدنا مساعدتكم في اختيار المسار الأنسب حسب وضع العيادة الحالي.")</x:f>
      </x:c>
      <x:c r="P748" s="12" t="str">
        <x:f>IF(D748="","",HYPERLINK("https://wa.me/"&amp;REGEXREPLACE(D748,"[^\d]","")&amp;"?text="&amp;ENCODEURL(O748),"واتساب 3"))</x:f>
      </x:c>
    </x:row>
    <x:row r="749" ht="15" hidden="0" customHeight="1">
      <x:c r="A749" s="12" t="str">
        <x:f>IF(Leads!A749="","",Leads!A749)</x:f>
      </x:c>
      <x:c r="B749" s="12" t="str">
        <x:f>IF(Leads!F749="","",Leads!F749)</x:f>
      </x:c>
      <x:c r="C749" s="12" t="str">
        <x:f>IF(Leads!G749="","",Leads!G749)</x:f>
      </x:c>
      <x:c r="D749" s="12" t="str">
        <x:f>IF(Leads!O749="","",Leads!O749)</x:f>
      </x:c>
      <x:c r="E749" s="12" t="str">
        <x:f>IF(Leads!AV749="","",Leads!AV749)</x:f>
      </x:c>
      <x:c r="F749" s="12" t="str">
        <x:f>IF(Leads!AX749="","",Leads!AX749)</x:f>
      </x:c>
      <x:c r="G749" s="12" t="str">
        <x:f>IF(Leads!BC749="","",Leads!BC749)</x:f>
      </x:c>
      <x:c r="H749" s="12" t="str">
        <x:f>IF(Leads!BE749="","",Leads!BE749)</x:f>
      </x:c>
      <x:c r="I749" s="12" t="str">
        <x:f>IF(Leads!BG749="","",Leads!BG749)</x:f>
      </x:c>
      <x:c r="J749" s="12" t="str">
        <x:f>IF(Leads!BH749="","",Leads!BH749)</x:f>
      </x:c>
      <x:c r="K749" s="12" t="str">
        <x:f>IF(A749="","","مرحبًا "&amp;C749&amp;CHAR(10)&amp;CHAR(10)&amp;"شكرًا لإتمام تقييم DBD الخاص بعيادة "&amp;B749&amp;"."&amp;CHAR(10)&amp;"نتيجتكم الحالية: "&amp;E749&amp;"%."&amp;CHAR(10)&amp;"أولوية التحسين الأولى: "&amp;F749&amp;"."&amp;IF(J749&lt;&gt;"",CHAR(10)&amp;CHAR(10)&amp;"رابط التقرير: "&amp;J749,"")&amp;CHAR(10)&amp;CHAR(10)&amp;"إذا أحببت، يمكننا مساعدتك في فهم التقرير وتحديد أفضل خطوة تالية لعيادتكم.")</x:f>
      </x:c>
      <x:c r="L749" s="12" t="str">
        <x:f>IF(D749="","",HYPERLINK("https://wa.me/"&amp;REGEXREPLACE(D749,"[^\d]","")&amp;"?text="&amp;ENCODEURL(K749),"واتساب 1"))</x:f>
      </x:c>
      <x:c r="M749" s="12" t="str">
        <x:f>IF(A749="","","مرحبًا "&amp;C749&amp;CHAR(10)&amp;CHAR(10)&amp;"بناءً على نتيجة تقييم عيادة "&amp;B749&amp;"، فإن الترشيح الأقوى لكم الآن هو: "&amp;G749&amp;"."&amp;CHAR(10)&amp;"هذا الخيار يساعدكم في معالجة أكبر فجوة حالية بشكل عملي ومباشر."&amp;IF(J749&lt;&gt;"",CHAR(10)&amp;CHAR(10)&amp;"رابط التقرير: "&amp;J749,"")&amp;CHAR(10)&amp;CHAR(10)&amp;"إذا رغبت، يمكننا توضيح لماذا هذا الكورس هو الأنسب لكم الآن.")</x:f>
      </x:c>
      <x:c r="N749" s="12" t="str">
        <x:f>IF(D749="","",HYPERLINK("https://wa.me/"&amp;REGEXREPLACE(D749,"[^\d]","")&amp;"?text="&amp;ENCODEURL(M749),"واتساب 2"))</x:f>
      </x:c>
      <x:c r="O749" s="12" t="str">
        <x:f>IF(A749="","","مرحبًا "&amp;C749&amp;CHAR(10)&amp;CHAR(10)&amp;"إذا كانت التحديات لديكم تحتاج حلًا أشمل، فالبرنامج الكامل المناسب لكم هو: "&amp;H749&amp;"."&amp;IF(I749&lt;&gt;"",CHAR(10)&amp;"كما يمكنكم أيضًا حجز: "&amp;I749&amp;".","")&amp;IF(J749&lt;&gt;"",CHAR(10)&amp;CHAR(10)&amp;"رابط التقرير: "&amp;J749,"")&amp;CHAR(10)&amp;CHAR(10)&amp;"يسعدنا مساعدتكم في اختيار المسار الأنسب حسب وضع العيادة الحالي.")</x:f>
      </x:c>
      <x:c r="P749" s="12" t="str">
        <x:f>IF(D749="","",HYPERLINK("https://wa.me/"&amp;REGEXREPLACE(D749,"[^\d]","")&amp;"?text="&amp;ENCODEURL(O749),"واتساب 3"))</x:f>
      </x:c>
    </x:row>
    <x:row r="750" ht="15" hidden="0" customHeight="1">
      <x:c r="A750" s="12" t="str">
        <x:f>IF(Leads!A750="","",Leads!A750)</x:f>
      </x:c>
      <x:c r="B750" s="12" t="str">
        <x:f>IF(Leads!F750="","",Leads!F750)</x:f>
      </x:c>
      <x:c r="C750" s="12" t="str">
        <x:f>IF(Leads!G750="","",Leads!G750)</x:f>
      </x:c>
      <x:c r="D750" s="12" t="str">
        <x:f>IF(Leads!O750="","",Leads!O750)</x:f>
      </x:c>
      <x:c r="E750" s="12" t="str">
        <x:f>IF(Leads!AV750="","",Leads!AV750)</x:f>
      </x:c>
      <x:c r="F750" s="12" t="str">
        <x:f>IF(Leads!AX750="","",Leads!AX750)</x:f>
      </x:c>
      <x:c r="G750" s="12" t="str">
        <x:f>IF(Leads!BC750="","",Leads!BC750)</x:f>
      </x:c>
      <x:c r="H750" s="12" t="str">
        <x:f>IF(Leads!BE750="","",Leads!BE750)</x:f>
      </x:c>
      <x:c r="I750" s="12" t="str">
        <x:f>IF(Leads!BG750="","",Leads!BG750)</x:f>
      </x:c>
      <x:c r="J750" s="12" t="str">
        <x:f>IF(Leads!BH750="","",Leads!BH750)</x:f>
      </x:c>
      <x:c r="K750" s="12" t="str">
        <x:f>IF(A750="","","مرحبًا "&amp;C750&amp;CHAR(10)&amp;CHAR(10)&amp;"شكرًا لإتمام تقييم DBD الخاص بعيادة "&amp;B750&amp;"."&amp;CHAR(10)&amp;"نتيجتكم الحالية: "&amp;E750&amp;"%."&amp;CHAR(10)&amp;"أولوية التحسين الأولى: "&amp;F750&amp;"."&amp;IF(J750&lt;&gt;"",CHAR(10)&amp;CHAR(10)&amp;"رابط التقرير: "&amp;J750,"")&amp;CHAR(10)&amp;CHAR(10)&amp;"إذا أحببت، يمكننا مساعدتك في فهم التقرير وتحديد أفضل خطوة تالية لعيادتكم.")</x:f>
      </x:c>
      <x:c r="L750" s="12" t="str">
        <x:f>IF(D750="","",HYPERLINK("https://wa.me/"&amp;REGEXREPLACE(D750,"[^\d]","")&amp;"?text="&amp;ENCODEURL(K750),"واتساب 1"))</x:f>
      </x:c>
      <x:c r="M750" s="12" t="str">
        <x:f>IF(A750="","","مرحبًا "&amp;C750&amp;CHAR(10)&amp;CHAR(10)&amp;"بناءً على نتيجة تقييم عيادة "&amp;B750&amp;"، فإن الترشيح الأقوى لكم الآن هو: "&amp;G750&amp;"."&amp;CHAR(10)&amp;"هذا الخيار يساعدكم في معالجة أكبر فجوة حالية بشكل عملي ومباشر."&amp;IF(J750&lt;&gt;"",CHAR(10)&amp;CHAR(10)&amp;"رابط التقرير: "&amp;J750,"")&amp;CHAR(10)&amp;CHAR(10)&amp;"إذا رغبت، يمكننا توضيح لماذا هذا الكورس هو الأنسب لكم الآن.")</x:f>
      </x:c>
      <x:c r="N750" s="12" t="str">
        <x:f>IF(D750="","",HYPERLINK("https://wa.me/"&amp;REGEXREPLACE(D750,"[^\d]","")&amp;"?text="&amp;ENCODEURL(M750),"واتساب 2"))</x:f>
      </x:c>
      <x:c r="O750" s="12" t="str">
        <x:f>IF(A750="","","مرحبًا "&amp;C750&amp;CHAR(10)&amp;CHAR(10)&amp;"إذا كانت التحديات لديكم تحتاج حلًا أشمل، فالبرنامج الكامل المناسب لكم هو: "&amp;H750&amp;"."&amp;IF(I750&lt;&gt;"",CHAR(10)&amp;"كما يمكنكم أيضًا حجز: "&amp;I750&amp;".","")&amp;IF(J750&lt;&gt;"",CHAR(10)&amp;CHAR(10)&amp;"رابط التقرير: "&amp;J750,"")&amp;CHAR(10)&amp;CHAR(10)&amp;"يسعدنا مساعدتكم في اختيار المسار الأنسب حسب وضع العيادة الحالي.")</x:f>
      </x:c>
      <x:c r="P750" s="12" t="str">
        <x:f>IF(D750="","",HYPERLINK("https://wa.me/"&amp;REGEXREPLACE(D750,"[^\d]","")&amp;"?text="&amp;ENCODEURL(O750),"واتساب 3"))</x:f>
      </x:c>
    </x:row>
    <x:row r="751" ht="15" hidden="0" customHeight="1">
      <x:c r="A751" s="12" t="str">
        <x:f>IF(Leads!A751="","",Leads!A751)</x:f>
      </x:c>
      <x:c r="B751" s="12" t="str">
        <x:f>IF(Leads!F751="","",Leads!F751)</x:f>
      </x:c>
      <x:c r="C751" s="12" t="str">
        <x:f>IF(Leads!G751="","",Leads!G751)</x:f>
      </x:c>
      <x:c r="D751" s="12" t="str">
        <x:f>IF(Leads!O751="","",Leads!O751)</x:f>
      </x:c>
      <x:c r="E751" s="12" t="str">
        <x:f>IF(Leads!AV751="","",Leads!AV751)</x:f>
      </x:c>
      <x:c r="F751" s="12" t="str">
        <x:f>IF(Leads!AX751="","",Leads!AX751)</x:f>
      </x:c>
      <x:c r="G751" s="12" t="str">
        <x:f>IF(Leads!BC751="","",Leads!BC751)</x:f>
      </x:c>
      <x:c r="H751" s="12" t="str">
        <x:f>IF(Leads!BE751="","",Leads!BE751)</x:f>
      </x:c>
      <x:c r="I751" s="12" t="str">
        <x:f>IF(Leads!BG751="","",Leads!BG751)</x:f>
      </x:c>
      <x:c r="J751" s="12" t="str">
        <x:f>IF(Leads!BH751="","",Leads!BH751)</x:f>
      </x:c>
      <x:c r="K751" s="12" t="str">
        <x:f>IF(A751="","","مرحبًا "&amp;C751&amp;CHAR(10)&amp;CHAR(10)&amp;"شكرًا لإتمام تقييم DBD الخاص بعيادة "&amp;B751&amp;"."&amp;CHAR(10)&amp;"نتيجتكم الحالية: "&amp;E751&amp;"%."&amp;CHAR(10)&amp;"أولوية التحسين الأولى: "&amp;F751&amp;"."&amp;IF(J751&lt;&gt;"",CHAR(10)&amp;CHAR(10)&amp;"رابط التقرير: "&amp;J751,"")&amp;CHAR(10)&amp;CHAR(10)&amp;"إذا أحببت، يمكننا مساعدتك في فهم التقرير وتحديد أفضل خطوة تالية لعيادتكم.")</x:f>
      </x:c>
      <x:c r="L751" s="12" t="str">
        <x:f>IF(D751="","",HYPERLINK("https://wa.me/"&amp;REGEXREPLACE(D751,"[^\d]","")&amp;"?text="&amp;ENCODEURL(K751),"واتساب 1"))</x:f>
      </x:c>
      <x:c r="M751" s="12" t="str">
        <x:f>IF(A751="","","مرحبًا "&amp;C751&amp;CHAR(10)&amp;CHAR(10)&amp;"بناءً على نتيجة تقييم عيادة "&amp;B751&amp;"، فإن الترشيح الأقوى لكم الآن هو: "&amp;G751&amp;"."&amp;CHAR(10)&amp;"هذا الخيار يساعدكم في معالجة أكبر فجوة حالية بشكل عملي ومباشر."&amp;IF(J751&lt;&gt;"",CHAR(10)&amp;CHAR(10)&amp;"رابط التقرير: "&amp;J751,"")&amp;CHAR(10)&amp;CHAR(10)&amp;"إذا رغبت، يمكننا توضيح لماذا هذا الكورس هو الأنسب لكم الآن.")</x:f>
      </x:c>
      <x:c r="N751" s="12" t="str">
        <x:f>IF(D751="","",HYPERLINK("https://wa.me/"&amp;REGEXREPLACE(D751,"[^\d]","")&amp;"?text="&amp;ENCODEURL(M751),"واتساب 2"))</x:f>
      </x:c>
      <x:c r="O751" s="12" t="str">
        <x:f>IF(A751="","","مرحبًا "&amp;C751&amp;CHAR(10)&amp;CHAR(10)&amp;"إذا كانت التحديات لديكم تحتاج حلًا أشمل، فالبرنامج الكامل المناسب لكم هو: "&amp;H751&amp;"."&amp;IF(I751&lt;&gt;"",CHAR(10)&amp;"كما يمكنكم أيضًا حجز: "&amp;I751&amp;".","")&amp;IF(J751&lt;&gt;"",CHAR(10)&amp;CHAR(10)&amp;"رابط التقرير: "&amp;J751,"")&amp;CHAR(10)&amp;CHAR(10)&amp;"يسعدنا مساعدتكم في اختيار المسار الأنسب حسب وضع العيادة الحالي.")</x:f>
      </x:c>
      <x:c r="P751" s="12" t="str">
        <x:f>IF(D751="","",HYPERLINK("https://wa.me/"&amp;REGEXREPLACE(D751,"[^\d]","")&amp;"?text="&amp;ENCODEURL(O751),"واتساب 3"))</x:f>
      </x:c>
    </x:row>
    <x:row r="752" ht="15" hidden="0" customHeight="1">
      <x:c r="A752" s="12" t="str">
        <x:f>IF(Leads!A752="","",Leads!A752)</x:f>
      </x:c>
      <x:c r="B752" s="12" t="str">
        <x:f>IF(Leads!F752="","",Leads!F752)</x:f>
      </x:c>
      <x:c r="C752" s="12" t="str">
        <x:f>IF(Leads!G752="","",Leads!G752)</x:f>
      </x:c>
      <x:c r="D752" s="12" t="str">
        <x:f>IF(Leads!O752="","",Leads!O752)</x:f>
      </x:c>
      <x:c r="E752" s="12" t="str">
        <x:f>IF(Leads!AV752="","",Leads!AV752)</x:f>
      </x:c>
      <x:c r="F752" s="12" t="str">
        <x:f>IF(Leads!AX752="","",Leads!AX752)</x:f>
      </x:c>
      <x:c r="G752" s="12" t="str">
        <x:f>IF(Leads!BC752="","",Leads!BC752)</x:f>
      </x:c>
      <x:c r="H752" s="12" t="str">
        <x:f>IF(Leads!BE752="","",Leads!BE752)</x:f>
      </x:c>
      <x:c r="I752" s="12" t="str">
        <x:f>IF(Leads!BG752="","",Leads!BG752)</x:f>
      </x:c>
      <x:c r="J752" s="12" t="str">
        <x:f>IF(Leads!BH752="","",Leads!BH752)</x:f>
      </x:c>
      <x:c r="K752" s="12" t="str">
        <x:f>IF(A752="","","مرحبًا "&amp;C752&amp;CHAR(10)&amp;CHAR(10)&amp;"شكرًا لإتمام تقييم DBD الخاص بعيادة "&amp;B752&amp;"."&amp;CHAR(10)&amp;"نتيجتكم الحالية: "&amp;E752&amp;"%."&amp;CHAR(10)&amp;"أولوية التحسين الأولى: "&amp;F752&amp;"."&amp;IF(J752&lt;&gt;"",CHAR(10)&amp;CHAR(10)&amp;"رابط التقرير: "&amp;J752,"")&amp;CHAR(10)&amp;CHAR(10)&amp;"إذا أحببت، يمكننا مساعدتك في فهم التقرير وتحديد أفضل خطوة تالية لعيادتكم.")</x:f>
      </x:c>
      <x:c r="L752" s="12" t="str">
        <x:f>IF(D752="","",HYPERLINK("https://wa.me/"&amp;REGEXREPLACE(D752,"[^\d]","")&amp;"?text="&amp;ENCODEURL(K752),"واتساب 1"))</x:f>
      </x:c>
      <x:c r="M752" s="12" t="str">
        <x:f>IF(A752="","","مرحبًا "&amp;C752&amp;CHAR(10)&amp;CHAR(10)&amp;"بناءً على نتيجة تقييم عيادة "&amp;B752&amp;"، فإن الترشيح الأقوى لكم الآن هو: "&amp;G752&amp;"."&amp;CHAR(10)&amp;"هذا الخيار يساعدكم في معالجة أكبر فجوة حالية بشكل عملي ومباشر."&amp;IF(J752&lt;&gt;"",CHAR(10)&amp;CHAR(10)&amp;"رابط التقرير: "&amp;J752,"")&amp;CHAR(10)&amp;CHAR(10)&amp;"إذا رغبت، يمكننا توضيح لماذا هذا الكورس هو الأنسب لكم الآن.")</x:f>
      </x:c>
      <x:c r="N752" s="12" t="str">
        <x:f>IF(D752="","",HYPERLINK("https://wa.me/"&amp;REGEXREPLACE(D752,"[^\d]","")&amp;"?text="&amp;ENCODEURL(M752),"واتساب 2"))</x:f>
      </x:c>
      <x:c r="O752" s="12" t="str">
        <x:f>IF(A752="","","مرحبًا "&amp;C752&amp;CHAR(10)&amp;CHAR(10)&amp;"إذا كانت التحديات لديكم تحتاج حلًا أشمل، فالبرنامج الكامل المناسب لكم هو: "&amp;H752&amp;"."&amp;IF(I752&lt;&gt;"",CHAR(10)&amp;"كما يمكنكم أيضًا حجز: "&amp;I752&amp;".","")&amp;IF(J752&lt;&gt;"",CHAR(10)&amp;CHAR(10)&amp;"رابط التقرير: "&amp;J752,"")&amp;CHAR(10)&amp;CHAR(10)&amp;"يسعدنا مساعدتكم في اختيار المسار الأنسب حسب وضع العيادة الحالي.")</x:f>
      </x:c>
      <x:c r="P752" s="12" t="str">
        <x:f>IF(D752="","",HYPERLINK("https://wa.me/"&amp;REGEXREPLACE(D752,"[^\d]","")&amp;"?text="&amp;ENCODEURL(O752),"واتساب 3"))</x:f>
      </x:c>
    </x:row>
    <x:row r="753" ht="15" hidden="0" customHeight="1">
      <x:c r="A753" s="12" t="str">
        <x:f>IF(Leads!A753="","",Leads!A753)</x:f>
      </x:c>
      <x:c r="B753" s="12" t="str">
        <x:f>IF(Leads!F753="","",Leads!F753)</x:f>
      </x:c>
      <x:c r="C753" s="12" t="str">
        <x:f>IF(Leads!G753="","",Leads!G753)</x:f>
      </x:c>
      <x:c r="D753" s="12" t="str">
        <x:f>IF(Leads!O753="","",Leads!O753)</x:f>
      </x:c>
      <x:c r="E753" s="12" t="str">
        <x:f>IF(Leads!AV753="","",Leads!AV753)</x:f>
      </x:c>
      <x:c r="F753" s="12" t="str">
        <x:f>IF(Leads!AX753="","",Leads!AX753)</x:f>
      </x:c>
      <x:c r="G753" s="12" t="str">
        <x:f>IF(Leads!BC753="","",Leads!BC753)</x:f>
      </x:c>
      <x:c r="H753" s="12" t="str">
        <x:f>IF(Leads!BE753="","",Leads!BE753)</x:f>
      </x:c>
      <x:c r="I753" s="12" t="str">
        <x:f>IF(Leads!BG753="","",Leads!BG753)</x:f>
      </x:c>
      <x:c r="J753" s="12" t="str">
        <x:f>IF(Leads!BH753="","",Leads!BH753)</x:f>
      </x:c>
      <x:c r="K753" s="12" t="str">
        <x:f>IF(A753="","","مرحبًا "&amp;C753&amp;CHAR(10)&amp;CHAR(10)&amp;"شكرًا لإتمام تقييم DBD الخاص بعيادة "&amp;B753&amp;"."&amp;CHAR(10)&amp;"نتيجتكم الحالية: "&amp;E753&amp;"%."&amp;CHAR(10)&amp;"أولوية التحسين الأولى: "&amp;F753&amp;"."&amp;IF(J753&lt;&gt;"",CHAR(10)&amp;CHAR(10)&amp;"رابط التقرير: "&amp;J753,"")&amp;CHAR(10)&amp;CHAR(10)&amp;"إذا أحببت، يمكننا مساعدتك في فهم التقرير وتحديد أفضل خطوة تالية لعيادتكم.")</x:f>
      </x:c>
      <x:c r="L753" s="12" t="str">
        <x:f>IF(D753="","",HYPERLINK("https://wa.me/"&amp;REGEXREPLACE(D753,"[^\d]","")&amp;"?text="&amp;ENCODEURL(K753),"واتساب 1"))</x:f>
      </x:c>
      <x:c r="M753" s="12" t="str">
        <x:f>IF(A753="","","مرحبًا "&amp;C753&amp;CHAR(10)&amp;CHAR(10)&amp;"بناءً على نتيجة تقييم عيادة "&amp;B753&amp;"، فإن الترشيح الأقوى لكم الآن هو: "&amp;G753&amp;"."&amp;CHAR(10)&amp;"هذا الخيار يساعدكم في معالجة أكبر فجوة حالية بشكل عملي ومباشر."&amp;IF(J753&lt;&gt;"",CHAR(10)&amp;CHAR(10)&amp;"رابط التقرير: "&amp;J753,"")&amp;CHAR(10)&amp;CHAR(10)&amp;"إذا رغبت، يمكننا توضيح لماذا هذا الكورس هو الأنسب لكم الآن.")</x:f>
      </x:c>
      <x:c r="N753" s="12" t="str">
        <x:f>IF(D753="","",HYPERLINK("https://wa.me/"&amp;REGEXREPLACE(D753,"[^\d]","")&amp;"?text="&amp;ENCODEURL(M753),"واتساب 2"))</x:f>
      </x:c>
      <x:c r="O753" s="12" t="str">
        <x:f>IF(A753="","","مرحبًا "&amp;C753&amp;CHAR(10)&amp;CHAR(10)&amp;"إذا كانت التحديات لديكم تحتاج حلًا أشمل، فالبرنامج الكامل المناسب لكم هو: "&amp;H753&amp;"."&amp;IF(I753&lt;&gt;"",CHAR(10)&amp;"كما يمكنكم أيضًا حجز: "&amp;I753&amp;".","")&amp;IF(J753&lt;&gt;"",CHAR(10)&amp;CHAR(10)&amp;"رابط التقرير: "&amp;J753,"")&amp;CHAR(10)&amp;CHAR(10)&amp;"يسعدنا مساعدتكم في اختيار المسار الأنسب حسب وضع العيادة الحالي.")</x:f>
      </x:c>
      <x:c r="P753" s="12" t="str">
        <x:f>IF(D753="","",HYPERLINK("https://wa.me/"&amp;REGEXREPLACE(D753,"[^\d]","")&amp;"?text="&amp;ENCODEURL(O753),"واتساب 3"))</x:f>
      </x:c>
    </x:row>
    <x:row r="754" ht="15" hidden="0" customHeight="1">
      <x:c r="A754" s="12" t="str">
        <x:f>IF(Leads!A754="","",Leads!A754)</x:f>
      </x:c>
      <x:c r="B754" s="12" t="str">
        <x:f>IF(Leads!F754="","",Leads!F754)</x:f>
      </x:c>
      <x:c r="C754" s="12" t="str">
        <x:f>IF(Leads!G754="","",Leads!G754)</x:f>
      </x:c>
      <x:c r="D754" s="12" t="str">
        <x:f>IF(Leads!O754="","",Leads!O754)</x:f>
      </x:c>
      <x:c r="E754" s="12" t="str">
        <x:f>IF(Leads!AV754="","",Leads!AV754)</x:f>
      </x:c>
      <x:c r="F754" s="12" t="str">
        <x:f>IF(Leads!AX754="","",Leads!AX754)</x:f>
      </x:c>
      <x:c r="G754" s="12" t="str">
        <x:f>IF(Leads!BC754="","",Leads!BC754)</x:f>
      </x:c>
      <x:c r="H754" s="12" t="str">
        <x:f>IF(Leads!BE754="","",Leads!BE754)</x:f>
      </x:c>
      <x:c r="I754" s="12" t="str">
        <x:f>IF(Leads!BG754="","",Leads!BG754)</x:f>
      </x:c>
      <x:c r="J754" s="12" t="str">
        <x:f>IF(Leads!BH754="","",Leads!BH754)</x:f>
      </x:c>
      <x:c r="K754" s="12" t="str">
        <x:f>IF(A754="","","مرحبًا "&amp;C754&amp;CHAR(10)&amp;CHAR(10)&amp;"شكرًا لإتمام تقييم DBD الخاص بعيادة "&amp;B754&amp;"."&amp;CHAR(10)&amp;"نتيجتكم الحالية: "&amp;E754&amp;"%."&amp;CHAR(10)&amp;"أولوية التحسين الأولى: "&amp;F754&amp;"."&amp;IF(J754&lt;&gt;"",CHAR(10)&amp;CHAR(10)&amp;"رابط التقرير: "&amp;J754,"")&amp;CHAR(10)&amp;CHAR(10)&amp;"إذا أحببت، يمكننا مساعدتك في فهم التقرير وتحديد أفضل خطوة تالية لعيادتكم.")</x:f>
      </x:c>
      <x:c r="L754" s="12" t="str">
        <x:f>IF(D754="","",HYPERLINK("https://wa.me/"&amp;REGEXREPLACE(D754,"[^\d]","")&amp;"?text="&amp;ENCODEURL(K754),"واتساب 1"))</x:f>
      </x:c>
      <x:c r="M754" s="12" t="str">
        <x:f>IF(A754="","","مرحبًا "&amp;C754&amp;CHAR(10)&amp;CHAR(10)&amp;"بناءً على نتيجة تقييم عيادة "&amp;B754&amp;"، فإن الترشيح الأقوى لكم الآن هو: "&amp;G754&amp;"."&amp;CHAR(10)&amp;"هذا الخيار يساعدكم في معالجة أكبر فجوة حالية بشكل عملي ومباشر."&amp;IF(J754&lt;&gt;"",CHAR(10)&amp;CHAR(10)&amp;"رابط التقرير: "&amp;J754,"")&amp;CHAR(10)&amp;CHAR(10)&amp;"إذا رغبت، يمكننا توضيح لماذا هذا الكورس هو الأنسب لكم الآن.")</x:f>
      </x:c>
      <x:c r="N754" s="12" t="str">
        <x:f>IF(D754="","",HYPERLINK("https://wa.me/"&amp;REGEXREPLACE(D754,"[^\d]","")&amp;"?text="&amp;ENCODEURL(M754),"واتساب 2"))</x:f>
      </x:c>
      <x:c r="O754" s="12" t="str">
        <x:f>IF(A754="","","مرحبًا "&amp;C754&amp;CHAR(10)&amp;CHAR(10)&amp;"إذا كانت التحديات لديكم تحتاج حلًا أشمل، فالبرنامج الكامل المناسب لكم هو: "&amp;H754&amp;"."&amp;IF(I754&lt;&gt;"",CHAR(10)&amp;"كما يمكنكم أيضًا حجز: "&amp;I754&amp;".","")&amp;IF(J754&lt;&gt;"",CHAR(10)&amp;CHAR(10)&amp;"رابط التقرير: "&amp;J754,"")&amp;CHAR(10)&amp;CHAR(10)&amp;"يسعدنا مساعدتكم في اختيار المسار الأنسب حسب وضع العيادة الحالي.")</x:f>
      </x:c>
      <x:c r="P754" s="12" t="str">
        <x:f>IF(D754="","",HYPERLINK("https://wa.me/"&amp;REGEXREPLACE(D754,"[^\d]","")&amp;"?text="&amp;ENCODEURL(O754),"واتساب 3"))</x:f>
      </x:c>
    </x:row>
    <x:row r="755" ht="15" hidden="0" customHeight="1">
      <x:c r="A755" s="12" t="str">
        <x:f>IF(Leads!A755="","",Leads!A755)</x:f>
      </x:c>
      <x:c r="B755" s="12" t="str">
        <x:f>IF(Leads!F755="","",Leads!F755)</x:f>
      </x:c>
      <x:c r="C755" s="12" t="str">
        <x:f>IF(Leads!G755="","",Leads!G755)</x:f>
      </x:c>
      <x:c r="D755" s="12" t="str">
        <x:f>IF(Leads!O755="","",Leads!O755)</x:f>
      </x:c>
      <x:c r="E755" s="12" t="str">
        <x:f>IF(Leads!AV755="","",Leads!AV755)</x:f>
      </x:c>
      <x:c r="F755" s="12" t="str">
        <x:f>IF(Leads!AX755="","",Leads!AX755)</x:f>
      </x:c>
      <x:c r="G755" s="12" t="str">
        <x:f>IF(Leads!BC755="","",Leads!BC755)</x:f>
      </x:c>
      <x:c r="H755" s="12" t="str">
        <x:f>IF(Leads!BE755="","",Leads!BE755)</x:f>
      </x:c>
      <x:c r="I755" s="12" t="str">
        <x:f>IF(Leads!BG755="","",Leads!BG755)</x:f>
      </x:c>
      <x:c r="J755" s="12" t="str">
        <x:f>IF(Leads!BH755="","",Leads!BH755)</x:f>
      </x:c>
      <x:c r="K755" s="12" t="str">
        <x:f>IF(A755="","","مرحبًا "&amp;C755&amp;CHAR(10)&amp;CHAR(10)&amp;"شكرًا لإتمام تقييم DBD الخاص بعيادة "&amp;B755&amp;"."&amp;CHAR(10)&amp;"نتيجتكم الحالية: "&amp;E755&amp;"%."&amp;CHAR(10)&amp;"أولوية التحسين الأولى: "&amp;F755&amp;"."&amp;IF(J755&lt;&gt;"",CHAR(10)&amp;CHAR(10)&amp;"رابط التقرير: "&amp;J755,"")&amp;CHAR(10)&amp;CHAR(10)&amp;"إذا أحببت، يمكننا مساعدتك في فهم التقرير وتحديد أفضل خطوة تالية لعيادتكم.")</x:f>
      </x:c>
      <x:c r="L755" s="12" t="str">
        <x:f>IF(D755="","",HYPERLINK("https://wa.me/"&amp;REGEXREPLACE(D755,"[^\d]","")&amp;"?text="&amp;ENCODEURL(K755),"واتساب 1"))</x:f>
      </x:c>
      <x:c r="M755" s="12" t="str">
        <x:f>IF(A755="","","مرحبًا "&amp;C755&amp;CHAR(10)&amp;CHAR(10)&amp;"بناءً على نتيجة تقييم عيادة "&amp;B755&amp;"، فإن الترشيح الأقوى لكم الآن هو: "&amp;G755&amp;"."&amp;CHAR(10)&amp;"هذا الخيار يساعدكم في معالجة أكبر فجوة حالية بشكل عملي ومباشر."&amp;IF(J755&lt;&gt;"",CHAR(10)&amp;CHAR(10)&amp;"رابط التقرير: "&amp;J755,"")&amp;CHAR(10)&amp;CHAR(10)&amp;"إذا رغبت، يمكننا توضيح لماذا هذا الكورس هو الأنسب لكم الآن.")</x:f>
      </x:c>
      <x:c r="N755" s="12" t="str">
        <x:f>IF(D755="","",HYPERLINK("https://wa.me/"&amp;REGEXREPLACE(D755,"[^\d]","")&amp;"?text="&amp;ENCODEURL(M755),"واتساب 2"))</x:f>
      </x:c>
      <x:c r="O755" s="12" t="str">
        <x:f>IF(A755="","","مرحبًا "&amp;C755&amp;CHAR(10)&amp;CHAR(10)&amp;"إذا كانت التحديات لديكم تحتاج حلًا أشمل، فالبرنامج الكامل المناسب لكم هو: "&amp;H755&amp;"."&amp;IF(I755&lt;&gt;"",CHAR(10)&amp;"كما يمكنكم أيضًا حجز: "&amp;I755&amp;".","")&amp;IF(J755&lt;&gt;"",CHAR(10)&amp;CHAR(10)&amp;"رابط التقرير: "&amp;J755,"")&amp;CHAR(10)&amp;CHAR(10)&amp;"يسعدنا مساعدتكم في اختيار المسار الأنسب حسب وضع العيادة الحالي.")</x:f>
      </x:c>
      <x:c r="P755" s="12" t="str">
        <x:f>IF(D755="","",HYPERLINK("https://wa.me/"&amp;REGEXREPLACE(D755,"[^\d]","")&amp;"?text="&amp;ENCODEURL(O755),"واتساب 3"))</x:f>
      </x:c>
    </x:row>
    <x:row r="756" ht="15" hidden="0" customHeight="1">
      <x:c r="A756" s="12" t="str">
        <x:f>IF(Leads!A756="","",Leads!A756)</x:f>
      </x:c>
      <x:c r="B756" s="12" t="str">
        <x:f>IF(Leads!F756="","",Leads!F756)</x:f>
      </x:c>
      <x:c r="C756" s="12" t="str">
        <x:f>IF(Leads!G756="","",Leads!G756)</x:f>
      </x:c>
      <x:c r="D756" s="12" t="str">
        <x:f>IF(Leads!O756="","",Leads!O756)</x:f>
      </x:c>
      <x:c r="E756" s="12" t="str">
        <x:f>IF(Leads!AV756="","",Leads!AV756)</x:f>
      </x:c>
      <x:c r="F756" s="12" t="str">
        <x:f>IF(Leads!AX756="","",Leads!AX756)</x:f>
      </x:c>
      <x:c r="G756" s="12" t="str">
        <x:f>IF(Leads!BC756="","",Leads!BC756)</x:f>
      </x:c>
      <x:c r="H756" s="12" t="str">
        <x:f>IF(Leads!BE756="","",Leads!BE756)</x:f>
      </x:c>
      <x:c r="I756" s="12" t="str">
        <x:f>IF(Leads!BG756="","",Leads!BG756)</x:f>
      </x:c>
      <x:c r="J756" s="12" t="str">
        <x:f>IF(Leads!BH756="","",Leads!BH756)</x:f>
      </x:c>
      <x:c r="K756" s="12" t="str">
        <x:f>IF(A756="","","مرحبًا "&amp;C756&amp;CHAR(10)&amp;CHAR(10)&amp;"شكرًا لإتمام تقييم DBD الخاص بعيادة "&amp;B756&amp;"."&amp;CHAR(10)&amp;"نتيجتكم الحالية: "&amp;E756&amp;"%."&amp;CHAR(10)&amp;"أولوية التحسين الأولى: "&amp;F756&amp;"."&amp;IF(J756&lt;&gt;"",CHAR(10)&amp;CHAR(10)&amp;"رابط التقرير: "&amp;J756,"")&amp;CHAR(10)&amp;CHAR(10)&amp;"إذا أحببت، يمكننا مساعدتك في فهم التقرير وتحديد أفضل خطوة تالية لعيادتكم.")</x:f>
      </x:c>
      <x:c r="L756" s="12" t="str">
        <x:f>IF(D756="","",HYPERLINK("https://wa.me/"&amp;REGEXREPLACE(D756,"[^\d]","")&amp;"?text="&amp;ENCODEURL(K756),"واتساب 1"))</x:f>
      </x:c>
      <x:c r="M756" s="12" t="str">
        <x:f>IF(A756="","","مرحبًا "&amp;C756&amp;CHAR(10)&amp;CHAR(10)&amp;"بناءً على نتيجة تقييم عيادة "&amp;B756&amp;"، فإن الترشيح الأقوى لكم الآن هو: "&amp;G756&amp;"."&amp;CHAR(10)&amp;"هذا الخيار يساعدكم في معالجة أكبر فجوة حالية بشكل عملي ومباشر."&amp;IF(J756&lt;&gt;"",CHAR(10)&amp;CHAR(10)&amp;"رابط التقرير: "&amp;J756,"")&amp;CHAR(10)&amp;CHAR(10)&amp;"إذا رغبت، يمكننا توضيح لماذا هذا الكورس هو الأنسب لكم الآن.")</x:f>
      </x:c>
      <x:c r="N756" s="12" t="str">
        <x:f>IF(D756="","",HYPERLINK("https://wa.me/"&amp;REGEXREPLACE(D756,"[^\d]","")&amp;"?text="&amp;ENCODEURL(M756),"واتساب 2"))</x:f>
      </x:c>
      <x:c r="O756" s="12" t="str">
        <x:f>IF(A756="","","مرحبًا "&amp;C756&amp;CHAR(10)&amp;CHAR(10)&amp;"إذا كانت التحديات لديكم تحتاج حلًا أشمل، فالبرنامج الكامل المناسب لكم هو: "&amp;H756&amp;"."&amp;IF(I756&lt;&gt;"",CHAR(10)&amp;"كما يمكنكم أيضًا حجز: "&amp;I756&amp;".","")&amp;IF(J756&lt;&gt;"",CHAR(10)&amp;CHAR(10)&amp;"رابط التقرير: "&amp;J756,"")&amp;CHAR(10)&amp;CHAR(10)&amp;"يسعدنا مساعدتكم في اختيار المسار الأنسب حسب وضع العيادة الحالي.")</x:f>
      </x:c>
      <x:c r="P756" s="12" t="str">
        <x:f>IF(D756="","",HYPERLINK("https://wa.me/"&amp;REGEXREPLACE(D756,"[^\d]","")&amp;"?text="&amp;ENCODEURL(O756),"واتساب 3"))</x:f>
      </x:c>
    </x:row>
    <x:row r="757" ht="15" hidden="0" customHeight="1">
      <x:c r="A757" s="12" t="str">
        <x:f>IF(Leads!A757="","",Leads!A757)</x:f>
      </x:c>
      <x:c r="B757" s="12" t="str">
        <x:f>IF(Leads!F757="","",Leads!F757)</x:f>
      </x:c>
      <x:c r="C757" s="12" t="str">
        <x:f>IF(Leads!G757="","",Leads!G757)</x:f>
      </x:c>
      <x:c r="D757" s="12" t="str">
        <x:f>IF(Leads!O757="","",Leads!O757)</x:f>
      </x:c>
      <x:c r="E757" s="12" t="str">
        <x:f>IF(Leads!AV757="","",Leads!AV757)</x:f>
      </x:c>
      <x:c r="F757" s="12" t="str">
        <x:f>IF(Leads!AX757="","",Leads!AX757)</x:f>
      </x:c>
      <x:c r="G757" s="12" t="str">
        <x:f>IF(Leads!BC757="","",Leads!BC757)</x:f>
      </x:c>
      <x:c r="H757" s="12" t="str">
        <x:f>IF(Leads!BE757="","",Leads!BE757)</x:f>
      </x:c>
      <x:c r="I757" s="12" t="str">
        <x:f>IF(Leads!BG757="","",Leads!BG757)</x:f>
      </x:c>
      <x:c r="J757" s="12" t="str">
        <x:f>IF(Leads!BH757="","",Leads!BH757)</x:f>
      </x:c>
      <x:c r="K757" s="12" t="str">
        <x:f>IF(A757="","","مرحبًا "&amp;C757&amp;CHAR(10)&amp;CHAR(10)&amp;"شكرًا لإتمام تقييم DBD الخاص بعيادة "&amp;B757&amp;"."&amp;CHAR(10)&amp;"نتيجتكم الحالية: "&amp;E757&amp;"%."&amp;CHAR(10)&amp;"أولوية التحسين الأولى: "&amp;F757&amp;"."&amp;IF(J757&lt;&gt;"",CHAR(10)&amp;CHAR(10)&amp;"رابط التقرير: "&amp;J757,"")&amp;CHAR(10)&amp;CHAR(10)&amp;"إذا أحببت، يمكننا مساعدتك في فهم التقرير وتحديد أفضل خطوة تالية لعيادتكم.")</x:f>
      </x:c>
      <x:c r="L757" s="12" t="str">
        <x:f>IF(D757="","",HYPERLINK("https://wa.me/"&amp;REGEXREPLACE(D757,"[^\d]","")&amp;"?text="&amp;ENCODEURL(K757),"واتساب 1"))</x:f>
      </x:c>
      <x:c r="M757" s="12" t="str">
        <x:f>IF(A757="","","مرحبًا "&amp;C757&amp;CHAR(10)&amp;CHAR(10)&amp;"بناءً على نتيجة تقييم عيادة "&amp;B757&amp;"، فإن الترشيح الأقوى لكم الآن هو: "&amp;G757&amp;"."&amp;CHAR(10)&amp;"هذا الخيار يساعدكم في معالجة أكبر فجوة حالية بشكل عملي ومباشر."&amp;IF(J757&lt;&gt;"",CHAR(10)&amp;CHAR(10)&amp;"رابط التقرير: "&amp;J757,"")&amp;CHAR(10)&amp;CHAR(10)&amp;"إذا رغبت، يمكننا توضيح لماذا هذا الكورس هو الأنسب لكم الآن.")</x:f>
      </x:c>
      <x:c r="N757" s="12" t="str">
        <x:f>IF(D757="","",HYPERLINK("https://wa.me/"&amp;REGEXREPLACE(D757,"[^\d]","")&amp;"?text="&amp;ENCODEURL(M757),"واتساب 2"))</x:f>
      </x:c>
      <x:c r="O757" s="12" t="str">
        <x:f>IF(A757="","","مرحبًا "&amp;C757&amp;CHAR(10)&amp;CHAR(10)&amp;"إذا كانت التحديات لديكم تحتاج حلًا أشمل، فالبرنامج الكامل المناسب لكم هو: "&amp;H757&amp;"."&amp;IF(I757&lt;&gt;"",CHAR(10)&amp;"كما يمكنكم أيضًا حجز: "&amp;I757&amp;".","")&amp;IF(J757&lt;&gt;"",CHAR(10)&amp;CHAR(10)&amp;"رابط التقرير: "&amp;J757,"")&amp;CHAR(10)&amp;CHAR(10)&amp;"يسعدنا مساعدتكم في اختيار المسار الأنسب حسب وضع العيادة الحالي.")</x:f>
      </x:c>
      <x:c r="P757" s="12" t="str">
        <x:f>IF(D757="","",HYPERLINK("https://wa.me/"&amp;REGEXREPLACE(D757,"[^\d]","")&amp;"?text="&amp;ENCODEURL(O757),"واتساب 3"))</x:f>
      </x:c>
    </x:row>
    <x:row r="758" ht="15" hidden="0" customHeight="1">
      <x:c r="A758" s="12" t="str">
        <x:f>IF(Leads!A758="","",Leads!A758)</x:f>
      </x:c>
      <x:c r="B758" s="12" t="str">
        <x:f>IF(Leads!F758="","",Leads!F758)</x:f>
      </x:c>
      <x:c r="C758" s="12" t="str">
        <x:f>IF(Leads!G758="","",Leads!G758)</x:f>
      </x:c>
      <x:c r="D758" s="12" t="str">
        <x:f>IF(Leads!O758="","",Leads!O758)</x:f>
      </x:c>
      <x:c r="E758" s="12" t="str">
        <x:f>IF(Leads!AV758="","",Leads!AV758)</x:f>
      </x:c>
      <x:c r="F758" s="12" t="str">
        <x:f>IF(Leads!AX758="","",Leads!AX758)</x:f>
      </x:c>
      <x:c r="G758" s="12" t="str">
        <x:f>IF(Leads!BC758="","",Leads!BC758)</x:f>
      </x:c>
      <x:c r="H758" s="12" t="str">
        <x:f>IF(Leads!BE758="","",Leads!BE758)</x:f>
      </x:c>
      <x:c r="I758" s="12" t="str">
        <x:f>IF(Leads!BG758="","",Leads!BG758)</x:f>
      </x:c>
      <x:c r="J758" s="12" t="str">
        <x:f>IF(Leads!BH758="","",Leads!BH758)</x:f>
      </x:c>
      <x:c r="K758" s="12" t="str">
        <x:f>IF(A758="","","مرحبًا "&amp;C758&amp;CHAR(10)&amp;CHAR(10)&amp;"شكرًا لإتمام تقييم DBD الخاص بعيادة "&amp;B758&amp;"."&amp;CHAR(10)&amp;"نتيجتكم الحالية: "&amp;E758&amp;"%."&amp;CHAR(10)&amp;"أولوية التحسين الأولى: "&amp;F758&amp;"."&amp;IF(J758&lt;&gt;"",CHAR(10)&amp;CHAR(10)&amp;"رابط التقرير: "&amp;J758,"")&amp;CHAR(10)&amp;CHAR(10)&amp;"إذا أحببت، يمكننا مساعدتك في فهم التقرير وتحديد أفضل خطوة تالية لعيادتكم.")</x:f>
      </x:c>
      <x:c r="L758" s="12" t="str">
        <x:f>IF(D758="","",HYPERLINK("https://wa.me/"&amp;REGEXREPLACE(D758,"[^\d]","")&amp;"?text="&amp;ENCODEURL(K758),"واتساب 1"))</x:f>
      </x:c>
      <x:c r="M758" s="12" t="str">
        <x:f>IF(A758="","","مرحبًا "&amp;C758&amp;CHAR(10)&amp;CHAR(10)&amp;"بناءً على نتيجة تقييم عيادة "&amp;B758&amp;"، فإن الترشيح الأقوى لكم الآن هو: "&amp;G758&amp;"."&amp;CHAR(10)&amp;"هذا الخيار يساعدكم في معالجة أكبر فجوة حالية بشكل عملي ومباشر."&amp;IF(J758&lt;&gt;"",CHAR(10)&amp;CHAR(10)&amp;"رابط التقرير: "&amp;J758,"")&amp;CHAR(10)&amp;CHAR(10)&amp;"إذا رغبت، يمكننا توضيح لماذا هذا الكورس هو الأنسب لكم الآن.")</x:f>
      </x:c>
      <x:c r="N758" s="12" t="str">
        <x:f>IF(D758="","",HYPERLINK("https://wa.me/"&amp;REGEXREPLACE(D758,"[^\d]","")&amp;"?text="&amp;ENCODEURL(M758),"واتساب 2"))</x:f>
      </x:c>
      <x:c r="O758" s="12" t="str">
        <x:f>IF(A758="","","مرحبًا "&amp;C758&amp;CHAR(10)&amp;CHAR(10)&amp;"إذا كانت التحديات لديكم تحتاج حلًا أشمل، فالبرنامج الكامل المناسب لكم هو: "&amp;H758&amp;"."&amp;IF(I758&lt;&gt;"",CHAR(10)&amp;"كما يمكنكم أيضًا حجز: "&amp;I758&amp;".","")&amp;IF(J758&lt;&gt;"",CHAR(10)&amp;CHAR(10)&amp;"رابط التقرير: "&amp;J758,"")&amp;CHAR(10)&amp;CHAR(10)&amp;"يسعدنا مساعدتكم في اختيار المسار الأنسب حسب وضع العيادة الحالي.")</x:f>
      </x:c>
      <x:c r="P758" s="12" t="str">
        <x:f>IF(D758="","",HYPERLINK("https://wa.me/"&amp;REGEXREPLACE(D758,"[^\d]","")&amp;"?text="&amp;ENCODEURL(O758),"واتساب 3"))</x:f>
      </x:c>
    </x:row>
    <x:row r="759" ht="15" hidden="0" customHeight="1">
      <x:c r="A759" s="12" t="str">
        <x:f>IF(Leads!A759="","",Leads!A759)</x:f>
      </x:c>
      <x:c r="B759" s="12" t="str">
        <x:f>IF(Leads!F759="","",Leads!F759)</x:f>
      </x:c>
      <x:c r="C759" s="12" t="str">
        <x:f>IF(Leads!G759="","",Leads!G759)</x:f>
      </x:c>
      <x:c r="D759" s="12" t="str">
        <x:f>IF(Leads!O759="","",Leads!O759)</x:f>
      </x:c>
      <x:c r="E759" s="12" t="str">
        <x:f>IF(Leads!AV759="","",Leads!AV759)</x:f>
      </x:c>
      <x:c r="F759" s="12" t="str">
        <x:f>IF(Leads!AX759="","",Leads!AX759)</x:f>
      </x:c>
      <x:c r="G759" s="12" t="str">
        <x:f>IF(Leads!BC759="","",Leads!BC759)</x:f>
      </x:c>
      <x:c r="H759" s="12" t="str">
        <x:f>IF(Leads!BE759="","",Leads!BE759)</x:f>
      </x:c>
      <x:c r="I759" s="12" t="str">
        <x:f>IF(Leads!BG759="","",Leads!BG759)</x:f>
      </x:c>
      <x:c r="J759" s="12" t="str">
        <x:f>IF(Leads!BH759="","",Leads!BH759)</x:f>
      </x:c>
      <x:c r="K759" s="12" t="str">
        <x:f>IF(A759="","","مرحبًا "&amp;C759&amp;CHAR(10)&amp;CHAR(10)&amp;"شكرًا لإتمام تقييم DBD الخاص بعيادة "&amp;B759&amp;"."&amp;CHAR(10)&amp;"نتيجتكم الحالية: "&amp;E759&amp;"%."&amp;CHAR(10)&amp;"أولوية التحسين الأولى: "&amp;F759&amp;"."&amp;IF(J759&lt;&gt;"",CHAR(10)&amp;CHAR(10)&amp;"رابط التقرير: "&amp;J759,"")&amp;CHAR(10)&amp;CHAR(10)&amp;"إذا أحببت، يمكننا مساعدتك في فهم التقرير وتحديد أفضل خطوة تالية لعيادتكم.")</x:f>
      </x:c>
      <x:c r="L759" s="12" t="str">
        <x:f>IF(D759="","",HYPERLINK("https://wa.me/"&amp;REGEXREPLACE(D759,"[^\d]","")&amp;"?text="&amp;ENCODEURL(K759),"واتساب 1"))</x:f>
      </x:c>
      <x:c r="M759" s="12" t="str">
        <x:f>IF(A759="","","مرحبًا "&amp;C759&amp;CHAR(10)&amp;CHAR(10)&amp;"بناءً على نتيجة تقييم عيادة "&amp;B759&amp;"، فإن الترشيح الأقوى لكم الآن هو: "&amp;G759&amp;"."&amp;CHAR(10)&amp;"هذا الخيار يساعدكم في معالجة أكبر فجوة حالية بشكل عملي ومباشر."&amp;IF(J759&lt;&gt;"",CHAR(10)&amp;CHAR(10)&amp;"رابط التقرير: "&amp;J759,"")&amp;CHAR(10)&amp;CHAR(10)&amp;"إذا رغبت، يمكننا توضيح لماذا هذا الكورس هو الأنسب لكم الآن.")</x:f>
      </x:c>
      <x:c r="N759" s="12" t="str">
        <x:f>IF(D759="","",HYPERLINK("https://wa.me/"&amp;REGEXREPLACE(D759,"[^\d]","")&amp;"?text="&amp;ENCODEURL(M759),"واتساب 2"))</x:f>
      </x:c>
      <x:c r="O759" s="12" t="str">
        <x:f>IF(A759="","","مرحبًا "&amp;C759&amp;CHAR(10)&amp;CHAR(10)&amp;"إذا كانت التحديات لديكم تحتاج حلًا أشمل، فالبرنامج الكامل المناسب لكم هو: "&amp;H759&amp;"."&amp;IF(I759&lt;&gt;"",CHAR(10)&amp;"كما يمكنكم أيضًا حجز: "&amp;I759&amp;".","")&amp;IF(J759&lt;&gt;"",CHAR(10)&amp;CHAR(10)&amp;"رابط التقرير: "&amp;J759,"")&amp;CHAR(10)&amp;CHAR(10)&amp;"يسعدنا مساعدتكم في اختيار المسار الأنسب حسب وضع العيادة الحالي.")</x:f>
      </x:c>
      <x:c r="P759" s="12" t="str">
        <x:f>IF(D759="","",HYPERLINK("https://wa.me/"&amp;REGEXREPLACE(D759,"[^\d]","")&amp;"?text="&amp;ENCODEURL(O759),"واتساب 3"))</x:f>
      </x:c>
    </x:row>
    <x:row r="760" ht="15" hidden="0" customHeight="1">
      <x:c r="A760" s="12" t="str">
        <x:f>IF(Leads!A760="","",Leads!A760)</x:f>
      </x:c>
      <x:c r="B760" s="12" t="str">
        <x:f>IF(Leads!F760="","",Leads!F760)</x:f>
      </x:c>
      <x:c r="C760" s="12" t="str">
        <x:f>IF(Leads!G760="","",Leads!G760)</x:f>
      </x:c>
      <x:c r="D760" s="12" t="str">
        <x:f>IF(Leads!O760="","",Leads!O760)</x:f>
      </x:c>
      <x:c r="E760" s="12" t="str">
        <x:f>IF(Leads!AV760="","",Leads!AV760)</x:f>
      </x:c>
      <x:c r="F760" s="12" t="str">
        <x:f>IF(Leads!AX760="","",Leads!AX760)</x:f>
      </x:c>
      <x:c r="G760" s="12" t="str">
        <x:f>IF(Leads!BC760="","",Leads!BC760)</x:f>
      </x:c>
      <x:c r="H760" s="12" t="str">
        <x:f>IF(Leads!BE760="","",Leads!BE760)</x:f>
      </x:c>
      <x:c r="I760" s="12" t="str">
        <x:f>IF(Leads!BG760="","",Leads!BG760)</x:f>
      </x:c>
      <x:c r="J760" s="12" t="str">
        <x:f>IF(Leads!BH760="","",Leads!BH760)</x:f>
      </x:c>
      <x:c r="K760" s="12" t="str">
        <x:f>IF(A760="","","مرحبًا "&amp;C760&amp;CHAR(10)&amp;CHAR(10)&amp;"شكرًا لإتمام تقييم DBD الخاص بعيادة "&amp;B760&amp;"."&amp;CHAR(10)&amp;"نتيجتكم الحالية: "&amp;E760&amp;"%."&amp;CHAR(10)&amp;"أولوية التحسين الأولى: "&amp;F760&amp;"."&amp;IF(J760&lt;&gt;"",CHAR(10)&amp;CHAR(10)&amp;"رابط التقرير: "&amp;J760,"")&amp;CHAR(10)&amp;CHAR(10)&amp;"إذا أحببت، يمكننا مساعدتك في فهم التقرير وتحديد أفضل خطوة تالية لعيادتكم.")</x:f>
      </x:c>
      <x:c r="L760" s="12" t="str">
        <x:f>IF(D760="","",HYPERLINK("https://wa.me/"&amp;REGEXREPLACE(D760,"[^\d]","")&amp;"?text="&amp;ENCODEURL(K760),"واتساب 1"))</x:f>
      </x:c>
      <x:c r="M760" s="12" t="str">
        <x:f>IF(A760="","","مرحبًا "&amp;C760&amp;CHAR(10)&amp;CHAR(10)&amp;"بناءً على نتيجة تقييم عيادة "&amp;B760&amp;"، فإن الترشيح الأقوى لكم الآن هو: "&amp;G760&amp;"."&amp;CHAR(10)&amp;"هذا الخيار يساعدكم في معالجة أكبر فجوة حالية بشكل عملي ومباشر."&amp;IF(J760&lt;&gt;"",CHAR(10)&amp;CHAR(10)&amp;"رابط التقرير: "&amp;J760,"")&amp;CHAR(10)&amp;CHAR(10)&amp;"إذا رغبت، يمكننا توضيح لماذا هذا الكورس هو الأنسب لكم الآن.")</x:f>
      </x:c>
      <x:c r="N760" s="12" t="str">
        <x:f>IF(D760="","",HYPERLINK("https://wa.me/"&amp;REGEXREPLACE(D760,"[^\d]","")&amp;"?text="&amp;ENCODEURL(M760),"واتساب 2"))</x:f>
      </x:c>
      <x:c r="O760" s="12" t="str">
        <x:f>IF(A760="","","مرحبًا "&amp;C760&amp;CHAR(10)&amp;CHAR(10)&amp;"إذا كانت التحديات لديكم تحتاج حلًا أشمل، فالبرنامج الكامل المناسب لكم هو: "&amp;H760&amp;"."&amp;IF(I760&lt;&gt;"",CHAR(10)&amp;"كما يمكنكم أيضًا حجز: "&amp;I760&amp;".","")&amp;IF(J760&lt;&gt;"",CHAR(10)&amp;CHAR(10)&amp;"رابط التقرير: "&amp;J760,"")&amp;CHAR(10)&amp;CHAR(10)&amp;"يسعدنا مساعدتكم في اختيار المسار الأنسب حسب وضع العيادة الحالي.")</x:f>
      </x:c>
      <x:c r="P760" s="12" t="str">
        <x:f>IF(D760="","",HYPERLINK("https://wa.me/"&amp;REGEXREPLACE(D760,"[^\d]","")&amp;"?text="&amp;ENCODEURL(O760),"واتساب 3"))</x:f>
      </x:c>
    </x:row>
    <x:row r="761" ht="15" hidden="0" customHeight="1">
      <x:c r="A761" s="12" t="str">
        <x:f>IF(Leads!A761="","",Leads!A761)</x:f>
      </x:c>
      <x:c r="B761" s="12" t="str">
        <x:f>IF(Leads!F761="","",Leads!F761)</x:f>
      </x:c>
      <x:c r="C761" s="12" t="str">
        <x:f>IF(Leads!G761="","",Leads!G761)</x:f>
      </x:c>
      <x:c r="D761" s="12" t="str">
        <x:f>IF(Leads!O761="","",Leads!O761)</x:f>
      </x:c>
      <x:c r="E761" s="12" t="str">
        <x:f>IF(Leads!AV761="","",Leads!AV761)</x:f>
      </x:c>
      <x:c r="F761" s="12" t="str">
        <x:f>IF(Leads!AX761="","",Leads!AX761)</x:f>
      </x:c>
      <x:c r="G761" s="12" t="str">
        <x:f>IF(Leads!BC761="","",Leads!BC761)</x:f>
      </x:c>
      <x:c r="H761" s="12" t="str">
        <x:f>IF(Leads!BE761="","",Leads!BE761)</x:f>
      </x:c>
      <x:c r="I761" s="12" t="str">
        <x:f>IF(Leads!BG761="","",Leads!BG761)</x:f>
      </x:c>
      <x:c r="J761" s="12" t="str">
        <x:f>IF(Leads!BH761="","",Leads!BH761)</x:f>
      </x:c>
      <x:c r="K761" s="12" t="str">
        <x:f>IF(A761="","","مرحبًا "&amp;C761&amp;CHAR(10)&amp;CHAR(10)&amp;"شكرًا لإتمام تقييم DBD الخاص بعيادة "&amp;B761&amp;"."&amp;CHAR(10)&amp;"نتيجتكم الحالية: "&amp;E761&amp;"%."&amp;CHAR(10)&amp;"أولوية التحسين الأولى: "&amp;F761&amp;"."&amp;IF(J761&lt;&gt;"",CHAR(10)&amp;CHAR(10)&amp;"رابط التقرير: "&amp;J761,"")&amp;CHAR(10)&amp;CHAR(10)&amp;"إذا أحببت، يمكننا مساعدتك في فهم التقرير وتحديد أفضل خطوة تالية لعيادتكم.")</x:f>
      </x:c>
      <x:c r="L761" s="12" t="str">
        <x:f>IF(D761="","",HYPERLINK("https://wa.me/"&amp;REGEXREPLACE(D761,"[^\d]","")&amp;"?text="&amp;ENCODEURL(K761),"واتساب 1"))</x:f>
      </x:c>
      <x:c r="M761" s="12" t="str">
        <x:f>IF(A761="","","مرحبًا "&amp;C761&amp;CHAR(10)&amp;CHAR(10)&amp;"بناءً على نتيجة تقييم عيادة "&amp;B761&amp;"، فإن الترشيح الأقوى لكم الآن هو: "&amp;G761&amp;"."&amp;CHAR(10)&amp;"هذا الخيار يساعدكم في معالجة أكبر فجوة حالية بشكل عملي ومباشر."&amp;IF(J761&lt;&gt;"",CHAR(10)&amp;CHAR(10)&amp;"رابط التقرير: "&amp;J761,"")&amp;CHAR(10)&amp;CHAR(10)&amp;"إذا رغبت، يمكننا توضيح لماذا هذا الكورس هو الأنسب لكم الآن.")</x:f>
      </x:c>
      <x:c r="N761" s="12" t="str">
        <x:f>IF(D761="","",HYPERLINK("https://wa.me/"&amp;REGEXREPLACE(D761,"[^\d]","")&amp;"?text="&amp;ENCODEURL(M761),"واتساب 2"))</x:f>
      </x:c>
      <x:c r="O761" s="12" t="str">
        <x:f>IF(A761="","","مرحبًا "&amp;C761&amp;CHAR(10)&amp;CHAR(10)&amp;"إذا كانت التحديات لديكم تحتاج حلًا أشمل، فالبرنامج الكامل المناسب لكم هو: "&amp;H761&amp;"."&amp;IF(I761&lt;&gt;"",CHAR(10)&amp;"كما يمكنكم أيضًا حجز: "&amp;I761&amp;".","")&amp;IF(J761&lt;&gt;"",CHAR(10)&amp;CHAR(10)&amp;"رابط التقرير: "&amp;J761,"")&amp;CHAR(10)&amp;CHAR(10)&amp;"يسعدنا مساعدتكم في اختيار المسار الأنسب حسب وضع العيادة الحالي.")</x:f>
      </x:c>
      <x:c r="P761" s="12" t="str">
        <x:f>IF(D761="","",HYPERLINK("https://wa.me/"&amp;REGEXREPLACE(D761,"[^\d]","")&amp;"?text="&amp;ENCODEURL(O761),"واتساب 3"))</x:f>
      </x:c>
    </x:row>
    <x:row r="762" ht="15" hidden="0" customHeight="1">
      <x:c r="A762" s="12" t="str">
        <x:f>IF(Leads!A762="","",Leads!A762)</x:f>
      </x:c>
      <x:c r="B762" s="12" t="str">
        <x:f>IF(Leads!F762="","",Leads!F762)</x:f>
      </x:c>
      <x:c r="C762" s="12" t="str">
        <x:f>IF(Leads!G762="","",Leads!G762)</x:f>
      </x:c>
      <x:c r="D762" s="12" t="str">
        <x:f>IF(Leads!O762="","",Leads!O762)</x:f>
      </x:c>
      <x:c r="E762" s="12" t="str">
        <x:f>IF(Leads!AV762="","",Leads!AV762)</x:f>
      </x:c>
      <x:c r="F762" s="12" t="str">
        <x:f>IF(Leads!AX762="","",Leads!AX762)</x:f>
      </x:c>
      <x:c r="G762" s="12" t="str">
        <x:f>IF(Leads!BC762="","",Leads!BC762)</x:f>
      </x:c>
      <x:c r="H762" s="12" t="str">
        <x:f>IF(Leads!BE762="","",Leads!BE762)</x:f>
      </x:c>
      <x:c r="I762" s="12" t="str">
        <x:f>IF(Leads!BG762="","",Leads!BG762)</x:f>
      </x:c>
      <x:c r="J762" s="12" t="str">
        <x:f>IF(Leads!BH762="","",Leads!BH762)</x:f>
      </x:c>
      <x:c r="K762" s="12" t="str">
        <x:f>IF(A762="","","مرحبًا "&amp;C762&amp;CHAR(10)&amp;CHAR(10)&amp;"شكرًا لإتمام تقييم DBD الخاص بعيادة "&amp;B762&amp;"."&amp;CHAR(10)&amp;"نتيجتكم الحالية: "&amp;E762&amp;"%."&amp;CHAR(10)&amp;"أولوية التحسين الأولى: "&amp;F762&amp;"."&amp;IF(J762&lt;&gt;"",CHAR(10)&amp;CHAR(10)&amp;"رابط التقرير: "&amp;J762,"")&amp;CHAR(10)&amp;CHAR(10)&amp;"إذا أحببت، يمكننا مساعدتك في فهم التقرير وتحديد أفضل خطوة تالية لعيادتكم.")</x:f>
      </x:c>
      <x:c r="L762" s="12" t="str">
        <x:f>IF(D762="","",HYPERLINK("https://wa.me/"&amp;REGEXREPLACE(D762,"[^\d]","")&amp;"?text="&amp;ENCODEURL(K762),"واتساب 1"))</x:f>
      </x:c>
      <x:c r="M762" s="12" t="str">
        <x:f>IF(A762="","","مرحبًا "&amp;C762&amp;CHAR(10)&amp;CHAR(10)&amp;"بناءً على نتيجة تقييم عيادة "&amp;B762&amp;"، فإن الترشيح الأقوى لكم الآن هو: "&amp;G762&amp;"."&amp;CHAR(10)&amp;"هذا الخيار يساعدكم في معالجة أكبر فجوة حالية بشكل عملي ومباشر."&amp;IF(J762&lt;&gt;"",CHAR(10)&amp;CHAR(10)&amp;"رابط التقرير: "&amp;J762,"")&amp;CHAR(10)&amp;CHAR(10)&amp;"إذا رغبت، يمكننا توضيح لماذا هذا الكورس هو الأنسب لكم الآن.")</x:f>
      </x:c>
      <x:c r="N762" s="12" t="str">
        <x:f>IF(D762="","",HYPERLINK("https://wa.me/"&amp;REGEXREPLACE(D762,"[^\d]","")&amp;"?text="&amp;ENCODEURL(M762),"واتساب 2"))</x:f>
      </x:c>
      <x:c r="O762" s="12" t="str">
        <x:f>IF(A762="","","مرحبًا "&amp;C762&amp;CHAR(10)&amp;CHAR(10)&amp;"إذا كانت التحديات لديكم تحتاج حلًا أشمل، فالبرنامج الكامل المناسب لكم هو: "&amp;H762&amp;"."&amp;IF(I762&lt;&gt;"",CHAR(10)&amp;"كما يمكنكم أيضًا حجز: "&amp;I762&amp;".","")&amp;IF(J762&lt;&gt;"",CHAR(10)&amp;CHAR(10)&amp;"رابط التقرير: "&amp;J762,"")&amp;CHAR(10)&amp;CHAR(10)&amp;"يسعدنا مساعدتكم في اختيار المسار الأنسب حسب وضع العيادة الحالي.")</x:f>
      </x:c>
      <x:c r="P762" s="12" t="str">
        <x:f>IF(D762="","",HYPERLINK("https://wa.me/"&amp;REGEXREPLACE(D762,"[^\d]","")&amp;"?text="&amp;ENCODEURL(O762),"واتساب 3"))</x:f>
      </x:c>
    </x:row>
    <x:row r="763" ht="15" hidden="0" customHeight="1">
      <x:c r="A763" s="12" t="str">
        <x:f>IF(Leads!A763="","",Leads!A763)</x:f>
      </x:c>
      <x:c r="B763" s="12" t="str">
        <x:f>IF(Leads!F763="","",Leads!F763)</x:f>
      </x:c>
      <x:c r="C763" s="12" t="str">
        <x:f>IF(Leads!G763="","",Leads!G763)</x:f>
      </x:c>
      <x:c r="D763" s="12" t="str">
        <x:f>IF(Leads!O763="","",Leads!O763)</x:f>
      </x:c>
      <x:c r="E763" s="12" t="str">
        <x:f>IF(Leads!AV763="","",Leads!AV763)</x:f>
      </x:c>
      <x:c r="F763" s="12" t="str">
        <x:f>IF(Leads!AX763="","",Leads!AX763)</x:f>
      </x:c>
      <x:c r="G763" s="12" t="str">
        <x:f>IF(Leads!BC763="","",Leads!BC763)</x:f>
      </x:c>
      <x:c r="H763" s="12" t="str">
        <x:f>IF(Leads!BE763="","",Leads!BE763)</x:f>
      </x:c>
      <x:c r="I763" s="12" t="str">
        <x:f>IF(Leads!BG763="","",Leads!BG763)</x:f>
      </x:c>
      <x:c r="J763" s="12" t="str">
        <x:f>IF(Leads!BH763="","",Leads!BH763)</x:f>
      </x:c>
      <x:c r="K763" s="12" t="str">
        <x:f>IF(A763="","","مرحبًا "&amp;C763&amp;CHAR(10)&amp;CHAR(10)&amp;"شكرًا لإتمام تقييم DBD الخاص بعيادة "&amp;B763&amp;"."&amp;CHAR(10)&amp;"نتيجتكم الحالية: "&amp;E763&amp;"%."&amp;CHAR(10)&amp;"أولوية التحسين الأولى: "&amp;F763&amp;"."&amp;IF(J763&lt;&gt;"",CHAR(10)&amp;CHAR(10)&amp;"رابط التقرير: "&amp;J763,"")&amp;CHAR(10)&amp;CHAR(10)&amp;"إذا أحببت، يمكننا مساعدتك في فهم التقرير وتحديد أفضل خطوة تالية لعيادتكم.")</x:f>
      </x:c>
      <x:c r="L763" s="12" t="str">
        <x:f>IF(D763="","",HYPERLINK("https://wa.me/"&amp;REGEXREPLACE(D763,"[^\d]","")&amp;"?text="&amp;ENCODEURL(K763),"واتساب 1"))</x:f>
      </x:c>
      <x:c r="M763" s="12" t="str">
        <x:f>IF(A763="","","مرحبًا "&amp;C763&amp;CHAR(10)&amp;CHAR(10)&amp;"بناءً على نتيجة تقييم عيادة "&amp;B763&amp;"، فإن الترشيح الأقوى لكم الآن هو: "&amp;G763&amp;"."&amp;CHAR(10)&amp;"هذا الخيار يساعدكم في معالجة أكبر فجوة حالية بشكل عملي ومباشر."&amp;IF(J763&lt;&gt;"",CHAR(10)&amp;CHAR(10)&amp;"رابط التقرير: "&amp;J763,"")&amp;CHAR(10)&amp;CHAR(10)&amp;"إذا رغبت، يمكننا توضيح لماذا هذا الكورس هو الأنسب لكم الآن.")</x:f>
      </x:c>
      <x:c r="N763" s="12" t="str">
        <x:f>IF(D763="","",HYPERLINK("https://wa.me/"&amp;REGEXREPLACE(D763,"[^\d]","")&amp;"?text="&amp;ENCODEURL(M763),"واتساب 2"))</x:f>
      </x:c>
      <x:c r="O763" s="12" t="str">
        <x:f>IF(A763="","","مرحبًا "&amp;C763&amp;CHAR(10)&amp;CHAR(10)&amp;"إذا كانت التحديات لديكم تحتاج حلًا أشمل، فالبرنامج الكامل المناسب لكم هو: "&amp;H763&amp;"."&amp;IF(I763&lt;&gt;"",CHAR(10)&amp;"كما يمكنكم أيضًا حجز: "&amp;I763&amp;".","")&amp;IF(J763&lt;&gt;"",CHAR(10)&amp;CHAR(10)&amp;"رابط التقرير: "&amp;J763,"")&amp;CHAR(10)&amp;CHAR(10)&amp;"يسعدنا مساعدتكم في اختيار المسار الأنسب حسب وضع العيادة الحالي.")</x:f>
      </x:c>
      <x:c r="P763" s="12" t="str">
        <x:f>IF(D763="","",HYPERLINK("https://wa.me/"&amp;REGEXREPLACE(D763,"[^\d]","")&amp;"?text="&amp;ENCODEURL(O763),"واتساب 3"))</x:f>
      </x:c>
    </x:row>
    <x:row r="764" ht="15" hidden="0" customHeight="1">
      <x:c r="A764" s="12" t="str">
        <x:f>IF(Leads!A764="","",Leads!A764)</x:f>
      </x:c>
      <x:c r="B764" s="12" t="str">
        <x:f>IF(Leads!F764="","",Leads!F764)</x:f>
      </x:c>
      <x:c r="C764" s="12" t="str">
        <x:f>IF(Leads!G764="","",Leads!G764)</x:f>
      </x:c>
      <x:c r="D764" s="12" t="str">
        <x:f>IF(Leads!O764="","",Leads!O764)</x:f>
      </x:c>
      <x:c r="E764" s="12" t="str">
        <x:f>IF(Leads!AV764="","",Leads!AV764)</x:f>
      </x:c>
      <x:c r="F764" s="12" t="str">
        <x:f>IF(Leads!AX764="","",Leads!AX764)</x:f>
      </x:c>
      <x:c r="G764" s="12" t="str">
        <x:f>IF(Leads!BC764="","",Leads!BC764)</x:f>
      </x:c>
      <x:c r="H764" s="12" t="str">
        <x:f>IF(Leads!BE764="","",Leads!BE764)</x:f>
      </x:c>
      <x:c r="I764" s="12" t="str">
        <x:f>IF(Leads!BG764="","",Leads!BG764)</x:f>
      </x:c>
      <x:c r="J764" s="12" t="str">
        <x:f>IF(Leads!BH764="","",Leads!BH764)</x:f>
      </x:c>
      <x:c r="K764" s="12" t="str">
        <x:f>IF(A764="","","مرحبًا "&amp;C764&amp;CHAR(10)&amp;CHAR(10)&amp;"شكرًا لإتمام تقييم DBD الخاص بعيادة "&amp;B764&amp;"."&amp;CHAR(10)&amp;"نتيجتكم الحالية: "&amp;E764&amp;"%."&amp;CHAR(10)&amp;"أولوية التحسين الأولى: "&amp;F764&amp;"."&amp;IF(J764&lt;&gt;"",CHAR(10)&amp;CHAR(10)&amp;"رابط التقرير: "&amp;J764,"")&amp;CHAR(10)&amp;CHAR(10)&amp;"إذا أحببت، يمكننا مساعدتك في فهم التقرير وتحديد أفضل خطوة تالية لعيادتكم.")</x:f>
      </x:c>
      <x:c r="L764" s="12" t="str">
        <x:f>IF(D764="","",HYPERLINK("https://wa.me/"&amp;REGEXREPLACE(D764,"[^\d]","")&amp;"?text="&amp;ENCODEURL(K764),"واتساب 1"))</x:f>
      </x:c>
      <x:c r="M764" s="12" t="str">
        <x:f>IF(A764="","","مرحبًا "&amp;C764&amp;CHAR(10)&amp;CHAR(10)&amp;"بناءً على نتيجة تقييم عيادة "&amp;B764&amp;"، فإن الترشيح الأقوى لكم الآن هو: "&amp;G764&amp;"."&amp;CHAR(10)&amp;"هذا الخيار يساعدكم في معالجة أكبر فجوة حالية بشكل عملي ومباشر."&amp;IF(J764&lt;&gt;"",CHAR(10)&amp;CHAR(10)&amp;"رابط التقرير: "&amp;J764,"")&amp;CHAR(10)&amp;CHAR(10)&amp;"إذا رغبت، يمكننا توضيح لماذا هذا الكورس هو الأنسب لكم الآن.")</x:f>
      </x:c>
      <x:c r="N764" s="12" t="str">
        <x:f>IF(D764="","",HYPERLINK("https://wa.me/"&amp;REGEXREPLACE(D764,"[^\d]","")&amp;"?text="&amp;ENCODEURL(M764),"واتساب 2"))</x:f>
      </x:c>
      <x:c r="O764" s="12" t="str">
        <x:f>IF(A764="","","مرحبًا "&amp;C764&amp;CHAR(10)&amp;CHAR(10)&amp;"إذا كانت التحديات لديكم تحتاج حلًا أشمل، فالبرنامج الكامل المناسب لكم هو: "&amp;H764&amp;"."&amp;IF(I764&lt;&gt;"",CHAR(10)&amp;"كما يمكنكم أيضًا حجز: "&amp;I764&amp;".","")&amp;IF(J764&lt;&gt;"",CHAR(10)&amp;CHAR(10)&amp;"رابط التقرير: "&amp;J764,"")&amp;CHAR(10)&amp;CHAR(10)&amp;"يسعدنا مساعدتكم في اختيار المسار الأنسب حسب وضع العيادة الحالي.")</x:f>
      </x:c>
      <x:c r="P764" s="12" t="str">
        <x:f>IF(D764="","",HYPERLINK("https://wa.me/"&amp;REGEXREPLACE(D764,"[^\d]","")&amp;"?text="&amp;ENCODEURL(O764),"واتساب 3"))</x:f>
      </x:c>
    </x:row>
    <x:row r="765" ht="15" hidden="0" customHeight="1">
      <x:c r="A765" s="12" t="str">
        <x:f>IF(Leads!A765="","",Leads!A765)</x:f>
      </x:c>
      <x:c r="B765" s="12" t="str">
        <x:f>IF(Leads!F765="","",Leads!F765)</x:f>
      </x:c>
      <x:c r="C765" s="12" t="str">
        <x:f>IF(Leads!G765="","",Leads!G765)</x:f>
      </x:c>
      <x:c r="D765" s="12" t="str">
        <x:f>IF(Leads!O765="","",Leads!O765)</x:f>
      </x:c>
      <x:c r="E765" s="12" t="str">
        <x:f>IF(Leads!AV765="","",Leads!AV765)</x:f>
      </x:c>
      <x:c r="F765" s="12" t="str">
        <x:f>IF(Leads!AX765="","",Leads!AX765)</x:f>
      </x:c>
      <x:c r="G765" s="12" t="str">
        <x:f>IF(Leads!BC765="","",Leads!BC765)</x:f>
      </x:c>
      <x:c r="H765" s="12" t="str">
        <x:f>IF(Leads!BE765="","",Leads!BE765)</x:f>
      </x:c>
      <x:c r="I765" s="12" t="str">
        <x:f>IF(Leads!BG765="","",Leads!BG765)</x:f>
      </x:c>
      <x:c r="J765" s="12" t="str">
        <x:f>IF(Leads!BH765="","",Leads!BH765)</x:f>
      </x:c>
      <x:c r="K765" s="12" t="str">
        <x:f>IF(A765="","","مرحبًا "&amp;C765&amp;CHAR(10)&amp;CHAR(10)&amp;"شكرًا لإتمام تقييم DBD الخاص بعيادة "&amp;B765&amp;"."&amp;CHAR(10)&amp;"نتيجتكم الحالية: "&amp;E765&amp;"%."&amp;CHAR(10)&amp;"أولوية التحسين الأولى: "&amp;F765&amp;"."&amp;IF(J765&lt;&gt;"",CHAR(10)&amp;CHAR(10)&amp;"رابط التقرير: "&amp;J765,"")&amp;CHAR(10)&amp;CHAR(10)&amp;"إذا أحببت، يمكننا مساعدتك في فهم التقرير وتحديد أفضل خطوة تالية لعيادتكم.")</x:f>
      </x:c>
      <x:c r="L765" s="12" t="str">
        <x:f>IF(D765="","",HYPERLINK("https://wa.me/"&amp;REGEXREPLACE(D765,"[^\d]","")&amp;"?text="&amp;ENCODEURL(K765),"واتساب 1"))</x:f>
      </x:c>
      <x:c r="M765" s="12" t="str">
        <x:f>IF(A765="","","مرحبًا "&amp;C765&amp;CHAR(10)&amp;CHAR(10)&amp;"بناءً على نتيجة تقييم عيادة "&amp;B765&amp;"، فإن الترشيح الأقوى لكم الآن هو: "&amp;G765&amp;"."&amp;CHAR(10)&amp;"هذا الخيار يساعدكم في معالجة أكبر فجوة حالية بشكل عملي ومباشر."&amp;IF(J765&lt;&gt;"",CHAR(10)&amp;CHAR(10)&amp;"رابط التقرير: "&amp;J765,"")&amp;CHAR(10)&amp;CHAR(10)&amp;"إذا رغبت، يمكننا توضيح لماذا هذا الكورس هو الأنسب لكم الآن.")</x:f>
      </x:c>
      <x:c r="N765" s="12" t="str">
        <x:f>IF(D765="","",HYPERLINK("https://wa.me/"&amp;REGEXREPLACE(D765,"[^\d]","")&amp;"?text="&amp;ENCODEURL(M765),"واتساب 2"))</x:f>
      </x:c>
      <x:c r="O765" s="12" t="str">
        <x:f>IF(A765="","","مرحبًا "&amp;C765&amp;CHAR(10)&amp;CHAR(10)&amp;"إذا كانت التحديات لديكم تحتاج حلًا أشمل، فالبرنامج الكامل المناسب لكم هو: "&amp;H765&amp;"."&amp;IF(I765&lt;&gt;"",CHAR(10)&amp;"كما يمكنكم أيضًا حجز: "&amp;I765&amp;".","")&amp;IF(J765&lt;&gt;"",CHAR(10)&amp;CHAR(10)&amp;"رابط التقرير: "&amp;J765,"")&amp;CHAR(10)&amp;CHAR(10)&amp;"يسعدنا مساعدتكم في اختيار المسار الأنسب حسب وضع العيادة الحالي.")</x:f>
      </x:c>
      <x:c r="P765" s="12" t="str">
        <x:f>IF(D765="","",HYPERLINK("https://wa.me/"&amp;REGEXREPLACE(D765,"[^\d]","")&amp;"?text="&amp;ENCODEURL(O765),"واتساب 3"))</x:f>
      </x:c>
    </x:row>
    <x:row r="766" ht="15" hidden="0" customHeight="1">
      <x:c r="A766" s="12" t="str">
        <x:f>IF(Leads!A766="","",Leads!A766)</x:f>
      </x:c>
      <x:c r="B766" s="12" t="str">
        <x:f>IF(Leads!F766="","",Leads!F766)</x:f>
      </x:c>
      <x:c r="C766" s="12" t="str">
        <x:f>IF(Leads!G766="","",Leads!G766)</x:f>
      </x:c>
      <x:c r="D766" s="12" t="str">
        <x:f>IF(Leads!O766="","",Leads!O766)</x:f>
      </x:c>
      <x:c r="E766" s="12" t="str">
        <x:f>IF(Leads!AV766="","",Leads!AV766)</x:f>
      </x:c>
      <x:c r="F766" s="12" t="str">
        <x:f>IF(Leads!AX766="","",Leads!AX766)</x:f>
      </x:c>
      <x:c r="G766" s="12" t="str">
        <x:f>IF(Leads!BC766="","",Leads!BC766)</x:f>
      </x:c>
      <x:c r="H766" s="12" t="str">
        <x:f>IF(Leads!BE766="","",Leads!BE766)</x:f>
      </x:c>
      <x:c r="I766" s="12" t="str">
        <x:f>IF(Leads!BG766="","",Leads!BG766)</x:f>
      </x:c>
      <x:c r="J766" s="12" t="str">
        <x:f>IF(Leads!BH766="","",Leads!BH766)</x:f>
      </x:c>
      <x:c r="K766" s="12" t="str">
        <x:f>IF(A766="","","مرحبًا "&amp;C766&amp;CHAR(10)&amp;CHAR(10)&amp;"شكرًا لإتمام تقييم DBD الخاص بعيادة "&amp;B766&amp;"."&amp;CHAR(10)&amp;"نتيجتكم الحالية: "&amp;E766&amp;"%."&amp;CHAR(10)&amp;"أولوية التحسين الأولى: "&amp;F766&amp;"."&amp;IF(J766&lt;&gt;"",CHAR(10)&amp;CHAR(10)&amp;"رابط التقرير: "&amp;J766,"")&amp;CHAR(10)&amp;CHAR(10)&amp;"إذا أحببت، يمكننا مساعدتك في فهم التقرير وتحديد أفضل خطوة تالية لعيادتكم.")</x:f>
      </x:c>
      <x:c r="L766" s="12" t="str">
        <x:f>IF(D766="","",HYPERLINK("https://wa.me/"&amp;REGEXREPLACE(D766,"[^\d]","")&amp;"?text="&amp;ENCODEURL(K766),"واتساب 1"))</x:f>
      </x:c>
      <x:c r="M766" s="12" t="str">
        <x:f>IF(A766="","","مرحبًا "&amp;C766&amp;CHAR(10)&amp;CHAR(10)&amp;"بناءً على نتيجة تقييم عيادة "&amp;B766&amp;"، فإن الترشيح الأقوى لكم الآن هو: "&amp;G766&amp;"."&amp;CHAR(10)&amp;"هذا الخيار يساعدكم في معالجة أكبر فجوة حالية بشكل عملي ومباشر."&amp;IF(J766&lt;&gt;"",CHAR(10)&amp;CHAR(10)&amp;"رابط التقرير: "&amp;J766,"")&amp;CHAR(10)&amp;CHAR(10)&amp;"إذا رغبت، يمكننا توضيح لماذا هذا الكورس هو الأنسب لكم الآن.")</x:f>
      </x:c>
      <x:c r="N766" s="12" t="str">
        <x:f>IF(D766="","",HYPERLINK("https://wa.me/"&amp;REGEXREPLACE(D766,"[^\d]","")&amp;"?text="&amp;ENCODEURL(M766),"واتساب 2"))</x:f>
      </x:c>
      <x:c r="O766" s="12" t="str">
        <x:f>IF(A766="","","مرحبًا "&amp;C766&amp;CHAR(10)&amp;CHAR(10)&amp;"إذا كانت التحديات لديكم تحتاج حلًا أشمل، فالبرنامج الكامل المناسب لكم هو: "&amp;H766&amp;"."&amp;IF(I766&lt;&gt;"",CHAR(10)&amp;"كما يمكنكم أيضًا حجز: "&amp;I766&amp;".","")&amp;IF(J766&lt;&gt;"",CHAR(10)&amp;CHAR(10)&amp;"رابط التقرير: "&amp;J766,"")&amp;CHAR(10)&amp;CHAR(10)&amp;"يسعدنا مساعدتكم في اختيار المسار الأنسب حسب وضع العيادة الحالي.")</x:f>
      </x:c>
      <x:c r="P766" s="12" t="str">
        <x:f>IF(D766="","",HYPERLINK("https://wa.me/"&amp;REGEXREPLACE(D766,"[^\d]","")&amp;"?text="&amp;ENCODEURL(O766),"واتساب 3"))</x:f>
      </x:c>
    </x:row>
    <x:row r="767" ht="15" hidden="0" customHeight="1">
      <x:c r="A767" s="12" t="str">
        <x:f>IF(Leads!A767="","",Leads!A767)</x:f>
      </x:c>
      <x:c r="B767" s="12" t="str">
        <x:f>IF(Leads!F767="","",Leads!F767)</x:f>
      </x:c>
      <x:c r="C767" s="12" t="str">
        <x:f>IF(Leads!G767="","",Leads!G767)</x:f>
      </x:c>
      <x:c r="D767" s="12" t="str">
        <x:f>IF(Leads!O767="","",Leads!O767)</x:f>
      </x:c>
      <x:c r="E767" s="12" t="str">
        <x:f>IF(Leads!AV767="","",Leads!AV767)</x:f>
      </x:c>
      <x:c r="F767" s="12" t="str">
        <x:f>IF(Leads!AX767="","",Leads!AX767)</x:f>
      </x:c>
      <x:c r="G767" s="12" t="str">
        <x:f>IF(Leads!BC767="","",Leads!BC767)</x:f>
      </x:c>
      <x:c r="H767" s="12" t="str">
        <x:f>IF(Leads!BE767="","",Leads!BE767)</x:f>
      </x:c>
      <x:c r="I767" s="12" t="str">
        <x:f>IF(Leads!BG767="","",Leads!BG767)</x:f>
      </x:c>
      <x:c r="J767" s="12" t="str">
        <x:f>IF(Leads!BH767="","",Leads!BH767)</x:f>
      </x:c>
      <x:c r="K767" s="12" t="str">
        <x:f>IF(A767="","","مرحبًا "&amp;C767&amp;CHAR(10)&amp;CHAR(10)&amp;"شكرًا لإتمام تقييم DBD الخاص بعيادة "&amp;B767&amp;"."&amp;CHAR(10)&amp;"نتيجتكم الحالية: "&amp;E767&amp;"%."&amp;CHAR(10)&amp;"أولوية التحسين الأولى: "&amp;F767&amp;"."&amp;IF(J767&lt;&gt;"",CHAR(10)&amp;CHAR(10)&amp;"رابط التقرير: "&amp;J767,"")&amp;CHAR(10)&amp;CHAR(10)&amp;"إذا أحببت، يمكننا مساعدتك في فهم التقرير وتحديد أفضل خطوة تالية لعيادتكم.")</x:f>
      </x:c>
      <x:c r="L767" s="12" t="str">
        <x:f>IF(D767="","",HYPERLINK("https://wa.me/"&amp;REGEXREPLACE(D767,"[^\d]","")&amp;"?text="&amp;ENCODEURL(K767),"واتساب 1"))</x:f>
      </x:c>
      <x:c r="M767" s="12" t="str">
        <x:f>IF(A767="","","مرحبًا "&amp;C767&amp;CHAR(10)&amp;CHAR(10)&amp;"بناءً على نتيجة تقييم عيادة "&amp;B767&amp;"، فإن الترشيح الأقوى لكم الآن هو: "&amp;G767&amp;"."&amp;CHAR(10)&amp;"هذا الخيار يساعدكم في معالجة أكبر فجوة حالية بشكل عملي ومباشر."&amp;IF(J767&lt;&gt;"",CHAR(10)&amp;CHAR(10)&amp;"رابط التقرير: "&amp;J767,"")&amp;CHAR(10)&amp;CHAR(10)&amp;"إذا رغبت، يمكننا توضيح لماذا هذا الكورس هو الأنسب لكم الآن.")</x:f>
      </x:c>
      <x:c r="N767" s="12" t="str">
        <x:f>IF(D767="","",HYPERLINK("https://wa.me/"&amp;REGEXREPLACE(D767,"[^\d]","")&amp;"?text="&amp;ENCODEURL(M767),"واتساب 2"))</x:f>
      </x:c>
      <x:c r="O767" s="12" t="str">
        <x:f>IF(A767="","","مرحبًا "&amp;C767&amp;CHAR(10)&amp;CHAR(10)&amp;"إذا كانت التحديات لديكم تحتاج حلًا أشمل، فالبرنامج الكامل المناسب لكم هو: "&amp;H767&amp;"."&amp;IF(I767&lt;&gt;"",CHAR(10)&amp;"كما يمكنكم أيضًا حجز: "&amp;I767&amp;".","")&amp;IF(J767&lt;&gt;"",CHAR(10)&amp;CHAR(10)&amp;"رابط التقرير: "&amp;J767,"")&amp;CHAR(10)&amp;CHAR(10)&amp;"يسعدنا مساعدتكم في اختيار المسار الأنسب حسب وضع العيادة الحالي.")</x:f>
      </x:c>
      <x:c r="P767" s="12" t="str">
        <x:f>IF(D767="","",HYPERLINK("https://wa.me/"&amp;REGEXREPLACE(D767,"[^\d]","")&amp;"?text="&amp;ENCODEURL(O767),"واتساب 3"))</x:f>
      </x:c>
    </x:row>
    <x:row r="768" ht="15" hidden="0" customHeight="1">
      <x:c r="A768" s="12" t="str">
        <x:f>IF(Leads!A768="","",Leads!A768)</x:f>
      </x:c>
      <x:c r="B768" s="12" t="str">
        <x:f>IF(Leads!F768="","",Leads!F768)</x:f>
      </x:c>
      <x:c r="C768" s="12" t="str">
        <x:f>IF(Leads!G768="","",Leads!G768)</x:f>
      </x:c>
      <x:c r="D768" s="12" t="str">
        <x:f>IF(Leads!O768="","",Leads!O768)</x:f>
      </x:c>
      <x:c r="E768" s="12" t="str">
        <x:f>IF(Leads!AV768="","",Leads!AV768)</x:f>
      </x:c>
      <x:c r="F768" s="12" t="str">
        <x:f>IF(Leads!AX768="","",Leads!AX768)</x:f>
      </x:c>
      <x:c r="G768" s="12" t="str">
        <x:f>IF(Leads!BC768="","",Leads!BC768)</x:f>
      </x:c>
      <x:c r="H768" s="12" t="str">
        <x:f>IF(Leads!BE768="","",Leads!BE768)</x:f>
      </x:c>
      <x:c r="I768" s="12" t="str">
        <x:f>IF(Leads!BG768="","",Leads!BG768)</x:f>
      </x:c>
      <x:c r="J768" s="12" t="str">
        <x:f>IF(Leads!BH768="","",Leads!BH768)</x:f>
      </x:c>
      <x:c r="K768" s="12" t="str">
        <x:f>IF(A768="","","مرحبًا "&amp;C768&amp;CHAR(10)&amp;CHAR(10)&amp;"شكرًا لإتمام تقييم DBD الخاص بعيادة "&amp;B768&amp;"."&amp;CHAR(10)&amp;"نتيجتكم الحالية: "&amp;E768&amp;"%."&amp;CHAR(10)&amp;"أولوية التحسين الأولى: "&amp;F768&amp;"."&amp;IF(J768&lt;&gt;"",CHAR(10)&amp;CHAR(10)&amp;"رابط التقرير: "&amp;J768,"")&amp;CHAR(10)&amp;CHAR(10)&amp;"إذا أحببت، يمكننا مساعدتك في فهم التقرير وتحديد أفضل خطوة تالية لعيادتكم.")</x:f>
      </x:c>
      <x:c r="L768" s="12" t="str">
        <x:f>IF(D768="","",HYPERLINK("https://wa.me/"&amp;REGEXREPLACE(D768,"[^\d]","")&amp;"?text="&amp;ENCODEURL(K768),"واتساب 1"))</x:f>
      </x:c>
      <x:c r="M768" s="12" t="str">
        <x:f>IF(A768="","","مرحبًا "&amp;C768&amp;CHAR(10)&amp;CHAR(10)&amp;"بناءً على نتيجة تقييم عيادة "&amp;B768&amp;"، فإن الترشيح الأقوى لكم الآن هو: "&amp;G768&amp;"."&amp;CHAR(10)&amp;"هذا الخيار يساعدكم في معالجة أكبر فجوة حالية بشكل عملي ومباشر."&amp;IF(J768&lt;&gt;"",CHAR(10)&amp;CHAR(10)&amp;"رابط التقرير: "&amp;J768,"")&amp;CHAR(10)&amp;CHAR(10)&amp;"إذا رغبت، يمكننا توضيح لماذا هذا الكورس هو الأنسب لكم الآن.")</x:f>
      </x:c>
      <x:c r="N768" s="12" t="str">
        <x:f>IF(D768="","",HYPERLINK("https://wa.me/"&amp;REGEXREPLACE(D768,"[^\d]","")&amp;"?text="&amp;ENCODEURL(M768),"واتساب 2"))</x:f>
      </x:c>
      <x:c r="O768" s="12" t="str">
        <x:f>IF(A768="","","مرحبًا "&amp;C768&amp;CHAR(10)&amp;CHAR(10)&amp;"إذا كانت التحديات لديكم تحتاج حلًا أشمل، فالبرنامج الكامل المناسب لكم هو: "&amp;H768&amp;"."&amp;IF(I768&lt;&gt;"",CHAR(10)&amp;"كما يمكنكم أيضًا حجز: "&amp;I768&amp;".","")&amp;IF(J768&lt;&gt;"",CHAR(10)&amp;CHAR(10)&amp;"رابط التقرير: "&amp;J768,"")&amp;CHAR(10)&amp;CHAR(10)&amp;"يسعدنا مساعدتكم في اختيار المسار الأنسب حسب وضع العيادة الحالي.")</x:f>
      </x:c>
      <x:c r="P768" s="12" t="str">
        <x:f>IF(D768="","",HYPERLINK("https://wa.me/"&amp;REGEXREPLACE(D768,"[^\d]","")&amp;"?text="&amp;ENCODEURL(O768),"واتساب 3"))</x:f>
      </x:c>
    </x:row>
    <x:row r="769" ht="15" hidden="0" customHeight="1">
      <x:c r="A769" s="12" t="str">
        <x:f>IF(Leads!A769="","",Leads!A769)</x:f>
      </x:c>
      <x:c r="B769" s="12" t="str">
        <x:f>IF(Leads!F769="","",Leads!F769)</x:f>
      </x:c>
      <x:c r="C769" s="12" t="str">
        <x:f>IF(Leads!G769="","",Leads!G769)</x:f>
      </x:c>
      <x:c r="D769" s="12" t="str">
        <x:f>IF(Leads!O769="","",Leads!O769)</x:f>
      </x:c>
      <x:c r="E769" s="12" t="str">
        <x:f>IF(Leads!AV769="","",Leads!AV769)</x:f>
      </x:c>
      <x:c r="F769" s="12" t="str">
        <x:f>IF(Leads!AX769="","",Leads!AX769)</x:f>
      </x:c>
      <x:c r="G769" s="12" t="str">
        <x:f>IF(Leads!BC769="","",Leads!BC769)</x:f>
      </x:c>
      <x:c r="H769" s="12" t="str">
        <x:f>IF(Leads!BE769="","",Leads!BE769)</x:f>
      </x:c>
      <x:c r="I769" s="12" t="str">
        <x:f>IF(Leads!BG769="","",Leads!BG769)</x:f>
      </x:c>
      <x:c r="J769" s="12" t="str">
        <x:f>IF(Leads!BH769="","",Leads!BH769)</x:f>
      </x:c>
      <x:c r="K769" s="12" t="str">
        <x:f>IF(A769="","","مرحبًا "&amp;C769&amp;CHAR(10)&amp;CHAR(10)&amp;"شكرًا لإتمام تقييم DBD الخاص بعيادة "&amp;B769&amp;"."&amp;CHAR(10)&amp;"نتيجتكم الحالية: "&amp;E769&amp;"%."&amp;CHAR(10)&amp;"أولوية التحسين الأولى: "&amp;F769&amp;"."&amp;IF(J769&lt;&gt;"",CHAR(10)&amp;CHAR(10)&amp;"رابط التقرير: "&amp;J769,"")&amp;CHAR(10)&amp;CHAR(10)&amp;"إذا أحببت، يمكننا مساعدتك في فهم التقرير وتحديد أفضل خطوة تالية لعيادتكم.")</x:f>
      </x:c>
      <x:c r="L769" s="12" t="str">
        <x:f>IF(D769="","",HYPERLINK("https://wa.me/"&amp;REGEXREPLACE(D769,"[^\d]","")&amp;"?text="&amp;ENCODEURL(K769),"واتساب 1"))</x:f>
      </x:c>
      <x:c r="M769" s="12" t="str">
        <x:f>IF(A769="","","مرحبًا "&amp;C769&amp;CHAR(10)&amp;CHAR(10)&amp;"بناءً على نتيجة تقييم عيادة "&amp;B769&amp;"، فإن الترشيح الأقوى لكم الآن هو: "&amp;G769&amp;"."&amp;CHAR(10)&amp;"هذا الخيار يساعدكم في معالجة أكبر فجوة حالية بشكل عملي ومباشر."&amp;IF(J769&lt;&gt;"",CHAR(10)&amp;CHAR(10)&amp;"رابط التقرير: "&amp;J769,"")&amp;CHAR(10)&amp;CHAR(10)&amp;"إذا رغبت، يمكننا توضيح لماذا هذا الكورس هو الأنسب لكم الآن.")</x:f>
      </x:c>
      <x:c r="N769" s="12" t="str">
        <x:f>IF(D769="","",HYPERLINK("https://wa.me/"&amp;REGEXREPLACE(D769,"[^\d]","")&amp;"?text="&amp;ENCODEURL(M769),"واتساب 2"))</x:f>
      </x:c>
      <x:c r="O769" s="12" t="str">
        <x:f>IF(A769="","","مرحبًا "&amp;C769&amp;CHAR(10)&amp;CHAR(10)&amp;"إذا كانت التحديات لديكم تحتاج حلًا أشمل، فالبرنامج الكامل المناسب لكم هو: "&amp;H769&amp;"."&amp;IF(I769&lt;&gt;"",CHAR(10)&amp;"كما يمكنكم أيضًا حجز: "&amp;I769&amp;".","")&amp;IF(J769&lt;&gt;"",CHAR(10)&amp;CHAR(10)&amp;"رابط التقرير: "&amp;J769,"")&amp;CHAR(10)&amp;CHAR(10)&amp;"يسعدنا مساعدتكم في اختيار المسار الأنسب حسب وضع العيادة الحالي.")</x:f>
      </x:c>
      <x:c r="P769" s="12" t="str">
        <x:f>IF(D769="","",HYPERLINK("https://wa.me/"&amp;REGEXREPLACE(D769,"[^\d]","")&amp;"?text="&amp;ENCODEURL(O769),"واتساب 3"))</x:f>
      </x:c>
    </x:row>
    <x:row r="770" ht="15" hidden="0" customHeight="1">
      <x:c r="A770" s="12" t="str">
        <x:f>IF(Leads!A770="","",Leads!A770)</x:f>
      </x:c>
      <x:c r="B770" s="12" t="str">
        <x:f>IF(Leads!F770="","",Leads!F770)</x:f>
      </x:c>
      <x:c r="C770" s="12" t="str">
        <x:f>IF(Leads!G770="","",Leads!G770)</x:f>
      </x:c>
      <x:c r="D770" s="12" t="str">
        <x:f>IF(Leads!O770="","",Leads!O770)</x:f>
      </x:c>
      <x:c r="E770" s="12" t="str">
        <x:f>IF(Leads!AV770="","",Leads!AV770)</x:f>
      </x:c>
      <x:c r="F770" s="12" t="str">
        <x:f>IF(Leads!AX770="","",Leads!AX770)</x:f>
      </x:c>
      <x:c r="G770" s="12" t="str">
        <x:f>IF(Leads!BC770="","",Leads!BC770)</x:f>
      </x:c>
      <x:c r="H770" s="12" t="str">
        <x:f>IF(Leads!BE770="","",Leads!BE770)</x:f>
      </x:c>
      <x:c r="I770" s="12" t="str">
        <x:f>IF(Leads!BG770="","",Leads!BG770)</x:f>
      </x:c>
      <x:c r="J770" s="12" t="str">
        <x:f>IF(Leads!BH770="","",Leads!BH770)</x:f>
      </x:c>
      <x:c r="K770" s="12" t="str">
        <x:f>IF(A770="","","مرحبًا "&amp;C770&amp;CHAR(10)&amp;CHAR(10)&amp;"شكرًا لإتمام تقييم DBD الخاص بعيادة "&amp;B770&amp;"."&amp;CHAR(10)&amp;"نتيجتكم الحالية: "&amp;E770&amp;"%."&amp;CHAR(10)&amp;"أولوية التحسين الأولى: "&amp;F770&amp;"."&amp;IF(J770&lt;&gt;"",CHAR(10)&amp;CHAR(10)&amp;"رابط التقرير: "&amp;J770,"")&amp;CHAR(10)&amp;CHAR(10)&amp;"إذا أحببت، يمكننا مساعدتك في فهم التقرير وتحديد أفضل خطوة تالية لعيادتكم.")</x:f>
      </x:c>
      <x:c r="L770" s="12" t="str">
        <x:f>IF(D770="","",HYPERLINK("https://wa.me/"&amp;REGEXREPLACE(D770,"[^\d]","")&amp;"?text="&amp;ENCODEURL(K770),"واتساب 1"))</x:f>
      </x:c>
      <x:c r="M770" s="12" t="str">
        <x:f>IF(A770="","","مرحبًا "&amp;C770&amp;CHAR(10)&amp;CHAR(10)&amp;"بناءً على نتيجة تقييم عيادة "&amp;B770&amp;"، فإن الترشيح الأقوى لكم الآن هو: "&amp;G770&amp;"."&amp;CHAR(10)&amp;"هذا الخيار يساعدكم في معالجة أكبر فجوة حالية بشكل عملي ومباشر."&amp;IF(J770&lt;&gt;"",CHAR(10)&amp;CHAR(10)&amp;"رابط التقرير: "&amp;J770,"")&amp;CHAR(10)&amp;CHAR(10)&amp;"إذا رغبت، يمكننا توضيح لماذا هذا الكورس هو الأنسب لكم الآن.")</x:f>
      </x:c>
      <x:c r="N770" s="12" t="str">
        <x:f>IF(D770="","",HYPERLINK("https://wa.me/"&amp;REGEXREPLACE(D770,"[^\d]","")&amp;"?text="&amp;ENCODEURL(M770),"واتساب 2"))</x:f>
      </x:c>
      <x:c r="O770" s="12" t="str">
        <x:f>IF(A770="","","مرحبًا "&amp;C770&amp;CHAR(10)&amp;CHAR(10)&amp;"إذا كانت التحديات لديكم تحتاج حلًا أشمل، فالبرنامج الكامل المناسب لكم هو: "&amp;H770&amp;"."&amp;IF(I770&lt;&gt;"",CHAR(10)&amp;"كما يمكنكم أيضًا حجز: "&amp;I770&amp;".","")&amp;IF(J770&lt;&gt;"",CHAR(10)&amp;CHAR(10)&amp;"رابط التقرير: "&amp;J770,"")&amp;CHAR(10)&amp;CHAR(10)&amp;"يسعدنا مساعدتكم في اختيار المسار الأنسب حسب وضع العيادة الحالي.")</x:f>
      </x:c>
      <x:c r="P770" s="12" t="str">
        <x:f>IF(D770="","",HYPERLINK("https://wa.me/"&amp;REGEXREPLACE(D770,"[^\d]","")&amp;"?text="&amp;ENCODEURL(O770),"واتساب 3"))</x:f>
      </x:c>
    </x:row>
    <x:row r="771" ht="15" hidden="0" customHeight="1">
      <x:c r="A771" s="12" t="str">
        <x:f>IF(Leads!A771="","",Leads!A771)</x:f>
      </x:c>
      <x:c r="B771" s="12" t="str">
        <x:f>IF(Leads!F771="","",Leads!F771)</x:f>
      </x:c>
      <x:c r="C771" s="12" t="str">
        <x:f>IF(Leads!G771="","",Leads!G771)</x:f>
      </x:c>
      <x:c r="D771" s="12" t="str">
        <x:f>IF(Leads!O771="","",Leads!O771)</x:f>
      </x:c>
      <x:c r="E771" s="12" t="str">
        <x:f>IF(Leads!AV771="","",Leads!AV771)</x:f>
      </x:c>
      <x:c r="F771" s="12" t="str">
        <x:f>IF(Leads!AX771="","",Leads!AX771)</x:f>
      </x:c>
      <x:c r="G771" s="12" t="str">
        <x:f>IF(Leads!BC771="","",Leads!BC771)</x:f>
      </x:c>
      <x:c r="H771" s="12" t="str">
        <x:f>IF(Leads!BE771="","",Leads!BE771)</x:f>
      </x:c>
      <x:c r="I771" s="12" t="str">
        <x:f>IF(Leads!BG771="","",Leads!BG771)</x:f>
      </x:c>
      <x:c r="J771" s="12" t="str">
        <x:f>IF(Leads!BH771="","",Leads!BH771)</x:f>
      </x:c>
      <x:c r="K771" s="12" t="str">
        <x:f>IF(A771="","","مرحبًا "&amp;C771&amp;CHAR(10)&amp;CHAR(10)&amp;"شكرًا لإتمام تقييم DBD الخاص بعيادة "&amp;B771&amp;"."&amp;CHAR(10)&amp;"نتيجتكم الحالية: "&amp;E771&amp;"%."&amp;CHAR(10)&amp;"أولوية التحسين الأولى: "&amp;F771&amp;"."&amp;IF(J771&lt;&gt;"",CHAR(10)&amp;CHAR(10)&amp;"رابط التقرير: "&amp;J771,"")&amp;CHAR(10)&amp;CHAR(10)&amp;"إذا أحببت، يمكننا مساعدتك في فهم التقرير وتحديد أفضل خطوة تالية لعيادتكم.")</x:f>
      </x:c>
      <x:c r="L771" s="12" t="str">
        <x:f>IF(D771="","",HYPERLINK("https://wa.me/"&amp;REGEXREPLACE(D771,"[^\d]","")&amp;"?text="&amp;ENCODEURL(K771),"واتساب 1"))</x:f>
      </x:c>
      <x:c r="M771" s="12" t="str">
        <x:f>IF(A771="","","مرحبًا "&amp;C771&amp;CHAR(10)&amp;CHAR(10)&amp;"بناءً على نتيجة تقييم عيادة "&amp;B771&amp;"، فإن الترشيح الأقوى لكم الآن هو: "&amp;G771&amp;"."&amp;CHAR(10)&amp;"هذا الخيار يساعدكم في معالجة أكبر فجوة حالية بشكل عملي ومباشر."&amp;IF(J771&lt;&gt;"",CHAR(10)&amp;CHAR(10)&amp;"رابط التقرير: "&amp;J771,"")&amp;CHAR(10)&amp;CHAR(10)&amp;"إذا رغبت، يمكننا توضيح لماذا هذا الكورس هو الأنسب لكم الآن.")</x:f>
      </x:c>
      <x:c r="N771" s="12" t="str">
        <x:f>IF(D771="","",HYPERLINK("https://wa.me/"&amp;REGEXREPLACE(D771,"[^\d]","")&amp;"?text="&amp;ENCODEURL(M771),"واتساب 2"))</x:f>
      </x:c>
      <x:c r="O771" s="12" t="str">
        <x:f>IF(A771="","","مرحبًا "&amp;C771&amp;CHAR(10)&amp;CHAR(10)&amp;"إذا كانت التحديات لديكم تحتاج حلًا أشمل، فالبرنامج الكامل المناسب لكم هو: "&amp;H771&amp;"."&amp;IF(I771&lt;&gt;"",CHAR(10)&amp;"كما يمكنكم أيضًا حجز: "&amp;I771&amp;".","")&amp;IF(J771&lt;&gt;"",CHAR(10)&amp;CHAR(10)&amp;"رابط التقرير: "&amp;J771,"")&amp;CHAR(10)&amp;CHAR(10)&amp;"يسعدنا مساعدتكم في اختيار المسار الأنسب حسب وضع العيادة الحالي.")</x:f>
      </x:c>
      <x:c r="P771" s="12" t="str">
        <x:f>IF(D771="","",HYPERLINK("https://wa.me/"&amp;REGEXREPLACE(D771,"[^\d]","")&amp;"?text="&amp;ENCODEURL(O771),"واتساب 3"))</x:f>
      </x:c>
    </x:row>
    <x:row r="772" ht="15" hidden="0" customHeight="1">
      <x:c r="A772" s="12" t="str">
        <x:f>IF(Leads!A772="","",Leads!A772)</x:f>
      </x:c>
      <x:c r="B772" s="12" t="str">
        <x:f>IF(Leads!F772="","",Leads!F772)</x:f>
      </x:c>
      <x:c r="C772" s="12" t="str">
        <x:f>IF(Leads!G772="","",Leads!G772)</x:f>
      </x:c>
      <x:c r="D772" s="12" t="str">
        <x:f>IF(Leads!O772="","",Leads!O772)</x:f>
      </x:c>
      <x:c r="E772" s="12" t="str">
        <x:f>IF(Leads!AV772="","",Leads!AV772)</x:f>
      </x:c>
      <x:c r="F772" s="12" t="str">
        <x:f>IF(Leads!AX772="","",Leads!AX772)</x:f>
      </x:c>
      <x:c r="G772" s="12" t="str">
        <x:f>IF(Leads!BC772="","",Leads!BC772)</x:f>
      </x:c>
      <x:c r="H772" s="12" t="str">
        <x:f>IF(Leads!BE772="","",Leads!BE772)</x:f>
      </x:c>
      <x:c r="I772" s="12" t="str">
        <x:f>IF(Leads!BG772="","",Leads!BG772)</x:f>
      </x:c>
      <x:c r="J772" s="12" t="str">
        <x:f>IF(Leads!BH772="","",Leads!BH772)</x:f>
      </x:c>
      <x:c r="K772" s="12" t="str">
        <x:f>IF(A772="","","مرحبًا "&amp;C772&amp;CHAR(10)&amp;CHAR(10)&amp;"شكرًا لإتمام تقييم DBD الخاص بعيادة "&amp;B772&amp;"."&amp;CHAR(10)&amp;"نتيجتكم الحالية: "&amp;E772&amp;"%."&amp;CHAR(10)&amp;"أولوية التحسين الأولى: "&amp;F772&amp;"."&amp;IF(J772&lt;&gt;"",CHAR(10)&amp;CHAR(10)&amp;"رابط التقرير: "&amp;J772,"")&amp;CHAR(10)&amp;CHAR(10)&amp;"إذا أحببت، يمكننا مساعدتك في فهم التقرير وتحديد أفضل خطوة تالية لعيادتكم.")</x:f>
      </x:c>
      <x:c r="L772" s="12" t="str">
        <x:f>IF(D772="","",HYPERLINK("https://wa.me/"&amp;REGEXREPLACE(D772,"[^\d]","")&amp;"?text="&amp;ENCODEURL(K772),"واتساب 1"))</x:f>
      </x:c>
      <x:c r="M772" s="12" t="str">
        <x:f>IF(A772="","","مرحبًا "&amp;C772&amp;CHAR(10)&amp;CHAR(10)&amp;"بناءً على نتيجة تقييم عيادة "&amp;B772&amp;"، فإن الترشيح الأقوى لكم الآن هو: "&amp;G772&amp;"."&amp;CHAR(10)&amp;"هذا الخيار يساعدكم في معالجة أكبر فجوة حالية بشكل عملي ومباشر."&amp;IF(J772&lt;&gt;"",CHAR(10)&amp;CHAR(10)&amp;"رابط التقرير: "&amp;J772,"")&amp;CHAR(10)&amp;CHAR(10)&amp;"إذا رغبت، يمكننا توضيح لماذا هذا الكورس هو الأنسب لكم الآن.")</x:f>
      </x:c>
      <x:c r="N772" s="12" t="str">
        <x:f>IF(D772="","",HYPERLINK("https://wa.me/"&amp;REGEXREPLACE(D772,"[^\d]","")&amp;"?text="&amp;ENCODEURL(M772),"واتساب 2"))</x:f>
      </x:c>
      <x:c r="O772" s="12" t="str">
        <x:f>IF(A772="","","مرحبًا "&amp;C772&amp;CHAR(10)&amp;CHAR(10)&amp;"إذا كانت التحديات لديكم تحتاج حلًا أشمل، فالبرنامج الكامل المناسب لكم هو: "&amp;H772&amp;"."&amp;IF(I772&lt;&gt;"",CHAR(10)&amp;"كما يمكنكم أيضًا حجز: "&amp;I772&amp;".","")&amp;IF(J772&lt;&gt;"",CHAR(10)&amp;CHAR(10)&amp;"رابط التقرير: "&amp;J772,"")&amp;CHAR(10)&amp;CHAR(10)&amp;"يسعدنا مساعدتكم في اختيار المسار الأنسب حسب وضع العيادة الحالي.")</x:f>
      </x:c>
      <x:c r="P772" s="12" t="str">
        <x:f>IF(D772="","",HYPERLINK("https://wa.me/"&amp;REGEXREPLACE(D772,"[^\d]","")&amp;"?text="&amp;ENCODEURL(O772),"واتساب 3"))</x:f>
      </x:c>
    </x:row>
    <x:row r="773" ht="15" hidden="0" customHeight="1">
      <x:c r="A773" s="12" t="str">
        <x:f>IF(Leads!A773="","",Leads!A773)</x:f>
      </x:c>
      <x:c r="B773" s="12" t="str">
        <x:f>IF(Leads!F773="","",Leads!F773)</x:f>
      </x:c>
      <x:c r="C773" s="12" t="str">
        <x:f>IF(Leads!G773="","",Leads!G773)</x:f>
      </x:c>
      <x:c r="D773" s="12" t="str">
        <x:f>IF(Leads!O773="","",Leads!O773)</x:f>
      </x:c>
      <x:c r="E773" s="12" t="str">
        <x:f>IF(Leads!AV773="","",Leads!AV773)</x:f>
      </x:c>
      <x:c r="F773" s="12" t="str">
        <x:f>IF(Leads!AX773="","",Leads!AX773)</x:f>
      </x:c>
      <x:c r="G773" s="12" t="str">
        <x:f>IF(Leads!BC773="","",Leads!BC773)</x:f>
      </x:c>
      <x:c r="H773" s="12" t="str">
        <x:f>IF(Leads!BE773="","",Leads!BE773)</x:f>
      </x:c>
      <x:c r="I773" s="12" t="str">
        <x:f>IF(Leads!BG773="","",Leads!BG773)</x:f>
      </x:c>
      <x:c r="J773" s="12" t="str">
        <x:f>IF(Leads!BH773="","",Leads!BH773)</x:f>
      </x:c>
      <x:c r="K773" s="12" t="str">
        <x:f>IF(A773="","","مرحبًا "&amp;C773&amp;CHAR(10)&amp;CHAR(10)&amp;"شكرًا لإتمام تقييم DBD الخاص بعيادة "&amp;B773&amp;"."&amp;CHAR(10)&amp;"نتيجتكم الحالية: "&amp;E773&amp;"%."&amp;CHAR(10)&amp;"أولوية التحسين الأولى: "&amp;F773&amp;"."&amp;IF(J773&lt;&gt;"",CHAR(10)&amp;CHAR(10)&amp;"رابط التقرير: "&amp;J773,"")&amp;CHAR(10)&amp;CHAR(10)&amp;"إذا أحببت، يمكننا مساعدتك في فهم التقرير وتحديد أفضل خطوة تالية لعيادتكم.")</x:f>
      </x:c>
      <x:c r="L773" s="12" t="str">
        <x:f>IF(D773="","",HYPERLINK("https://wa.me/"&amp;REGEXREPLACE(D773,"[^\d]","")&amp;"?text="&amp;ENCODEURL(K773),"واتساب 1"))</x:f>
      </x:c>
      <x:c r="M773" s="12" t="str">
        <x:f>IF(A773="","","مرحبًا "&amp;C773&amp;CHAR(10)&amp;CHAR(10)&amp;"بناءً على نتيجة تقييم عيادة "&amp;B773&amp;"، فإن الترشيح الأقوى لكم الآن هو: "&amp;G773&amp;"."&amp;CHAR(10)&amp;"هذا الخيار يساعدكم في معالجة أكبر فجوة حالية بشكل عملي ومباشر."&amp;IF(J773&lt;&gt;"",CHAR(10)&amp;CHAR(10)&amp;"رابط التقرير: "&amp;J773,"")&amp;CHAR(10)&amp;CHAR(10)&amp;"إذا رغبت، يمكننا توضيح لماذا هذا الكورس هو الأنسب لكم الآن.")</x:f>
      </x:c>
      <x:c r="N773" s="12" t="str">
        <x:f>IF(D773="","",HYPERLINK("https://wa.me/"&amp;REGEXREPLACE(D773,"[^\d]","")&amp;"?text="&amp;ENCODEURL(M773),"واتساب 2"))</x:f>
      </x:c>
      <x:c r="O773" s="12" t="str">
        <x:f>IF(A773="","","مرحبًا "&amp;C773&amp;CHAR(10)&amp;CHAR(10)&amp;"إذا كانت التحديات لديكم تحتاج حلًا أشمل، فالبرنامج الكامل المناسب لكم هو: "&amp;H773&amp;"."&amp;IF(I773&lt;&gt;"",CHAR(10)&amp;"كما يمكنكم أيضًا حجز: "&amp;I773&amp;".","")&amp;IF(J773&lt;&gt;"",CHAR(10)&amp;CHAR(10)&amp;"رابط التقرير: "&amp;J773,"")&amp;CHAR(10)&amp;CHAR(10)&amp;"يسعدنا مساعدتكم في اختيار المسار الأنسب حسب وضع العيادة الحالي.")</x:f>
      </x:c>
      <x:c r="P773" s="12" t="str">
        <x:f>IF(D773="","",HYPERLINK("https://wa.me/"&amp;REGEXREPLACE(D773,"[^\d]","")&amp;"?text="&amp;ENCODEURL(O773),"واتساب 3"))</x:f>
      </x:c>
    </x:row>
    <x:row r="774" ht="15" hidden="0" customHeight="1">
      <x:c r="A774" s="12" t="str">
        <x:f>IF(Leads!A774="","",Leads!A774)</x:f>
      </x:c>
      <x:c r="B774" s="12" t="str">
        <x:f>IF(Leads!F774="","",Leads!F774)</x:f>
      </x:c>
      <x:c r="C774" s="12" t="str">
        <x:f>IF(Leads!G774="","",Leads!G774)</x:f>
      </x:c>
      <x:c r="D774" s="12" t="str">
        <x:f>IF(Leads!O774="","",Leads!O774)</x:f>
      </x:c>
      <x:c r="E774" s="12" t="str">
        <x:f>IF(Leads!AV774="","",Leads!AV774)</x:f>
      </x:c>
      <x:c r="F774" s="12" t="str">
        <x:f>IF(Leads!AX774="","",Leads!AX774)</x:f>
      </x:c>
      <x:c r="G774" s="12" t="str">
        <x:f>IF(Leads!BC774="","",Leads!BC774)</x:f>
      </x:c>
      <x:c r="H774" s="12" t="str">
        <x:f>IF(Leads!BE774="","",Leads!BE774)</x:f>
      </x:c>
      <x:c r="I774" s="12" t="str">
        <x:f>IF(Leads!BG774="","",Leads!BG774)</x:f>
      </x:c>
      <x:c r="J774" s="12" t="str">
        <x:f>IF(Leads!BH774="","",Leads!BH774)</x:f>
      </x:c>
      <x:c r="K774" s="12" t="str">
        <x:f>IF(A774="","","مرحبًا "&amp;C774&amp;CHAR(10)&amp;CHAR(10)&amp;"شكرًا لإتمام تقييم DBD الخاص بعيادة "&amp;B774&amp;"."&amp;CHAR(10)&amp;"نتيجتكم الحالية: "&amp;E774&amp;"%."&amp;CHAR(10)&amp;"أولوية التحسين الأولى: "&amp;F774&amp;"."&amp;IF(J774&lt;&gt;"",CHAR(10)&amp;CHAR(10)&amp;"رابط التقرير: "&amp;J774,"")&amp;CHAR(10)&amp;CHAR(10)&amp;"إذا أحببت، يمكننا مساعدتك في فهم التقرير وتحديد أفضل خطوة تالية لعيادتكم.")</x:f>
      </x:c>
      <x:c r="L774" s="12" t="str">
        <x:f>IF(D774="","",HYPERLINK("https://wa.me/"&amp;REGEXREPLACE(D774,"[^\d]","")&amp;"?text="&amp;ENCODEURL(K774),"واتساب 1"))</x:f>
      </x:c>
      <x:c r="M774" s="12" t="str">
        <x:f>IF(A774="","","مرحبًا "&amp;C774&amp;CHAR(10)&amp;CHAR(10)&amp;"بناءً على نتيجة تقييم عيادة "&amp;B774&amp;"، فإن الترشيح الأقوى لكم الآن هو: "&amp;G774&amp;"."&amp;CHAR(10)&amp;"هذا الخيار يساعدكم في معالجة أكبر فجوة حالية بشكل عملي ومباشر."&amp;IF(J774&lt;&gt;"",CHAR(10)&amp;CHAR(10)&amp;"رابط التقرير: "&amp;J774,"")&amp;CHAR(10)&amp;CHAR(10)&amp;"إذا رغبت، يمكننا توضيح لماذا هذا الكورس هو الأنسب لكم الآن.")</x:f>
      </x:c>
      <x:c r="N774" s="12" t="str">
        <x:f>IF(D774="","",HYPERLINK("https://wa.me/"&amp;REGEXREPLACE(D774,"[^\d]","")&amp;"?text="&amp;ENCODEURL(M774),"واتساب 2"))</x:f>
      </x:c>
      <x:c r="O774" s="12" t="str">
        <x:f>IF(A774="","","مرحبًا "&amp;C774&amp;CHAR(10)&amp;CHAR(10)&amp;"إذا كانت التحديات لديكم تحتاج حلًا أشمل، فالبرنامج الكامل المناسب لكم هو: "&amp;H774&amp;"."&amp;IF(I774&lt;&gt;"",CHAR(10)&amp;"كما يمكنكم أيضًا حجز: "&amp;I774&amp;".","")&amp;IF(J774&lt;&gt;"",CHAR(10)&amp;CHAR(10)&amp;"رابط التقرير: "&amp;J774,"")&amp;CHAR(10)&amp;CHAR(10)&amp;"يسعدنا مساعدتكم في اختيار المسار الأنسب حسب وضع العيادة الحالي.")</x:f>
      </x:c>
      <x:c r="P774" s="12" t="str">
        <x:f>IF(D774="","",HYPERLINK("https://wa.me/"&amp;REGEXREPLACE(D774,"[^\d]","")&amp;"?text="&amp;ENCODEURL(O774),"واتساب 3"))</x:f>
      </x:c>
    </x:row>
    <x:row r="775" ht="15" hidden="0" customHeight="1">
      <x:c r="A775" s="12" t="str">
        <x:f>IF(Leads!A775="","",Leads!A775)</x:f>
      </x:c>
      <x:c r="B775" s="12" t="str">
        <x:f>IF(Leads!F775="","",Leads!F775)</x:f>
      </x:c>
      <x:c r="C775" s="12" t="str">
        <x:f>IF(Leads!G775="","",Leads!G775)</x:f>
      </x:c>
      <x:c r="D775" s="12" t="str">
        <x:f>IF(Leads!O775="","",Leads!O775)</x:f>
      </x:c>
      <x:c r="E775" s="12" t="str">
        <x:f>IF(Leads!AV775="","",Leads!AV775)</x:f>
      </x:c>
      <x:c r="F775" s="12" t="str">
        <x:f>IF(Leads!AX775="","",Leads!AX775)</x:f>
      </x:c>
      <x:c r="G775" s="12" t="str">
        <x:f>IF(Leads!BC775="","",Leads!BC775)</x:f>
      </x:c>
      <x:c r="H775" s="12" t="str">
        <x:f>IF(Leads!BE775="","",Leads!BE775)</x:f>
      </x:c>
      <x:c r="I775" s="12" t="str">
        <x:f>IF(Leads!BG775="","",Leads!BG775)</x:f>
      </x:c>
      <x:c r="J775" s="12" t="str">
        <x:f>IF(Leads!BH775="","",Leads!BH775)</x:f>
      </x:c>
      <x:c r="K775" s="12" t="str">
        <x:f>IF(A775="","","مرحبًا "&amp;C775&amp;CHAR(10)&amp;CHAR(10)&amp;"شكرًا لإتمام تقييم DBD الخاص بعيادة "&amp;B775&amp;"."&amp;CHAR(10)&amp;"نتيجتكم الحالية: "&amp;E775&amp;"%."&amp;CHAR(10)&amp;"أولوية التحسين الأولى: "&amp;F775&amp;"."&amp;IF(J775&lt;&gt;"",CHAR(10)&amp;CHAR(10)&amp;"رابط التقرير: "&amp;J775,"")&amp;CHAR(10)&amp;CHAR(10)&amp;"إذا أحببت، يمكننا مساعدتك في فهم التقرير وتحديد أفضل خطوة تالية لعيادتكم.")</x:f>
      </x:c>
      <x:c r="L775" s="12" t="str">
        <x:f>IF(D775="","",HYPERLINK("https://wa.me/"&amp;REGEXREPLACE(D775,"[^\d]","")&amp;"?text="&amp;ENCODEURL(K775),"واتساب 1"))</x:f>
      </x:c>
      <x:c r="M775" s="12" t="str">
        <x:f>IF(A775="","","مرحبًا "&amp;C775&amp;CHAR(10)&amp;CHAR(10)&amp;"بناءً على نتيجة تقييم عيادة "&amp;B775&amp;"، فإن الترشيح الأقوى لكم الآن هو: "&amp;G775&amp;"."&amp;CHAR(10)&amp;"هذا الخيار يساعدكم في معالجة أكبر فجوة حالية بشكل عملي ومباشر."&amp;IF(J775&lt;&gt;"",CHAR(10)&amp;CHAR(10)&amp;"رابط التقرير: "&amp;J775,"")&amp;CHAR(10)&amp;CHAR(10)&amp;"إذا رغبت، يمكننا توضيح لماذا هذا الكورس هو الأنسب لكم الآن.")</x:f>
      </x:c>
      <x:c r="N775" s="12" t="str">
        <x:f>IF(D775="","",HYPERLINK("https://wa.me/"&amp;REGEXREPLACE(D775,"[^\d]","")&amp;"?text="&amp;ENCODEURL(M775),"واتساب 2"))</x:f>
      </x:c>
      <x:c r="O775" s="12" t="str">
        <x:f>IF(A775="","","مرحبًا "&amp;C775&amp;CHAR(10)&amp;CHAR(10)&amp;"إذا كانت التحديات لديكم تحتاج حلًا أشمل، فالبرنامج الكامل المناسب لكم هو: "&amp;H775&amp;"."&amp;IF(I775&lt;&gt;"",CHAR(10)&amp;"كما يمكنكم أيضًا حجز: "&amp;I775&amp;".","")&amp;IF(J775&lt;&gt;"",CHAR(10)&amp;CHAR(10)&amp;"رابط التقرير: "&amp;J775,"")&amp;CHAR(10)&amp;CHAR(10)&amp;"يسعدنا مساعدتكم في اختيار المسار الأنسب حسب وضع العيادة الحالي.")</x:f>
      </x:c>
      <x:c r="P775" s="12" t="str">
        <x:f>IF(D775="","",HYPERLINK("https://wa.me/"&amp;REGEXREPLACE(D775,"[^\d]","")&amp;"?text="&amp;ENCODEURL(O775),"واتساب 3"))</x:f>
      </x:c>
    </x:row>
    <x:row r="776" ht="15" hidden="0" customHeight="1">
      <x:c r="A776" s="12" t="str">
        <x:f>IF(Leads!A776="","",Leads!A776)</x:f>
      </x:c>
      <x:c r="B776" s="12" t="str">
        <x:f>IF(Leads!F776="","",Leads!F776)</x:f>
      </x:c>
      <x:c r="C776" s="12" t="str">
        <x:f>IF(Leads!G776="","",Leads!G776)</x:f>
      </x:c>
      <x:c r="D776" s="12" t="str">
        <x:f>IF(Leads!O776="","",Leads!O776)</x:f>
      </x:c>
      <x:c r="E776" s="12" t="str">
        <x:f>IF(Leads!AV776="","",Leads!AV776)</x:f>
      </x:c>
      <x:c r="F776" s="12" t="str">
        <x:f>IF(Leads!AX776="","",Leads!AX776)</x:f>
      </x:c>
      <x:c r="G776" s="12" t="str">
        <x:f>IF(Leads!BC776="","",Leads!BC776)</x:f>
      </x:c>
      <x:c r="H776" s="12" t="str">
        <x:f>IF(Leads!BE776="","",Leads!BE776)</x:f>
      </x:c>
      <x:c r="I776" s="12" t="str">
        <x:f>IF(Leads!BG776="","",Leads!BG776)</x:f>
      </x:c>
      <x:c r="J776" s="12" t="str">
        <x:f>IF(Leads!BH776="","",Leads!BH776)</x:f>
      </x:c>
      <x:c r="K776" s="12" t="str">
        <x:f>IF(A776="","","مرحبًا "&amp;C776&amp;CHAR(10)&amp;CHAR(10)&amp;"شكرًا لإتمام تقييم DBD الخاص بعيادة "&amp;B776&amp;"."&amp;CHAR(10)&amp;"نتيجتكم الحالية: "&amp;E776&amp;"%."&amp;CHAR(10)&amp;"أولوية التحسين الأولى: "&amp;F776&amp;"."&amp;IF(J776&lt;&gt;"",CHAR(10)&amp;CHAR(10)&amp;"رابط التقرير: "&amp;J776,"")&amp;CHAR(10)&amp;CHAR(10)&amp;"إذا أحببت، يمكننا مساعدتك في فهم التقرير وتحديد أفضل خطوة تالية لعيادتكم.")</x:f>
      </x:c>
      <x:c r="L776" s="12" t="str">
        <x:f>IF(D776="","",HYPERLINK("https://wa.me/"&amp;REGEXREPLACE(D776,"[^\d]","")&amp;"?text="&amp;ENCODEURL(K776),"واتساب 1"))</x:f>
      </x:c>
      <x:c r="M776" s="12" t="str">
        <x:f>IF(A776="","","مرحبًا "&amp;C776&amp;CHAR(10)&amp;CHAR(10)&amp;"بناءً على نتيجة تقييم عيادة "&amp;B776&amp;"، فإن الترشيح الأقوى لكم الآن هو: "&amp;G776&amp;"."&amp;CHAR(10)&amp;"هذا الخيار يساعدكم في معالجة أكبر فجوة حالية بشكل عملي ومباشر."&amp;IF(J776&lt;&gt;"",CHAR(10)&amp;CHAR(10)&amp;"رابط التقرير: "&amp;J776,"")&amp;CHAR(10)&amp;CHAR(10)&amp;"إذا رغبت، يمكننا توضيح لماذا هذا الكورس هو الأنسب لكم الآن.")</x:f>
      </x:c>
      <x:c r="N776" s="12" t="str">
        <x:f>IF(D776="","",HYPERLINK("https://wa.me/"&amp;REGEXREPLACE(D776,"[^\d]","")&amp;"?text="&amp;ENCODEURL(M776),"واتساب 2"))</x:f>
      </x:c>
      <x:c r="O776" s="12" t="str">
        <x:f>IF(A776="","","مرحبًا "&amp;C776&amp;CHAR(10)&amp;CHAR(10)&amp;"إذا كانت التحديات لديكم تحتاج حلًا أشمل، فالبرنامج الكامل المناسب لكم هو: "&amp;H776&amp;"."&amp;IF(I776&lt;&gt;"",CHAR(10)&amp;"كما يمكنكم أيضًا حجز: "&amp;I776&amp;".","")&amp;IF(J776&lt;&gt;"",CHAR(10)&amp;CHAR(10)&amp;"رابط التقرير: "&amp;J776,"")&amp;CHAR(10)&amp;CHAR(10)&amp;"يسعدنا مساعدتكم في اختيار المسار الأنسب حسب وضع العيادة الحالي.")</x:f>
      </x:c>
      <x:c r="P776" s="12" t="str">
        <x:f>IF(D776="","",HYPERLINK("https://wa.me/"&amp;REGEXREPLACE(D776,"[^\d]","")&amp;"?text="&amp;ENCODEURL(O776),"واتساب 3"))</x:f>
      </x:c>
    </x:row>
    <x:row r="777" ht="15" hidden="0" customHeight="1">
      <x:c r="A777" s="12" t="str">
        <x:f>IF(Leads!A777="","",Leads!A777)</x:f>
      </x:c>
      <x:c r="B777" s="12" t="str">
        <x:f>IF(Leads!F777="","",Leads!F777)</x:f>
      </x:c>
      <x:c r="C777" s="12" t="str">
        <x:f>IF(Leads!G777="","",Leads!G777)</x:f>
      </x:c>
      <x:c r="D777" s="12" t="str">
        <x:f>IF(Leads!O777="","",Leads!O777)</x:f>
      </x:c>
      <x:c r="E777" s="12" t="str">
        <x:f>IF(Leads!AV777="","",Leads!AV777)</x:f>
      </x:c>
      <x:c r="F777" s="12" t="str">
        <x:f>IF(Leads!AX777="","",Leads!AX777)</x:f>
      </x:c>
      <x:c r="G777" s="12" t="str">
        <x:f>IF(Leads!BC777="","",Leads!BC777)</x:f>
      </x:c>
      <x:c r="H777" s="12" t="str">
        <x:f>IF(Leads!BE777="","",Leads!BE777)</x:f>
      </x:c>
      <x:c r="I777" s="12" t="str">
        <x:f>IF(Leads!BG777="","",Leads!BG777)</x:f>
      </x:c>
      <x:c r="J777" s="12" t="str">
        <x:f>IF(Leads!BH777="","",Leads!BH777)</x:f>
      </x:c>
      <x:c r="K777" s="12" t="str">
        <x:f>IF(A777="","","مرحبًا "&amp;C777&amp;CHAR(10)&amp;CHAR(10)&amp;"شكرًا لإتمام تقييم DBD الخاص بعيادة "&amp;B777&amp;"."&amp;CHAR(10)&amp;"نتيجتكم الحالية: "&amp;E777&amp;"%."&amp;CHAR(10)&amp;"أولوية التحسين الأولى: "&amp;F777&amp;"."&amp;IF(J777&lt;&gt;"",CHAR(10)&amp;CHAR(10)&amp;"رابط التقرير: "&amp;J777,"")&amp;CHAR(10)&amp;CHAR(10)&amp;"إذا أحببت، يمكننا مساعدتك في فهم التقرير وتحديد أفضل خطوة تالية لعيادتكم.")</x:f>
      </x:c>
      <x:c r="L777" s="12" t="str">
        <x:f>IF(D777="","",HYPERLINK("https://wa.me/"&amp;REGEXREPLACE(D777,"[^\d]","")&amp;"?text="&amp;ENCODEURL(K777),"واتساب 1"))</x:f>
      </x:c>
      <x:c r="M777" s="12" t="str">
        <x:f>IF(A777="","","مرحبًا "&amp;C777&amp;CHAR(10)&amp;CHAR(10)&amp;"بناءً على نتيجة تقييم عيادة "&amp;B777&amp;"، فإن الترشيح الأقوى لكم الآن هو: "&amp;G777&amp;"."&amp;CHAR(10)&amp;"هذا الخيار يساعدكم في معالجة أكبر فجوة حالية بشكل عملي ومباشر."&amp;IF(J777&lt;&gt;"",CHAR(10)&amp;CHAR(10)&amp;"رابط التقرير: "&amp;J777,"")&amp;CHAR(10)&amp;CHAR(10)&amp;"إذا رغبت، يمكننا توضيح لماذا هذا الكورس هو الأنسب لكم الآن.")</x:f>
      </x:c>
      <x:c r="N777" s="12" t="str">
        <x:f>IF(D777="","",HYPERLINK("https://wa.me/"&amp;REGEXREPLACE(D777,"[^\d]","")&amp;"?text="&amp;ENCODEURL(M777),"واتساب 2"))</x:f>
      </x:c>
      <x:c r="O777" s="12" t="str">
        <x:f>IF(A777="","","مرحبًا "&amp;C777&amp;CHAR(10)&amp;CHAR(10)&amp;"إذا كانت التحديات لديكم تحتاج حلًا أشمل، فالبرنامج الكامل المناسب لكم هو: "&amp;H777&amp;"."&amp;IF(I777&lt;&gt;"",CHAR(10)&amp;"كما يمكنكم أيضًا حجز: "&amp;I777&amp;".","")&amp;IF(J777&lt;&gt;"",CHAR(10)&amp;CHAR(10)&amp;"رابط التقرير: "&amp;J777,"")&amp;CHAR(10)&amp;CHAR(10)&amp;"يسعدنا مساعدتكم في اختيار المسار الأنسب حسب وضع العيادة الحالي.")</x:f>
      </x:c>
      <x:c r="P777" s="12" t="str">
        <x:f>IF(D777="","",HYPERLINK("https://wa.me/"&amp;REGEXREPLACE(D777,"[^\d]","")&amp;"?text="&amp;ENCODEURL(O777),"واتساب 3"))</x:f>
      </x:c>
    </x:row>
    <x:row r="778" ht="15" hidden="0" customHeight="1">
      <x:c r="A778" s="12" t="str">
        <x:f>IF(Leads!A778="","",Leads!A778)</x:f>
      </x:c>
      <x:c r="B778" s="12" t="str">
        <x:f>IF(Leads!F778="","",Leads!F778)</x:f>
      </x:c>
      <x:c r="C778" s="12" t="str">
        <x:f>IF(Leads!G778="","",Leads!G778)</x:f>
      </x:c>
      <x:c r="D778" s="12" t="str">
        <x:f>IF(Leads!O778="","",Leads!O778)</x:f>
      </x:c>
      <x:c r="E778" s="12" t="str">
        <x:f>IF(Leads!AV778="","",Leads!AV778)</x:f>
      </x:c>
      <x:c r="F778" s="12" t="str">
        <x:f>IF(Leads!AX778="","",Leads!AX778)</x:f>
      </x:c>
      <x:c r="G778" s="12" t="str">
        <x:f>IF(Leads!BC778="","",Leads!BC778)</x:f>
      </x:c>
      <x:c r="H778" s="12" t="str">
        <x:f>IF(Leads!BE778="","",Leads!BE778)</x:f>
      </x:c>
      <x:c r="I778" s="12" t="str">
        <x:f>IF(Leads!BG778="","",Leads!BG778)</x:f>
      </x:c>
      <x:c r="J778" s="12" t="str">
        <x:f>IF(Leads!BH778="","",Leads!BH778)</x:f>
      </x:c>
      <x:c r="K778" s="12" t="str">
        <x:f>IF(A778="","","مرحبًا "&amp;C778&amp;CHAR(10)&amp;CHAR(10)&amp;"شكرًا لإتمام تقييم DBD الخاص بعيادة "&amp;B778&amp;"."&amp;CHAR(10)&amp;"نتيجتكم الحالية: "&amp;E778&amp;"%."&amp;CHAR(10)&amp;"أولوية التحسين الأولى: "&amp;F778&amp;"."&amp;IF(J778&lt;&gt;"",CHAR(10)&amp;CHAR(10)&amp;"رابط التقرير: "&amp;J778,"")&amp;CHAR(10)&amp;CHAR(10)&amp;"إذا أحببت، يمكننا مساعدتك في فهم التقرير وتحديد أفضل خطوة تالية لعيادتكم.")</x:f>
      </x:c>
      <x:c r="L778" s="12" t="str">
        <x:f>IF(D778="","",HYPERLINK("https://wa.me/"&amp;REGEXREPLACE(D778,"[^\d]","")&amp;"?text="&amp;ENCODEURL(K778),"واتساب 1"))</x:f>
      </x:c>
      <x:c r="M778" s="12" t="str">
        <x:f>IF(A778="","","مرحبًا "&amp;C778&amp;CHAR(10)&amp;CHAR(10)&amp;"بناءً على نتيجة تقييم عيادة "&amp;B778&amp;"، فإن الترشيح الأقوى لكم الآن هو: "&amp;G778&amp;"."&amp;CHAR(10)&amp;"هذا الخيار يساعدكم في معالجة أكبر فجوة حالية بشكل عملي ومباشر."&amp;IF(J778&lt;&gt;"",CHAR(10)&amp;CHAR(10)&amp;"رابط التقرير: "&amp;J778,"")&amp;CHAR(10)&amp;CHAR(10)&amp;"إذا رغبت، يمكننا توضيح لماذا هذا الكورس هو الأنسب لكم الآن.")</x:f>
      </x:c>
      <x:c r="N778" s="12" t="str">
        <x:f>IF(D778="","",HYPERLINK("https://wa.me/"&amp;REGEXREPLACE(D778,"[^\d]","")&amp;"?text="&amp;ENCODEURL(M778),"واتساب 2"))</x:f>
      </x:c>
      <x:c r="O778" s="12" t="str">
        <x:f>IF(A778="","","مرحبًا "&amp;C778&amp;CHAR(10)&amp;CHAR(10)&amp;"إذا كانت التحديات لديكم تحتاج حلًا أشمل، فالبرنامج الكامل المناسب لكم هو: "&amp;H778&amp;"."&amp;IF(I778&lt;&gt;"",CHAR(10)&amp;"كما يمكنكم أيضًا حجز: "&amp;I778&amp;".","")&amp;IF(J778&lt;&gt;"",CHAR(10)&amp;CHAR(10)&amp;"رابط التقرير: "&amp;J778,"")&amp;CHAR(10)&amp;CHAR(10)&amp;"يسعدنا مساعدتكم في اختيار المسار الأنسب حسب وضع العيادة الحالي.")</x:f>
      </x:c>
      <x:c r="P778" s="12" t="str">
        <x:f>IF(D778="","",HYPERLINK("https://wa.me/"&amp;REGEXREPLACE(D778,"[^\d]","")&amp;"?text="&amp;ENCODEURL(O778),"واتساب 3"))</x:f>
      </x:c>
    </x:row>
    <x:row r="779" ht="15" hidden="0" customHeight="1">
      <x:c r="A779" s="12" t="str">
        <x:f>IF(Leads!A779="","",Leads!A779)</x:f>
      </x:c>
      <x:c r="B779" s="12" t="str">
        <x:f>IF(Leads!F779="","",Leads!F779)</x:f>
      </x:c>
      <x:c r="C779" s="12" t="str">
        <x:f>IF(Leads!G779="","",Leads!G779)</x:f>
      </x:c>
      <x:c r="D779" s="12" t="str">
        <x:f>IF(Leads!O779="","",Leads!O779)</x:f>
      </x:c>
      <x:c r="E779" s="12" t="str">
        <x:f>IF(Leads!AV779="","",Leads!AV779)</x:f>
      </x:c>
      <x:c r="F779" s="12" t="str">
        <x:f>IF(Leads!AX779="","",Leads!AX779)</x:f>
      </x:c>
      <x:c r="G779" s="12" t="str">
        <x:f>IF(Leads!BC779="","",Leads!BC779)</x:f>
      </x:c>
      <x:c r="H779" s="12" t="str">
        <x:f>IF(Leads!BE779="","",Leads!BE779)</x:f>
      </x:c>
      <x:c r="I779" s="12" t="str">
        <x:f>IF(Leads!BG779="","",Leads!BG779)</x:f>
      </x:c>
      <x:c r="J779" s="12" t="str">
        <x:f>IF(Leads!BH779="","",Leads!BH779)</x:f>
      </x:c>
      <x:c r="K779" s="12" t="str">
        <x:f>IF(A779="","","مرحبًا "&amp;C779&amp;CHAR(10)&amp;CHAR(10)&amp;"شكرًا لإتمام تقييم DBD الخاص بعيادة "&amp;B779&amp;"."&amp;CHAR(10)&amp;"نتيجتكم الحالية: "&amp;E779&amp;"%."&amp;CHAR(10)&amp;"أولوية التحسين الأولى: "&amp;F779&amp;"."&amp;IF(J779&lt;&gt;"",CHAR(10)&amp;CHAR(10)&amp;"رابط التقرير: "&amp;J779,"")&amp;CHAR(10)&amp;CHAR(10)&amp;"إذا أحببت، يمكننا مساعدتك في فهم التقرير وتحديد أفضل خطوة تالية لعيادتكم.")</x:f>
      </x:c>
      <x:c r="L779" s="12" t="str">
        <x:f>IF(D779="","",HYPERLINK("https://wa.me/"&amp;REGEXREPLACE(D779,"[^\d]","")&amp;"?text="&amp;ENCODEURL(K779),"واتساب 1"))</x:f>
      </x:c>
      <x:c r="M779" s="12" t="str">
        <x:f>IF(A779="","","مرحبًا "&amp;C779&amp;CHAR(10)&amp;CHAR(10)&amp;"بناءً على نتيجة تقييم عيادة "&amp;B779&amp;"، فإن الترشيح الأقوى لكم الآن هو: "&amp;G779&amp;"."&amp;CHAR(10)&amp;"هذا الخيار يساعدكم في معالجة أكبر فجوة حالية بشكل عملي ومباشر."&amp;IF(J779&lt;&gt;"",CHAR(10)&amp;CHAR(10)&amp;"رابط التقرير: "&amp;J779,"")&amp;CHAR(10)&amp;CHAR(10)&amp;"إذا رغبت، يمكننا توضيح لماذا هذا الكورس هو الأنسب لكم الآن.")</x:f>
      </x:c>
      <x:c r="N779" s="12" t="str">
        <x:f>IF(D779="","",HYPERLINK("https://wa.me/"&amp;REGEXREPLACE(D779,"[^\d]","")&amp;"?text="&amp;ENCODEURL(M779),"واتساب 2"))</x:f>
      </x:c>
      <x:c r="O779" s="12" t="str">
        <x:f>IF(A779="","","مرحبًا "&amp;C779&amp;CHAR(10)&amp;CHAR(10)&amp;"إذا كانت التحديات لديكم تحتاج حلًا أشمل، فالبرنامج الكامل المناسب لكم هو: "&amp;H779&amp;"."&amp;IF(I779&lt;&gt;"",CHAR(10)&amp;"كما يمكنكم أيضًا حجز: "&amp;I779&amp;".","")&amp;IF(J779&lt;&gt;"",CHAR(10)&amp;CHAR(10)&amp;"رابط التقرير: "&amp;J779,"")&amp;CHAR(10)&amp;CHAR(10)&amp;"يسعدنا مساعدتكم في اختيار المسار الأنسب حسب وضع العيادة الحالي.")</x:f>
      </x:c>
      <x:c r="P779" s="12" t="str">
        <x:f>IF(D779="","",HYPERLINK("https://wa.me/"&amp;REGEXREPLACE(D779,"[^\d]","")&amp;"?text="&amp;ENCODEURL(O779),"واتساب 3"))</x:f>
      </x:c>
    </x:row>
    <x:row r="780" ht="15" hidden="0" customHeight="1">
      <x:c r="A780" s="12" t="str">
        <x:f>IF(Leads!A780="","",Leads!A780)</x:f>
      </x:c>
      <x:c r="B780" s="12" t="str">
        <x:f>IF(Leads!F780="","",Leads!F780)</x:f>
      </x:c>
      <x:c r="C780" s="12" t="str">
        <x:f>IF(Leads!G780="","",Leads!G780)</x:f>
      </x:c>
      <x:c r="D780" s="12" t="str">
        <x:f>IF(Leads!O780="","",Leads!O780)</x:f>
      </x:c>
      <x:c r="E780" s="12" t="str">
        <x:f>IF(Leads!AV780="","",Leads!AV780)</x:f>
      </x:c>
      <x:c r="F780" s="12" t="str">
        <x:f>IF(Leads!AX780="","",Leads!AX780)</x:f>
      </x:c>
      <x:c r="G780" s="12" t="str">
        <x:f>IF(Leads!BC780="","",Leads!BC780)</x:f>
      </x:c>
      <x:c r="H780" s="12" t="str">
        <x:f>IF(Leads!BE780="","",Leads!BE780)</x:f>
      </x:c>
      <x:c r="I780" s="12" t="str">
        <x:f>IF(Leads!BG780="","",Leads!BG780)</x:f>
      </x:c>
      <x:c r="J780" s="12" t="str">
        <x:f>IF(Leads!BH780="","",Leads!BH780)</x:f>
      </x:c>
      <x:c r="K780" s="12" t="str">
        <x:f>IF(A780="","","مرحبًا "&amp;C780&amp;CHAR(10)&amp;CHAR(10)&amp;"شكرًا لإتمام تقييم DBD الخاص بعيادة "&amp;B780&amp;"."&amp;CHAR(10)&amp;"نتيجتكم الحالية: "&amp;E780&amp;"%."&amp;CHAR(10)&amp;"أولوية التحسين الأولى: "&amp;F780&amp;"."&amp;IF(J780&lt;&gt;"",CHAR(10)&amp;CHAR(10)&amp;"رابط التقرير: "&amp;J780,"")&amp;CHAR(10)&amp;CHAR(10)&amp;"إذا أحببت، يمكننا مساعدتك في فهم التقرير وتحديد أفضل خطوة تالية لعيادتكم.")</x:f>
      </x:c>
      <x:c r="L780" s="12" t="str">
        <x:f>IF(D780="","",HYPERLINK("https://wa.me/"&amp;REGEXREPLACE(D780,"[^\d]","")&amp;"?text="&amp;ENCODEURL(K780),"واتساب 1"))</x:f>
      </x:c>
      <x:c r="M780" s="12" t="str">
        <x:f>IF(A780="","","مرحبًا "&amp;C780&amp;CHAR(10)&amp;CHAR(10)&amp;"بناءً على نتيجة تقييم عيادة "&amp;B780&amp;"، فإن الترشيح الأقوى لكم الآن هو: "&amp;G780&amp;"."&amp;CHAR(10)&amp;"هذا الخيار يساعدكم في معالجة أكبر فجوة حالية بشكل عملي ومباشر."&amp;IF(J780&lt;&gt;"",CHAR(10)&amp;CHAR(10)&amp;"رابط التقرير: "&amp;J780,"")&amp;CHAR(10)&amp;CHAR(10)&amp;"إذا رغبت، يمكننا توضيح لماذا هذا الكورس هو الأنسب لكم الآن.")</x:f>
      </x:c>
      <x:c r="N780" s="12" t="str">
        <x:f>IF(D780="","",HYPERLINK("https://wa.me/"&amp;REGEXREPLACE(D780,"[^\d]","")&amp;"?text="&amp;ENCODEURL(M780),"واتساب 2"))</x:f>
      </x:c>
      <x:c r="O780" s="12" t="str">
        <x:f>IF(A780="","","مرحبًا "&amp;C780&amp;CHAR(10)&amp;CHAR(10)&amp;"إذا كانت التحديات لديكم تحتاج حلًا أشمل، فالبرنامج الكامل المناسب لكم هو: "&amp;H780&amp;"."&amp;IF(I780&lt;&gt;"",CHAR(10)&amp;"كما يمكنكم أيضًا حجز: "&amp;I780&amp;".","")&amp;IF(J780&lt;&gt;"",CHAR(10)&amp;CHAR(10)&amp;"رابط التقرير: "&amp;J780,"")&amp;CHAR(10)&amp;CHAR(10)&amp;"يسعدنا مساعدتكم في اختيار المسار الأنسب حسب وضع العيادة الحالي.")</x:f>
      </x:c>
      <x:c r="P780" s="12" t="str">
        <x:f>IF(D780="","",HYPERLINK("https://wa.me/"&amp;REGEXREPLACE(D780,"[^\d]","")&amp;"?text="&amp;ENCODEURL(O780),"واتساب 3"))</x:f>
      </x:c>
    </x:row>
    <x:row r="781" ht="15" hidden="0" customHeight="1">
      <x:c r="A781" s="12" t="str">
        <x:f>IF(Leads!A781="","",Leads!A781)</x:f>
      </x:c>
      <x:c r="B781" s="12" t="str">
        <x:f>IF(Leads!F781="","",Leads!F781)</x:f>
      </x:c>
      <x:c r="C781" s="12" t="str">
        <x:f>IF(Leads!G781="","",Leads!G781)</x:f>
      </x:c>
      <x:c r="D781" s="12" t="str">
        <x:f>IF(Leads!O781="","",Leads!O781)</x:f>
      </x:c>
      <x:c r="E781" s="12" t="str">
        <x:f>IF(Leads!AV781="","",Leads!AV781)</x:f>
      </x:c>
      <x:c r="F781" s="12" t="str">
        <x:f>IF(Leads!AX781="","",Leads!AX781)</x:f>
      </x:c>
      <x:c r="G781" s="12" t="str">
        <x:f>IF(Leads!BC781="","",Leads!BC781)</x:f>
      </x:c>
      <x:c r="H781" s="12" t="str">
        <x:f>IF(Leads!BE781="","",Leads!BE781)</x:f>
      </x:c>
      <x:c r="I781" s="12" t="str">
        <x:f>IF(Leads!BG781="","",Leads!BG781)</x:f>
      </x:c>
      <x:c r="J781" s="12" t="str">
        <x:f>IF(Leads!BH781="","",Leads!BH781)</x:f>
      </x:c>
      <x:c r="K781" s="12" t="str">
        <x:f>IF(A781="","","مرحبًا "&amp;C781&amp;CHAR(10)&amp;CHAR(10)&amp;"شكرًا لإتمام تقييم DBD الخاص بعيادة "&amp;B781&amp;"."&amp;CHAR(10)&amp;"نتيجتكم الحالية: "&amp;E781&amp;"%."&amp;CHAR(10)&amp;"أولوية التحسين الأولى: "&amp;F781&amp;"."&amp;IF(J781&lt;&gt;"",CHAR(10)&amp;CHAR(10)&amp;"رابط التقرير: "&amp;J781,"")&amp;CHAR(10)&amp;CHAR(10)&amp;"إذا أحببت، يمكننا مساعدتك في فهم التقرير وتحديد أفضل خطوة تالية لعيادتكم.")</x:f>
      </x:c>
      <x:c r="L781" s="12" t="str">
        <x:f>IF(D781="","",HYPERLINK("https://wa.me/"&amp;REGEXREPLACE(D781,"[^\d]","")&amp;"?text="&amp;ENCODEURL(K781),"واتساب 1"))</x:f>
      </x:c>
      <x:c r="M781" s="12" t="str">
        <x:f>IF(A781="","","مرحبًا "&amp;C781&amp;CHAR(10)&amp;CHAR(10)&amp;"بناءً على نتيجة تقييم عيادة "&amp;B781&amp;"، فإن الترشيح الأقوى لكم الآن هو: "&amp;G781&amp;"."&amp;CHAR(10)&amp;"هذا الخيار يساعدكم في معالجة أكبر فجوة حالية بشكل عملي ومباشر."&amp;IF(J781&lt;&gt;"",CHAR(10)&amp;CHAR(10)&amp;"رابط التقرير: "&amp;J781,"")&amp;CHAR(10)&amp;CHAR(10)&amp;"إذا رغبت، يمكننا توضيح لماذا هذا الكورس هو الأنسب لكم الآن.")</x:f>
      </x:c>
      <x:c r="N781" s="12" t="str">
        <x:f>IF(D781="","",HYPERLINK("https://wa.me/"&amp;REGEXREPLACE(D781,"[^\d]","")&amp;"?text="&amp;ENCODEURL(M781),"واتساب 2"))</x:f>
      </x:c>
      <x:c r="O781" s="12" t="str">
        <x:f>IF(A781="","","مرحبًا "&amp;C781&amp;CHAR(10)&amp;CHAR(10)&amp;"إذا كانت التحديات لديكم تحتاج حلًا أشمل، فالبرنامج الكامل المناسب لكم هو: "&amp;H781&amp;"."&amp;IF(I781&lt;&gt;"",CHAR(10)&amp;"كما يمكنكم أيضًا حجز: "&amp;I781&amp;".","")&amp;IF(J781&lt;&gt;"",CHAR(10)&amp;CHAR(10)&amp;"رابط التقرير: "&amp;J781,"")&amp;CHAR(10)&amp;CHAR(10)&amp;"يسعدنا مساعدتكم في اختيار المسار الأنسب حسب وضع العيادة الحالي.")</x:f>
      </x:c>
      <x:c r="P781" s="12" t="str">
        <x:f>IF(D781="","",HYPERLINK("https://wa.me/"&amp;REGEXREPLACE(D781,"[^\d]","")&amp;"?text="&amp;ENCODEURL(O781),"واتساب 3"))</x:f>
      </x:c>
    </x:row>
    <x:row r="782" ht="15" hidden="0" customHeight="1">
      <x:c r="A782" s="12" t="str">
        <x:f>IF(Leads!A782="","",Leads!A782)</x:f>
      </x:c>
      <x:c r="B782" s="12" t="str">
        <x:f>IF(Leads!F782="","",Leads!F782)</x:f>
      </x:c>
      <x:c r="C782" s="12" t="str">
        <x:f>IF(Leads!G782="","",Leads!G782)</x:f>
      </x:c>
      <x:c r="D782" s="12" t="str">
        <x:f>IF(Leads!O782="","",Leads!O782)</x:f>
      </x:c>
      <x:c r="E782" s="12" t="str">
        <x:f>IF(Leads!AV782="","",Leads!AV782)</x:f>
      </x:c>
      <x:c r="F782" s="12" t="str">
        <x:f>IF(Leads!AX782="","",Leads!AX782)</x:f>
      </x:c>
      <x:c r="G782" s="12" t="str">
        <x:f>IF(Leads!BC782="","",Leads!BC782)</x:f>
      </x:c>
      <x:c r="H782" s="12" t="str">
        <x:f>IF(Leads!BE782="","",Leads!BE782)</x:f>
      </x:c>
      <x:c r="I782" s="12" t="str">
        <x:f>IF(Leads!BG782="","",Leads!BG782)</x:f>
      </x:c>
      <x:c r="J782" s="12" t="str">
        <x:f>IF(Leads!BH782="","",Leads!BH782)</x:f>
      </x:c>
      <x:c r="K782" s="12" t="str">
        <x:f>IF(A782="","","مرحبًا "&amp;C782&amp;CHAR(10)&amp;CHAR(10)&amp;"شكرًا لإتمام تقييم DBD الخاص بعيادة "&amp;B782&amp;"."&amp;CHAR(10)&amp;"نتيجتكم الحالية: "&amp;E782&amp;"%."&amp;CHAR(10)&amp;"أولوية التحسين الأولى: "&amp;F782&amp;"."&amp;IF(J782&lt;&gt;"",CHAR(10)&amp;CHAR(10)&amp;"رابط التقرير: "&amp;J782,"")&amp;CHAR(10)&amp;CHAR(10)&amp;"إذا أحببت، يمكننا مساعدتك في فهم التقرير وتحديد أفضل خطوة تالية لعيادتكم.")</x:f>
      </x:c>
      <x:c r="L782" s="12" t="str">
        <x:f>IF(D782="","",HYPERLINK("https://wa.me/"&amp;REGEXREPLACE(D782,"[^\d]","")&amp;"?text="&amp;ENCODEURL(K782),"واتساب 1"))</x:f>
      </x:c>
      <x:c r="M782" s="12" t="str">
        <x:f>IF(A782="","","مرحبًا "&amp;C782&amp;CHAR(10)&amp;CHAR(10)&amp;"بناءً على نتيجة تقييم عيادة "&amp;B782&amp;"، فإن الترشيح الأقوى لكم الآن هو: "&amp;G782&amp;"."&amp;CHAR(10)&amp;"هذا الخيار يساعدكم في معالجة أكبر فجوة حالية بشكل عملي ومباشر."&amp;IF(J782&lt;&gt;"",CHAR(10)&amp;CHAR(10)&amp;"رابط التقرير: "&amp;J782,"")&amp;CHAR(10)&amp;CHAR(10)&amp;"إذا رغبت، يمكننا توضيح لماذا هذا الكورس هو الأنسب لكم الآن.")</x:f>
      </x:c>
      <x:c r="N782" s="12" t="str">
        <x:f>IF(D782="","",HYPERLINK("https://wa.me/"&amp;REGEXREPLACE(D782,"[^\d]","")&amp;"?text="&amp;ENCODEURL(M782),"واتساب 2"))</x:f>
      </x:c>
      <x:c r="O782" s="12" t="str">
        <x:f>IF(A782="","","مرحبًا "&amp;C782&amp;CHAR(10)&amp;CHAR(10)&amp;"إذا كانت التحديات لديكم تحتاج حلًا أشمل، فالبرنامج الكامل المناسب لكم هو: "&amp;H782&amp;"."&amp;IF(I782&lt;&gt;"",CHAR(10)&amp;"كما يمكنكم أيضًا حجز: "&amp;I782&amp;".","")&amp;IF(J782&lt;&gt;"",CHAR(10)&amp;CHAR(10)&amp;"رابط التقرير: "&amp;J782,"")&amp;CHAR(10)&amp;CHAR(10)&amp;"يسعدنا مساعدتكم في اختيار المسار الأنسب حسب وضع العيادة الحالي.")</x:f>
      </x:c>
      <x:c r="P782" s="12" t="str">
        <x:f>IF(D782="","",HYPERLINK("https://wa.me/"&amp;REGEXREPLACE(D782,"[^\d]","")&amp;"?text="&amp;ENCODEURL(O782),"واتساب 3"))</x:f>
      </x:c>
    </x:row>
    <x:row r="783" ht="15" hidden="0" customHeight="1">
      <x:c r="A783" s="12" t="str">
        <x:f>IF(Leads!A783="","",Leads!A783)</x:f>
      </x:c>
      <x:c r="B783" s="12" t="str">
        <x:f>IF(Leads!F783="","",Leads!F783)</x:f>
      </x:c>
      <x:c r="C783" s="12" t="str">
        <x:f>IF(Leads!G783="","",Leads!G783)</x:f>
      </x:c>
      <x:c r="D783" s="12" t="str">
        <x:f>IF(Leads!O783="","",Leads!O783)</x:f>
      </x:c>
      <x:c r="E783" s="12" t="str">
        <x:f>IF(Leads!AV783="","",Leads!AV783)</x:f>
      </x:c>
      <x:c r="F783" s="12" t="str">
        <x:f>IF(Leads!AX783="","",Leads!AX783)</x:f>
      </x:c>
      <x:c r="G783" s="12" t="str">
        <x:f>IF(Leads!BC783="","",Leads!BC783)</x:f>
      </x:c>
      <x:c r="H783" s="12" t="str">
        <x:f>IF(Leads!BE783="","",Leads!BE783)</x:f>
      </x:c>
      <x:c r="I783" s="12" t="str">
        <x:f>IF(Leads!BG783="","",Leads!BG783)</x:f>
      </x:c>
      <x:c r="J783" s="12" t="str">
        <x:f>IF(Leads!BH783="","",Leads!BH783)</x:f>
      </x:c>
      <x:c r="K783" s="12" t="str">
        <x:f>IF(A783="","","مرحبًا "&amp;C783&amp;CHAR(10)&amp;CHAR(10)&amp;"شكرًا لإتمام تقييم DBD الخاص بعيادة "&amp;B783&amp;"."&amp;CHAR(10)&amp;"نتيجتكم الحالية: "&amp;E783&amp;"%."&amp;CHAR(10)&amp;"أولوية التحسين الأولى: "&amp;F783&amp;"."&amp;IF(J783&lt;&gt;"",CHAR(10)&amp;CHAR(10)&amp;"رابط التقرير: "&amp;J783,"")&amp;CHAR(10)&amp;CHAR(10)&amp;"إذا أحببت، يمكننا مساعدتك في فهم التقرير وتحديد أفضل خطوة تالية لعيادتكم.")</x:f>
      </x:c>
      <x:c r="L783" s="12" t="str">
        <x:f>IF(D783="","",HYPERLINK("https://wa.me/"&amp;REGEXREPLACE(D783,"[^\d]","")&amp;"?text="&amp;ENCODEURL(K783),"واتساب 1"))</x:f>
      </x:c>
      <x:c r="M783" s="12" t="str">
        <x:f>IF(A783="","","مرحبًا "&amp;C783&amp;CHAR(10)&amp;CHAR(10)&amp;"بناءً على نتيجة تقييم عيادة "&amp;B783&amp;"، فإن الترشيح الأقوى لكم الآن هو: "&amp;G783&amp;"."&amp;CHAR(10)&amp;"هذا الخيار يساعدكم في معالجة أكبر فجوة حالية بشكل عملي ومباشر."&amp;IF(J783&lt;&gt;"",CHAR(10)&amp;CHAR(10)&amp;"رابط التقرير: "&amp;J783,"")&amp;CHAR(10)&amp;CHAR(10)&amp;"إذا رغبت، يمكننا توضيح لماذا هذا الكورس هو الأنسب لكم الآن.")</x:f>
      </x:c>
      <x:c r="N783" s="12" t="str">
        <x:f>IF(D783="","",HYPERLINK("https://wa.me/"&amp;REGEXREPLACE(D783,"[^\d]","")&amp;"?text="&amp;ENCODEURL(M783),"واتساب 2"))</x:f>
      </x:c>
      <x:c r="O783" s="12" t="str">
        <x:f>IF(A783="","","مرحبًا "&amp;C783&amp;CHAR(10)&amp;CHAR(10)&amp;"إذا كانت التحديات لديكم تحتاج حلًا أشمل، فالبرنامج الكامل المناسب لكم هو: "&amp;H783&amp;"."&amp;IF(I783&lt;&gt;"",CHAR(10)&amp;"كما يمكنكم أيضًا حجز: "&amp;I783&amp;".","")&amp;IF(J783&lt;&gt;"",CHAR(10)&amp;CHAR(10)&amp;"رابط التقرير: "&amp;J783,"")&amp;CHAR(10)&amp;CHAR(10)&amp;"يسعدنا مساعدتكم في اختيار المسار الأنسب حسب وضع العيادة الحالي.")</x:f>
      </x:c>
      <x:c r="P783" s="12" t="str">
        <x:f>IF(D783="","",HYPERLINK("https://wa.me/"&amp;REGEXREPLACE(D783,"[^\d]","")&amp;"?text="&amp;ENCODEURL(O783),"واتساب 3"))</x:f>
      </x:c>
    </x:row>
    <x:row r="784" ht="15" hidden="0" customHeight="1">
      <x:c r="A784" s="12" t="str">
        <x:f>IF(Leads!A784="","",Leads!A784)</x:f>
      </x:c>
      <x:c r="B784" s="12" t="str">
        <x:f>IF(Leads!F784="","",Leads!F784)</x:f>
      </x:c>
      <x:c r="C784" s="12" t="str">
        <x:f>IF(Leads!G784="","",Leads!G784)</x:f>
      </x:c>
      <x:c r="D784" s="12" t="str">
        <x:f>IF(Leads!O784="","",Leads!O784)</x:f>
      </x:c>
      <x:c r="E784" s="12" t="str">
        <x:f>IF(Leads!AV784="","",Leads!AV784)</x:f>
      </x:c>
      <x:c r="F784" s="12" t="str">
        <x:f>IF(Leads!AX784="","",Leads!AX784)</x:f>
      </x:c>
      <x:c r="G784" s="12" t="str">
        <x:f>IF(Leads!BC784="","",Leads!BC784)</x:f>
      </x:c>
      <x:c r="H784" s="12" t="str">
        <x:f>IF(Leads!BE784="","",Leads!BE784)</x:f>
      </x:c>
      <x:c r="I784" s="12" t="str">
        <x:f>IF(Leads!BG784="","",Leads!BG784)</x:f>
      </x:c>
      <x:c r="J784" s="12" t="str">
        <x:f>IF(Leads!BH784="","",Leads!BH784)</x:f>
      </x:c>
      <x:c r="K784" s="12" t="str">
        <x:f>IF(A784="","","مرحبًا "&amp;C784&amp;CHAR(10)&amp;CHAR(10)&amp;"شكرًا لإتمام تقييم DBD الخاص بعيادة "&amp;B784&amp;"."&amp;CHAR(10)&amp;"نتيجتكم الحالية: "&amp;E784&amp;"%."&amp;CHAR(10)&amp;"أولوية التحسين الأولى: "&amp;F784&amp;"."&amp;IF(J784&lt;&gt;"",CHAR(10)&amp;CHAR(10)&amp;"رابط التقرير: "&amp;J784,"")&amp;CHAR(10)&amp;CHAR(10)&amp;"إذا أحببت، يمكننا مساعدتك في فهم التقرير وتحديد أفضل خطوة تالية لعيادتكم.")</x:f>
      </x:c>
      <x:c r="L784" s="12" t="str">
        <x:f>IF(D784="","",HYPERLINK("https://wa.me/"&amp;REGEXREPLACE(D784,"[^\d]","")&amp;"?text="&amp;ENCODEURL(K784),"واتساب 1"))</x:f>
      </x:c>
      <x:c r="M784" s="12" t="str">
        <x:f>IF(A784="","","مرحبًا "&amp;C784&amp;CHAR(10)&amp;CHAR(10)&amp;"بناءً على نتيجة تقييم عيادة "&amp;B784&amp;"، فإن الترشيح الأقوى لكم الآن هو: "&amp;G784&amp;"."&amp;CHAR(10)&amp;"هذا الخيار يساعدكم في معالجة أكبر فجوة حالية بشكل عملي ومباشر."&amp;IF(J784&lt;&gt;"",CHAR(10)&amp;CHAR(10)&amp;"رابط التقرير: "&amp;J784,"")&amp;CHAR(10)&amp;CHAR(10)&amp;"إذا رغبت، يمكننا توضيح لماذا هذا الكورس هو الأنسب لكم الآن.")</x:f>
      </x:c>
      <x:c r="N784" s="12" t="str">
        <x:f>IF(D784="","",HYPERLINK("https://wa.me/"&amp;REGEXREPLACE(D784,"[^\d]","")&amp;"?text="&amp;ENCODEURL(M784),"واتساب 2"))</x:f>
      </x:c>
      <x:c r="O784" s="12" t="str">
        <x:f>IF(A784="","","مرحبًا "&amp;C784&amp;CHAR(10)&amp;CHAR(10)&amp;"إذا كانت التحديات لديكم تحتاج حلًا أشمل، فالبرنامج الكامل المناسب لكم هو: "&amp;H784&amp;"."&amp;IF(I784&lt;&gt;"",CHAR(10)&amp;"كما يمكنكم أيضًا حجز: "&amp;I784&amp;".","")&amp;IF(J784&lt;&gt;"",CHAR(10)&amp;CHAR(10)&amp;"رابط التقرير: "&amp;J784,"")&amp;CHAR(10)&amp;CHAR(10)&amp;"يسعدنا مساعدتكم في اختيار المسار الأنسب حسب وضع العيادة الحالي.")</x:f>
      </x:c>
      <x:c r="P784" s="12" t="str">
        <x:f>IF(D784="","",HYPERLINK("https://wa.me/"&amp;REGEXREPLACE(D784,"[^\d]","")&amp;"?text="&amp;ENCODEURL(O784),"واتساب 3"))</x:f>
      </x:c>
    </x:row>
    <x:row r="785" ht="15" hidden="0" customHeight="1">
      <x:c r="A785" s="12" t="str">
        <x:f>IF(Leads!A785="","",Leads!A785)</x:f>
      </x:c>
      <x:c r="B785" s="12" t="str">
        <x:f>IF(Leads!F785="","",Leads!F785)</x:f>
      </x:c>
      <x:c r="C785" s="12" t="str">
        <x:f>IF(Leads!G785="","",Leads!G785)</x:f>
      </x:c>
      <x:c r="D785" s="12" t="str">
        <x:f>IF(Leads!O785="","",Leads!O785)</x:f>
      </x:c>
      <x:c r="E785" s="12" t="str">
        <x:f>IF(Leads!AV785="","",Leads!AV785)</x:f>
      </x:c>
      <x:c r="F785" s="12" t="str">
        <x:f>IF(Leads!AX785="","",Leads!AX785)</x:f>
      </x:c>
      <x:c r="G785" s="12" t="str">
        <x:f>IF(Leads!BC785="","",Leads!BC785)</x:f>
      </x:c>
      <x:c r="H785" s="12" t="str">
        <x:f>IF(Leads!BE785="","",Leads!BE785)</x:f>
      </x:c>
      <x:c r="I785" s="12" t="str">
        <x:f>IF(Leads!BG785="","",Leads!BG785)</x:f>
      </x:c>
      <x:c r="J785" s="12" t="str">
        <x:f>IF(Leads!BH785="","",Leads!BH785)</x:f>
      </x:c>
      <x:c r="K785" s="12" t="str">
        <x:f>IF(A785="","","مرحبًا "&amp;C785&amp;CHAR(10)&amp;CHAR(10)&amp;"شكرًا لإتمام تقييم DBD الخاص بعيادة "&amp;B785&amp;"."&amp;CHAR(10)&amp;"نتيجتكم الحالية: "&amp;E785&amp;"%."&amp;CHAR(10)&amp;"أولوية التحسين الأولى: "&amp;F785&amp;"."&amp;IF(J785&lt;&gt;"",CHAR(10)&amp;CHAR(10)&amp;"رابط التقرير: "&amp;J785,"")&amp;CHAR(10)&amp;CHAR(10)&amp;"إذا أحببت، يمكننا مساعدتك في فهم التقرير وتحديد أفضل خطوة تالية لعيادتكم.")</x:f>
      </x:c>
      <x:c r="L785" s="12" t="str">
        <x:f>IF(D785="","",HYPERLINK("https://wa.me/"&amp;REGEXREPLACE(D785,"[^\d]","")&amp;"?text="&amp;ENCODEURL(K785),"واتساب 1"))</x:f>
      </x:c>
      <x:c r="M785" s="12" t="str">
        <x:f>IF(A785="","","مرحبًا "&amp;C785&amp;CHAR(10)&amp;CHAR(10)&amp;"بناءً على نتيجة تقييم عيادة "&amp;B785&amp;"، فإن الترشيح الأقوى لكم الآن هو: "&amp;G785&amp;"."&amp;CHAR(10)&amp;"هذا الخيار يساعدكم في معالجة أكبر فجوة حالية بشكل عملي ومباشر."&amp;IF(J785&lt;&gt;"",CHAR(10)&amp;CHAR(10)&amp;"رابط التقرير: "&amp;J785,"")&amp;CHAR(10)&amp;CHAR(10)&amp;"إذا رغبت، يمكننا توضيح لماذا هذا الكورس هو الأنسب لكم الآن.")</x:f>
      </x:c>
      <x:c r="N785" s="12" t="str">
        <x:f>IF(D785="","",HYPERLINK("https://wa.me/"&amp;REGEXREPLACE(D785,"[^\d]","")&amp;"?text="&amp;ENCODEURL(M785),"واتساب 2"))</x:f>
      </x:c>
      <x:c r="O785" s="12" t="str">
        <x:f>IF(A785="","","مرحبًا "&amp;C785&amp;CHAR(10)&amp;CHAR(10)&amp;"إذا كانت التحديات لديكم تحتاج حلًا أشمل، فالبرنامج الكامل المناسب لكم هو: "&amp;H785&amp;"."&amp;IF(I785&lt;&gt;"",CHAR(10)&amp;"كما يمكنكم أيضًا حجز: "&amp;I785&amp;".","")&amp;IF(J785&lt;&gt;"",CHAR(10)&amp;CHAR(10)&amp;"رابط التقرير: "&amp;J785,"")&amp;CHAR(10)&amp;CHAR(10)&amp;"يسعدنا مساعدتكم في اختيار المسار الأنسب حسب وضع العيادة الحالي.")</x:f>
      </x:c>
      <x:c r="P785" s="12" t="str">
        <x:f>IF(D785="","",HYPERLINK("https://wa.me/"&amp;REGEXREPLACE(D785,"[^\d]","")&amp;"?text="&amp;ENCODEURL(O785),"واتساب 3"))</x:f>
      </x:c>
    </x:row>
    <x:row r="786" ht="15" hidden="0" customHeight="1">
      <x:c r="A786" s="12" t="str">
        <x:f>IF(Leads!A786="","",Leads!A786)</x:f>
      </x:c>
      <x:c r="B786" s="12" t="str">
        <x:f>IF(Leads!F786="","",Leads!F786)</x:f>
      </x:c>
      <x:c r="C786" s="12" t="str">
        <x:f>IF(Leads!G786="","",Leads!G786)</x:f>
      </x:c>
      <x:c r="D786" s="12" t="str">
        <x:f>IF(Leads!O786="","",Leads!O786)</x:f>
      </x:c>
      <x:c r="E786" s="12" t="str">
        <x:f>IF(Leads!AV786="","",Leads!AV786)</x:f>
      </x:c>
      <x:c r="F786" s="12" t="str">
        <x:f>IF(Leads!AX786="","",Leads!AX786)</x:f>
      </x:c>
      <x:c r="G786" s="12" t="str">
        <x:f>IF(Leads!BC786="","",Leads!BC786)</x:f>
      </x:c>
      <x:c r="H786" s="12" t="str">
        <x:f>IF(Leads!BE786="","",Leads!BE786)</x:f>
      </x:c>
      <x:c r="I786" s="12" t="str">
        <x:f>IF(Leads!BG786="","",Leads!BG786)</x:f>
      </x:c>
      <x:c r="J786" s="12" t="str">
        <x:f>IF(Leads!BH786="","",Leads!BH786)</x:f>
      </x:c>
      <x:c r="K786" s="12" t="str">
        <x:f>IF(A786="","","مرحبًا "&amp;C786&amp;CHAR(10)&amp;CHAR(10)&amp;"شكرًا لإتمام تقييم DBD الخاص بعيادة "&amp;B786&amp;"."&amp;CHAR(10)&amp;"نتيجتكم الحالية: "&amp;E786&amp;"%."&amp;CHAR(10)&amp;"أولوية التحسين الأولى: "&amp;F786&amp;"."&amp;IF(J786&lt;&gt;"",CHAR(10)&amp;CHAR(10)&amp;"رابط التقرير: "&amp;J786,"")&amp;CHAR(10)&amp;CHAR(10)&amp;"إذا أحببت، يمكننا مساعدتك في فهم التقرير وتحديد أفضل خطوة تالية لعيادتكم.")</x:f>
      </x:c>
      <x:c r="L786" s="12" t="str">
        <x:f>IF(D786="","",HYPERLINK("https://wa.me/"&amp;REGEXREPLACE(D786,"[^\d]","")&amp;"?text="&amp;ENCODEURL(K786),"واتساب 1"))</x:f>
      </x:c>
      <x:c r="M786" s="12" t="str">
        <x:f>IF(A786="","","مرحبًا "&amp;C786&amp;CHAR(10)&amp;CHAR(10)&amp;"بناءً على نتيجة تقييم عيادة "&amp;B786&amp;"، فإن الترشيح الأقوى لكم الآن هو: "&amp;G786&amp;"."&amp;CHAR(10)&amp;"هذا الخيار يساعدكم في معالجة أكبر فجوة حالية بشكل عملي ومباشر."&amp;IF(J786&lt;&gt;"",CHAR(10)&amp;CHAR(10)&amp;"رابط التقرير: "&amp;J786,"")&amp;CHAR(10)&amp;CHAR(10)&amp;"إذا رغبت، يمكننا توضيح لماذا هذا الكورس هو الأنسب لكم الآن.")</x:f>
      </x:c>
      <x:c r="N786" s="12" t="str">
        <x:f>IF(D786="","",HYPERLINK("https://wa.me/"&amp;REGEXREPLACE(D786,"[^\d]","")&amp;"?text="&amp;ENCODEURL(M786),"واتساب 2"))</x:f>
      </x:c>
      <x:c r="O786" s="12" t="str">
        <x:f>IF(A786="","","مرحبًا "&amp;C786&amp;CHAR(10)&amp;CHAR(10)&amp;"إذا كانت التحديات لديكم تحتاج حلًا أشمل، فالبرنامج الكامل المناسب لكم هو: "&amp;H786&amp;"."&amp;IF(I786&lt;&gt;"",CHAR(10)&amp;"كما يمكنكم أيضًا حجز: "&amp;I786&amp;".","")&amp;IF(J786&lt;&gt;"",CHAR(10)&amp;CHAR(10)&amp;"رابط التقرير: "&amp;J786,"")&amp;CHAR(10)&amp;CHAR(10)&amp;"يسعدنا مساعدتكم في اختيار المسار الأنسب حسب وضع العيادة الحالي.")</x:f>
      </x:c>
      <x:c r="P786" s="12" t="str">
        <x:f>IF(D786="","",HYPERLINK("https://wa.me/"&amp;REGEXREPLACE(D786,"[^\d]","")&amp;"?text="&amp;ENCODEURL(O786),"واتساب 3"))</x:f>
      </x:c>
    </x:row>
    <x:row r="787" ht="15" hidden="0" customHeight="1">
      <x:c r="A787" s="12" t="str">
        <x:f>IF(Leads!A787="","",Leads!A787)</x:f>
      </x:c>
      <x:c r="B787" s="12" t="str">
        <x:f>IF(Leads!F787="","",Leads!F787)</x:f>
      </x:c>
      <x:c r="C787" s="12" t="str">
        <x:f>IF(Leads!G787="","",Leads!G787)</x:f>
      </x:c>
      <x:c r="D787" s="12" t="str">
        <x:f>IF(Leads!O787="","",Leads!O787)</x:f>
      </x:c>
      <x:c r="E787" s="12" t="str">
        <x:f>IF(Leads!AV787="","",Leads!AV787)</x:f>
      </x:c>
      <x:c r="F787" s="12" t="str">
        <x:f>IF(Leads!AX787="","",Leads!AX787)</x:f>
      </x:c>
      <x:c r="G787" s="12" t="str">
        <x:f>IF(Leads!BC787="","",Leads!BC787)</x:f>
      </x:c>
      <x:c r="H787" s="12" t="str">
        <x:f>IF(Leads!BE787="","",Leads!BE787)</x:f>
      </x:c>
      <x:c r="I787" s="12" t="str">
        <x:f>IF(Leads!BG787="","",Leads!BG787)</x:f>
      </x:c>
      <x:c r="J787" s="12" t="str">
        <x:f>IF(Leads!BH787="","",Leads!BH787)</x:f>
      </x:c>
      <x:c r="K787" s="12" t="str">
        <x:f>IF(A787="","","مرحبًا "&amp;C787&amp;CHAR(10)&amp;CHAR(10)&amp;"شكرًا لإتمام تقييم DBD الخاص بعيادة "&amp;B787&amp;"."&amp;CHAR(10)&amp;"نتيجتكم الحالية: "&amp;E787&amp;"%."&amp;CHAR(10)&amp;"أولوية التحسين الأولى: "&amp;F787&amp;"."&amp;IF(J787&lt;&gt;"",CHAR(10)&amp;CHAR(10)&amp;"رابط التقرير: "&amp;J787,"")&amp;CHAR(10)&amp;CHAR(10)&amp;"إذا أحببت، يمكننا مساعدتك في فهم التقرير وتحديد أفضل خطوة تالية لعيادتكم.")</x:f>
      </x:c>
      <x:c r="L787" s="12" t="str">
        <x:f>IF(D787="","",HYPERLINK("https://wa.me/"&amp;REGEXREPLACE(D787,"[^\d]","")&amp;"?text="&amp;ENCODEURL(K787),"واتساب 1"))</x:f>
      </x:c>
      <x:c r="M787" s="12" t="str">
        <x:f>IF(A787="","","مرحبًا "&amp;C787&amp;CHAR(10)&amp;CHAR(10)&amp;"بناءً على نتيجة تقييم عيادة "&amp;B787&amp;"، فإن الترشيح الأقوى لكم الآن هو: "&amp;G787&amp;"."&amp;CHAR(10)&amp;"هذا الخيار يساعدكم في معالجة أكبر فجوة حالية بشكل عملي ومباشر."&amp;IF(J787&lt;&gt;"",CHAR(10)&amp;CHAR(10)&amp;"رابط التقرير: "&amp;J787,"")&amp;CHAR(10)&amp;CHAR(10)&amp;"إذا رغبت، يمكننا توضيح لماذا هذا الكورس هو الأنسب لكم الآن.")</x:f>
      </x:c>
      <x:c r="N787" s="12" t="str">
        <x:f>IF(D787="","",HYPERLINK("https://wa.me/"&amp;REGEXREPLACE(D787,"[^\d]","")&amp;"?text="&amp;ENCODEURL(M787),"واتساب 2"))</x:f>
      </x:c>
      <x:c r="O787" s="12" t="str">
        <x:f>IF(A787="","","مرحبًا "&amp;C787&amp;CHAR(10)&amp;CHAR(10)&amp;"إذا كانت التحديات لديكم تحتاج حلًا أشمل، فالبرنامج الكامل المناسب لكم هو: "&amp;H787&amp;"."&amp;IF(I787&lt;&gt;"",CHAR(10)&amp;"كما يمكنكم أيضًا حجز: "&amp;I787&amp;".","")&amp;IF(J787&lt;&gt;"",CHAR(10)&amp;CHAR(10)&amp;"رابط التقرير: "&amp;J787,"")&amp;CHAR(10)&amp;CHAR(10)&amp;"يسعدنا مساعدتكم في اختيار المسار الأنسب حسب وضع العيادة الحالي.")</x:f>
      </x:c>
      <x:c r="P787" s="12" t="str">
        <x:f>IF(D787="","",HYPERLINK("https://wa.me/"&amp;REGEXREPLACE(D787,"[^\d]","")&amp;"?text="&amp;ENCODEURL(O787),"واتساب 3"))</x:f>
      </x:c>
    </x:row>
    <x:row r="788" ht="15" hidden="0" customHeight="1">
      <x:c r="A788" s="12" t="str">
        <x:f>IF(Leads!A788="","",Leads!A788)</x:f>
      </x:c>
      <x:c r="B788" s="12" t="str">
        <x:f>IF(Leads!F788="","",Leads!F788)</x:f>
      </x:c>
      <x:c r="C788" s="12" t="str">
        <x:f>IF(Leads!G788="","",Leads!G788)</x:f>
      </x:c>
      <x:c r="D788" s="12" t="str">
        <x:f>IF(Leads!O788="","",Leads!O788)</x:f>
      </x:c>
      <x:c r="E788" s="12" t="str">
        <x:f>IF(Leads!AV788="","",Leads!AV788)</x:f>
      </x:c>
      <x:c r="F788" s="12" t="str">
        <x:f>IF(Leads!AX788="","",Leads!AX788)</x:f>
      </x:c>
      <x:c r="G788" s="12" t="str">
        <x:f>IF(Leads!BC788="","",Leads!BC788)</x:f>
      </x:c>
      <x:c r="H788" s="12" t="str">
        <x:f>IF(Leads!BE788="","",Leads!BE788)</x:f>
      </x:c>
      <x:c r="I788" s="12" t="str">
        <x:f>IF(Leads!BG788="","",Leads!BG788)</x:f>
      </x:c>
      <x:c r="J788" s="12" t="str">
        <x:f>IF(Leads!BH788="","",Leads!BH788)</x:f>
      </x:c>
      <x:c r="K788" s="12" t="str">
        <x:f>IF(A788="","","مرحبًا "&amp;C788&amp;CHAR(10)&amp;CHAR(10)&amp;"شكرًا لإتمام تقييم DBD الخاص بعيادة "&amp;B788&amp;"."&amp;CHAR(10)&amp;"نتيجتكم الحالية: "&amp;E788&amp;"%."&amp;CHAR(10)&amp;"أولوية التحسين الأولى: "&amp;F788&amp;"."&amp;IF(J788&lt;&gt;"",CHAR(10)&amp;CHAR(10)&amp;"رابط التقرير: "&amp;J788,"")&amp;CHAR(10)&amp;CHAR(10)&amp;"إذا أحببت، يمكننا مساعدتك في فهم التقرير وتحديد أفضل خطوة تالية لعيادتكم.")</x:f>
      </x:c>
      <x:c r="L788" s="12" t="str">
        <x:f>IF(D788="","",HYPERLINK("https://wa.me/"&amp;REGEXREPLACE(D788,"[^\d]","")&amp;"?text="&amp;ENCODEURL(K788),"واتساب 1"))</x:f>
      </x:c>
      <x:c r="M788" s="12" t="str">
        <x:f>IF(A788="","","مرحبًا "&amp;C788&amp;CHAR(10)&amp;CHAR(10)&amp;"بناءً على نتيجة تقييم عيادة "&amp;B788&amp;"، فإن الترشيح الأقوى لكم الآن هو: "&amp;G788&amp;"."&amp;CHAR(10)&amp;"هذا الخيار يساعدكم في معالجة أكبر فجوة حالية بشكل عملي ومباشر."&amp;IF(J788&lt;&gt;"",CHAR(10)&amp;CHAR(10)&amp;"رابط التقرير: "&amp;J788,"")&amp;CHAR(10)&amp;CHAR(10)&amp;"إذا رغبت، يمكننا توضيح لماذا هذا الكورس هو الأنسب لكم الآن.")</x:f>
      </x:c>
      <x:c r="N788" s="12" t="str">
        <x:f>IF(D788="","",HYPERLINK("https://wa.me/"&amp;REGEXREPLACE(D788,"[^\d]","")&amp;"?text="&amp;ENCODEURL(M788),"واتساب 2"))</x:f>
      </x:c>
      <x:c r="O788" s="12" t="str">
        <x:f>IF(A788="","","مرحبًا "&amp;C788&amp;CHAR(10)&amp;CHAR(10)&amp;"إذا كانت التحديات لديكم تحتاج حلًا أشمل، فالبرنامج الكامل المناسب لكم هو: "&amp;H788&amp;"."&amp;IF(I788&lt;&gt;"",CHAR(10)&amp;"كما يمكنكم أيضًا حجز: "&amp;I788&amp;".","")&amp;IF(J788&lt;&gt;"",CHAR(10)&amp;CHAR(10)&amp;"رابط التقرير: "&amp;J788,"")&amp;CHAR(10)&amp;CHAR(10)&amp;"يسعدنا مساعدتكم في اختيار المسار الأنسب حسب وضع العيادة الحالي.")</x:f>
      </x:c>
      <x:c r="P788" s="12" t="str">
        <x:f>IF(D788="","",HYPERLINK("https://wa.me/"&amp;REGEXREPLACE(D788,"[^\d]","")&amp;"?text="&amp;ENCODEURL(O788),"واتساب 3"))</x:f>
      </x:c>
    </x:row>
    <x:row r="789" ht="15" hidden="0" customHeight="1">
      <x:c r="A789" s="12" t="str">
        <x:f>IF(Leads!A789="","",Leads!A789)</x:f>
      </x:c>
      <x:c r="B789" s="12" t="str">
        <x:f>IF(Leads!F789="","",Leads!F789)</x:f>
      </x:c>
      <x:c r="C789" s="12" t="str">
        <x:f>IF(Leads!G789="","",Leads!G789)</x:f>
      </x:c>
      <x:c r="D789" s="12" t="str">
        <x:f>IF(Leads!O789="","",Leads!O789)</x:f>
      </x:c>
      <x:c r="E789" s="12" t="str">
        <x:f>IF(Leads!AV789="","",Leads!AV789)</x:f>
      </x:c>
      <x:c r="F789" s="12" t="str">
        <x:f>IF(Leads!AX789="","",Leads!AX789)</x:f>
      </x:c>
      <x:c r="G789" s="12" t="str">
        <x:f>IF(Leads!BC789="","",Leads!BC789)</x:f>
      </x:c>
      <x:c r="H789" s="12" t="str">
        <x:f>IF(Leads!BE789="","",Leads!BE789)</x:f>
      </x:c>
      <x:c r="I789" s="12" t="str">
        <x:f>IF(Leads!BG789="","",Leads!BG789)</x:f>
      </x:c>
      <x:c r="J789" s="12" t="str">
        <x:f>IF(Leads!BH789="","",Leads!BH789)</x:f>
      </x:c>
      <x:c r="K789" s="12" t="str">
        <x:f>IF(A789="","","مرحبًا "&amp;C789&amp;CHAR(10)&amp;CHAR(10)&amp;"شكرًا لإتمام تقييم DBD الخاص بعيادة "&amp;B789&amp;"."&amp;CHAR(10)&amp;"نتيجتكم الحالية: "&amp;E789&amp;"%."&amp;CHAR(10)&amp;"أولوية التحسين الأولى: "&amp;F789&amp;"."&amp;IF(J789&lt;&gt;"",CHAR(10)&amp;CHAR(10)&amp;"رابط التقرير: "&amp;J789,"")&amp;CHAR(10)&amp;CHAR(10)&amp;"إذا أحببت، يمكننا مساعدتك في فهم التقرير وتحديد أفضل خطوة تالية لعيادتكم.")</x:f>
      </x:c>
      <x:c r="L789" s="12" t="str">
        <x:f>IF(D789="","",HYPERLINK("https://wa.me/"&amp;REGEXREPLACE(D789,"[^\d]","")&amp;"?text="&amp;ENCODEURL(K789),"واتساب 1"))</x:f>
      </x:c>
      <x:c r="M789" s="12" t="str">
        <x:f>IF(A789="","","مرحبًا "&amp;C789&amp;CHAR(10)&amp;CHAR(10)&amp;"بناءً على نتيجة تقييم عيادة "&amp;B789&amp;"، فإن الترشيح الأقوى لكم الآن هو: "&amp;G789&amp;"."&amp;CHAR(10)&amp;"هذا الخيار يساعدكم في معالجة أكبر فجوة حالية بشكل عملي ومباشر."&amp;IF(J789&lt;&gt;"",CHAR(10)&amp;CHAR(10)&amp;"رابط التقرير: "&amp;J789,"")&amp;CHAR(10)&amp;CHAR(10)&amp;"إذا رغبت، يمكننا توضيح لماذا هذا الكورس هو الأنسب لكم الآن.")</x:f>
      </x:c>
      <x:c r="N789" s="12" t="str">
        <x:f>IF(D789="","",HYPERLINK("https://wa.me/"&amp;REGEXREPLACE(D789,"[^\d]","")&amp;"?text="&amp;ENCODEURL(M789),"واتساب 2"))</x:f>
      </x:c>
      <x:c r="O789" s="12" t="str">
        <x:f>IF(A789="","","مرحبًا "&amp;C789&amp;CHAR(10)&amp;CHAR(10)&amp;"إذا كانت التحديات لديكم تحتاج حلًا أشمل، فالبرنامج الكامل المناسب لكم هو: "&amp;H789&amp;"."&amp;IF(I789&lt;&gt;"",CHAR(10)&amp;"كما يمكنكم أيضًا حجز: "&amp;I789&amp;".","")&amp;IF(J789&lt;&gt;"",CHAR(10)&amp;CHAR(10)&amp;"رابط التقرير: "&amp;J789,"")&amp;CHAR(10)&amp;CHAR(10)&amp;"يسعدنا مساعدتكم في اختيار المسار الأنسب حسب وضع العيادة الحالي.")</x:f>
      </x:c>
      <x:c r="P789" s="12" t="str">
        <x:f>IF(D789="","",HYPERLINK("https://wa.me/"&amp;REGEXREPLACE(D789,"[^\d]","")&amp;"?text="&amp;ENCODEURL(O789),"واتساب 3"))</x:f>
      </x:c>
    </x:row>
    <x:row r="790" ht="15" hidden="0" customHeight="1">
      <x:c r="A790" s="12" t="str">
        <x:f>IF(Leads!A790="","",Leads!A790)</x:f>
      </x:c>
      <x:c r="B790" s="12" t="str">
        <x:f>IF(Leads!F790="","",Leads!F790)</x:f>
      </x:c>
      <x:c r="C790" s="12" t="str">
        <x:f>IF(Leads!G790="","",Leads!G790)</x:f>
      </x:c>
      <x:c r="D790" s="12" t="str">
        <x:f>IF(Leads!O790="","",Leads!O790)</x:f>
      </x:c>
      <x:c r="E790" s="12" t="str">
        <x:f>IF(Leads!AV790="","",Leads!AV790)</x:f>
      </x:c>
      <x:c r="F790" s="12" t="str">
        <x:f>IF(Leads!AX790="","",Leads!AX790)</x:f>
      </x:c>
      <x:c r="G790" s="12" t="str">
        <x:f>IF(Leads!BC790="","",Leads!BC790)</x:f>
      </x:c>
      <x:c r="H790" s="12" t="str">
        <x:f>IF(Leads!BE790="","",Leads!BE790)</x:f>
      </x:c>
      <x:c r="I790" s="12" t="str">
        <x:f>IF(Leads!BG790="","",Leads!BG790)</x:f>
      </x:c>
      <x:c r="J790" s="12" t="str">
        <x:f>IF(Leads!BH790="","",Leads!BH790)</x:f>
      </x:c>
      <x:c r="K790" s="12" t="str">
        <x:f>IF(A790="","","مرحبًا "&amp;C790&amp;CHAR(10)&amp;CHAR(10)&amp;"شكرًا لإتمام تقييم DBD الخاص بعيادة "&amp;B790&amp;"."&amp;CHAR(10)&amp;"نتيجتكم الحالية: "&amp;E790&amp;"%."&amp;CHAR(10)&amp;"أولوية التحسين الأولى: "&amp;F790&amp;"."&amp;IF(J790&lt;&gt;"",CHAR(10)&amp;CHAR(10)&amp;"رابط التقرير: "&amp;J790,"")&amp;CHAR(10)&amp;CHAR(10)&amp;"إذا أحببت، يمكننا مساعدتك في فهم التقرير وتحديد أفضل خطوة تالية لعيادتكم.")</x:f>
      </x:c>
      <x:c r="L790" s="12" t="str">
        <x:f>IF(D790="","",HYPERLINK("https://wa.me/"&amp;REGEXREPLACE(D790,"[^\d]","")&amp;"?text="&amp;ENCODEURL(K790),"واتساب 1"))</x:f>
      </x:c>
      <x:c r="M790" s="12" t="str">
        <x:f>IF(A790="","","مرحبًا "&amp;C790&amp;CHAR(10)&amp;CHAR(10)&amp;"بناءً على نتيجة تقييم عيادة "&amp;B790&amp;"، فإن الترشيح الأقوى لكم الآن هو: "&amp;G790&amp;"."&amp;CHAR(10)&amp;"هذا الخيار يساعدكم في معالجة أكبر فجوة حالية بشكل عملي ومباشر."&amp;IF(J790&lt;&gt;"",CHAR(10)&amp;CHAR(10)&amp;"رابط التقرير: "&amp;J790,"")&amp;CHAR(10)&amp;CHAR(10)&amp;"إذا رغبت، يمكننا توضيح لماذا هذا الكورس هو الأنسب لكم الآن.")</x:f>
      </x:c>
      <x:c r="N790" s="12" t="str">
        <x:f>IF(D790="","",HYPERLINK("https://wa.me/"&amp;REGEXREPLACE(D790,"[^\d]","")&amp;"?text="&amp;ENCODEURL(M790),"واتساب 2"))</x:f>
      </x:c>
      <x:c r="O790" s="12" t="str">
        <x:f>IF(A790="","","مرحبًا "&amp;C790&amp;CHAR(10)&amp;CHAR(10)&amp;"إذا كانت التحديات لديكم تحتاج حلًا أشمل، فالبرنامج الكامل المناسب لكم هو: "&amp;H790&amp;"."&amp;IF(I790&lt;&gt;"",CHAR(10)&amp;"كما يمكنكم أيضًا حجز: "&amp;I790&amp;".","")&amp;IF(J790&lt;&gt;"",CHAR(10)&amp;CHAR(10)&amp;"رابط التقرير: "&amp;J790,"")&amp;CHAR(10)&amp;CHAR(10)&amp;"يسعدنا مساعدتكم في اختيار المسار الأنسب حسب وضع العيادة الحالي.")</x:f>
      </x:c>
      <x:c r="P790" s="12" t="str">
        <x:f>IF(D790="","",HYPERLINK("https://wa.me/"&amp;REGEXREPLACE(D790,"[^\d]","")&amp;"?text="&amp;ENCODEURL(O790),"واتساب 3"))</x:f>
      </x:c>
    </x:row>
    <x:row r="791" ht="15" hidden="0" customHeight="1">
      <x:c r="A791" s="12" t="str">
        <x:f>IF(Leads!A791="","",Leads!A791)</x:f>
      </x:c>
      <x:c r="B791" s="12" t="str">
        <x:f>IF(Leads!F791="","",Leads!F791)</x:f>
      </x:c>
      <x:c r="C791" s="12" t="str">
        <x:f>IF(Leads!G791="","",Leads!G791)</x:f>
      </x:c>
      <x:c r="D791" s="12" t="str">
        <x:f>IF(Leads!O791="","",Leads!O791)</x:f>
      </x:c>
      <x:c r="E791" s="12" t="str">
        <x:f>IF(Leads!AV791="","",Leads!AV791)</x:f>
      </x:c>
      <x:c r="F791" s="12" t="str">
        <x:f>IF(Leads!AX791="","",Leads!AX791)</x:f>
      </x:c>
      <x:c r="G791" s="12" t="str">
        <x:f>IF(Leads!BC791="","",Leads!BC791)</x:f>
      </x:c>
      <x:c r="H791" s="12" t="str">
        <x:f>IF(Leads!BE791="","",Leads!BE791)</x:f>
      </x:c>
      <x:c r="I791" s="12" t="str">
        <x:f>IF(Leads!BG791="","",Leads!BG791)</x:f>
      </x:c>
      <x:c r="J791" s="12" t="str">
        <x:f>IF(Leads!BH791="","",Leads!BH791)</x:f>
      </x:c>
      <x:c r="K791" s="12" t="str">
        <x:f>IF(A791="","","مرحبًا "&amp;C791&amp;CHAR(10)&amp;CHAR(10)&amp;"شكرًا لإتمام تقييم DBD الخاص بعيادة "&amp;B791&amp;"."&amp;CHAR(10)&amp;"نتيجتكم الحالية: "&amp;E791&amp;"%."&amp;CHAR(10)&amp;"أولوية التحسين الأولى: "&amp;F791&amp;"."&amp;IF(J791&lt;&gt;"",CHAR(10)&amp;CHAR(10)&amp;"رابط التقرير: "&amp;J791,"")&amp;CHAR(10)&amp;CHAR(10)&amp;"إذا أحببت، يمكننا مساعدتك في فهم التقرير وتحديد أفضل خطوة تالية لعيادتكم.")</x:f>
      </x:c>
      <x:c r="L791" s="12" t="str">
        <x:f>IF(D791="","",HYPERLINK("https://wa.me/"&amp;REGEXREPLACE(D791,"[^\d]","")&amp;"?text="&amp;ENCODEURL(K791),"واتساب 1"))</x:f>
      </x:c>
      <x:c r="M791" s="12" t="str">
        <x:f>IF(A791="","","مرحبًا "&amp;C791&amp;CHAR(10)&amp;CHAR(10)&amp;"بناءً على نتيجة تقييم عيادة "&amp;B791&amp;"، فإن الترشيح الأقوى لكم الآن هو: "&amp;G791&amp;"."&amp;CHAR(10)&amp;"هذا الخيار يساعدكم في معالجة أكبر فجوة حالية بشكل عملي ومباشر."&amp;IF(J791&lt;&gt;"",CHAR(10)&amp;CHAR(10)&amp;"رابط التقرير: "&amp;J791,"")&amp;CHAR(10)&amp;CHAR(10)&amp;"إذا رغبت، يمكننا توضيح لماذا هذا الكورس هو الأنسب لكم الآن.")</x:f>
      </x:c>
      <x:c r="N791" s="12" t="str">
        <x:f>IF(D791="","",HYPERLINK("https://wa.me/"&amp;REGEXREPLACE(D791,"[^\d]","")&amp;"?text="&amp;ENCODEURL(M791),"واتساب 2"))</x:f>
      </x:c>
      <x:c r="O791" s="12" t="str">
        <x:f>IF(A791="","","مرحبًا "&amp;C791&amp;CHAR(10)&amp;CHAR(10)&amp;"إذا كانت التحديات لديكم تحتاج حلًا أشمل، فالبرنامج الكامل المناسب لكم هو: "&amp;H791&amp;"."&amp;IF(I791&lt;&gt;"",CHAR(10)&amp;"كما يمكنكم أيضًا حجز: "&amp;I791&amp;".","")&amp;IF(J791&lt;&gt;"",CHAR(10)&amp;CHAR(10)&amp;"رابط التقرير: "&amp;J791,"")&amp;CHAR(10)&amp;CHAR(10)&amp;"يسعدنا مساعدتكم في اختيار المسار الأنسب حسب وضع العيادة الحالي.")</x:f>
      </x:c>
      <x:c r="P791" s="12" t="str">
        <x:f>IF(D791="","",HYPERLINK("https://wa.me/"&amp;REGEXREPLACE(D791,"[^\d]","")&amp;"?text="&amp;ENCODEURL(O791),"واتساب 3"))</x:f>
      </x:c>
    </x:row>
    <x:row r="792" ht="15" hidden="0" customHeight="1">
      <x:c r="A792" s="12" t="str">
        <x:f>IF(Leads!A792="","",Leads!A792)</x:f>
      </x:c>
      <x:c r="B792" s="12" t="str">
        <x:f>IF(Leads!F792="","",Leads!F792)</x:f>
      </x:c>
      <x:c r="C792" s="12" t="str">
        <x:f>IF(Leads!G792="","",Leads!G792)</x:f>
      </x:c>
      <x:c r="D792" s="12" t="str">
        <x:f>IF(Leads!O792="","",Leads!O792)</x:f>
      </x:c>
      <x:c r="E792" s="12" t="str">
        <x:f>IF(Leads!AV792="","",Leads!AV792)</x:f>
      </x:c>
      <x:c r="F792" s="12" t="str">
        <x:f>IF(Leads!AX792="","",Leads!AX792)</x:f>
      </x:c>
      <x:c r="G792" s="12" t="str">
        <x:f>IF(Leads!BC792="","",Leads!BC792)</x:f>
      </x:c>
      <x:c r="H792" s="12" t="str">
        <x:f>IF(Leads!BE792="","",Leads!BE792)</x:f>
      </x:c>
      <x:c r="I792" s="12" t="str">
        <x:f>IF(Leads!BG792="","",Leads!BG792)</x:f>
      </x:c>
      <x:c r="J792" s="12" t="str">
        <x:f>IF(Leads!BH792="","",Leads!BH792)</x:f>
      </x:c>
      <x:c r="K792" s="12" t="str">
        <x:f>IF(A792="","","مرحبًا "&amp;C792&amp;CHAR(10)&amp;CHAR(10)&amp;"شكرًا لإتمام تقييم DBD الخاص بعيادة "&amp;B792&amp;"."&amp;CHAR(10)&amp;"نتيجتكم الحالية: "&amp;E792&amp;"%."&amp;CHAR(10)&amp;"أولوية التحسين الأولى: "&amp;F792&amp;"."&amp;IF(J792&lt;&gt;"",CHAR(10)&amp;CHAR(10)&amp;"رابط التقرير: "&amp;J792,"")&amp;CHAR(10)&amp;CHAR(10)&amp;"إذا أحببت، يمكننا مساعدتك في فهم التقرير وتحديد أفضل خطوة تالية لعيادتكم.")</x:f>
      </x:c>
      <x:c r="L792" s="12" t="str">
        <x:f>IF(D792="","",HYPERLINK("https://wa.me/"&amp;REGEXREPLACE(D792,"[^\d]","")&amp;"?text="&amp;ENCODEURL(K792),"واتساب 1"))</x:f>
      </x:c>
      <x:c r="M792" s="12" t="str">
        <x:f>IF(A792="","","مرحبًا "&amp;C792&amp;CHAR(10)&amp;CHAR(10)&amp;"بناءً على نتيجة تقييم عيادة "&amp;B792&amp;"، فإن الترشيح الأقوى لكم الآن هو: "&amp;G792&amp;"."&amp;CHAR(10)&amp;"هذا الخيار يساعدكم في معالجة أكبر فجوة حالية بشكل عملي ومباشر."&amp;IF(J792&lt;&gt;"",CHAR(10)&amp;CHAR(10)&amp;"رابط التقرير: "&amp;J792,"")&amp;CHAR(10)&amp;CHAR(10)&amp;"إذا رغبت، يمكننا توضيح لماذا هذا الكورس هو الأنسب لكم الآن.")</x:f>
      </x:c>
      <x:c r="N792" s="12" t="str">
        <x:f>IF(D792="","",HYPERLINK("https://wa.me/"&amp;REGEXREPLACE(D792,"[^\d]","")&amp;"?text="&amp;ENCODEURL(M792),"واتساب 2"))</x:f>
      </x:c>
      <x:c r="O792" s="12" t="str">
        <x:f>IF(A792="","","مرحبًا "&amp;C792&amp;CHAR(10)&amp;CHAR(10)&amp;"إذا كانت التحديات لديكم تحتاج حلًا أشمل، فالبرنامج الكامل المناسب لكم هو: "&amp;H792&amp;"."&amp;IF(I792&lt;&gt;"",CHAR(10)&amp;"كما يمكنكم أيضًا حجز: "&amp;I792&amp;".","")&amp;IF(J792&lt;&gt;"",CHAR(10)&amp;CHAR(10)&amp;"رابط التقرير: "&amp;J792,"")&amp;CHAR(10)&amp;CHAR(10)&amp;"يسعدنا مساعدتكم في اختيار المسار الأنسب حسب وضع العيادة الحالي.")</x:f>
      </x:c>
      <x:c r="P792" s="12" t="str">
        <x:f>IF(D792="","",HYPERLINK("https://wa.me/"&amp;REGEXREPLACE(D792,"[^\d]","")&amp;"?text="&amp;ENCODEURL(O792),"واتساب 3"))</x:f>
      </x:c>
    </x:row>
    <x:row r="793" ht="15" hidden="0" customHeight="1">
      <x:c r="A793" s="12" t="str">
        <x:f>IF(Leads!A793="","",Leads!A793)</x:f>
      </x:c>
      <x:c r="B793" s="12" t="str">
        <x:f>IF(Leads!F793="","",Leads!F793)</x:f>
      </x:c>
      <x:c r="C793" s="12" t="str">
        <x:f>IF(Leads!G793="","",Leads!G793)</x:f>
      </x:c>
      <x:c r="D793" s="12" t="str">
        <x:f>IF(Leads!O793="","",Leads!O793)</x:f>
      </x:c>
      <x:c r="E793" s="12" t="str">
        <x:f>IF(Leads!AV793="","",Leads!AV793)</x:f>
      </x:c>
      <x:c r="F793" s="12" t="str">
        <x:f>IF(Leads!AX793="","",Leads!AX793)</x:f>
      </x:c>
      <x:c r="G793" s="12" t="str">
        <x:f>IF(Leads!BC793="","",Leads!BC793)</x:f>
      </x:c>
      <x:c r="H793" s="12" t="str">
        <x:f>IF(Leads!BE793="","",Leads!BE793)</x:f>
      </x:c>
      <x:c r="I793" s="12" t="str">
        <x:f>IF(Leads!BG793="","",Leads!BG793)</x:f>
      </x:c>
      <x:c r="J793" s="12" t="str">
        <x:f>IF(Leads!BH793="","",Leads!BH793)</x:f>
      </x:c>
      <x:c r="K793" s="12" t="str">
        <x:f>IF(A793="","","مرحبًا "&amp;C793&amp;CHAR(10)&amp;CHAR(10)&amp;"شكرًا لإتمام تقييم DBD الخاص بعيادة "&amp;B793&amp;"."&amp;CHAR(10)&amp;"نتيجتكم الحالية: "&amp;E793&amp;"%."&amp;CHAR(10)&amp;"أولوية التحسين الأولى: "&amp;F793&amp;"."&amp;IF(J793&lt;&gt;"",CHAR(10)&amp;CHAR(10)&amp;"رابط التقرير: "&amp;J793,"")&amp;CHAR(10)&amp;CHAR(10)&amp;"إذا أحببت، يمكننا مساعدتك في فهم التقرير وتحديد أفضل خطوة تالية لعيادتكم.")</x:f>
      </x:c>
      <x:c r="L793" s="12" t="str">
        <x:f>IF(D793="","",HYPERLINK("https://wa.me/"&amp;REGEXREPLACE(D793,"[^\d]","")&amp;"?text="&amp;ENCODEURL(K793),"واتساب 1"))</x:f>
      </x:c>
      <x:c r="M793" s="12" t="str">
        <x:f>IF(A793="","","مرحبًا "&amp;C793&amp;CHAR(10)&amp;CHAR(10)&amp;"بناءً على نتيجة تقييم عيادة "&amp;B793&amp;"، فإن الترشيح الأقوى لكم الآن هو: "&amp;G793&amp;"."&amp;CHAR(10)&amp;"هذا الخيار يساعدكم في معالجة أكبر فجوة حالية بشكل عملي ومباشر."&amp;IF(J793&lt;&gt;"",CHAR(10)&amp;CHAR(10)&amp;"رابط التقرير: "&amp;J793,"")&amp;CHAR(10)&amp;CHAR(10)&amp;"إذا رغبت، يمكننا توضيح لماذا هذا الكورس هو الأنسب لكم الآن.")</x:f>
      </x:c>
      <x:c r="N793" s="12" t="str">
        <x:f>IF(D793="","",HYPERLINK("https://wa.me/"&amp;REGEXREPLACE(D793,"[^\d]","")&amp;"?text="&amp;ENCODEURL(M793),"واتساب 2"))</x:f>
      </x:c>
      <x:c r="O793" s="12" t="str">
        <x:f>IF(A793="","","مرحبًا "&amp;C793&amp;CHAR(10)&amp;CHAR(10)&amp;"إذا كانت التحديات لديكم تحتاج حلًا أشمل، فالبرنامج الكامل المناسب لكم هو: "&amp;H793&amp;"."&amp;IF(I793&lt;&gt;"",CHAR(10)&amp;"كما يمكنكم أيضًا حجز: "&amp;I793&amp;".","")&amp;IF(J793&lt;&gt;"",CHAR(10)&amp;CHAR(10)&amp;"رابط التقرير: "&amp;J793,"")&amp;CHAR(10)&amp;CHAR(10)&amp;"يسعدنا مساعدتكم في اختيار المسار الأنسب حسب وضع العيادة الحالي.")</x:f>
      </x:c>
      <x:c r="P793" s="12" t="str">
        <x:f>IF(D793="","",HYPERLINK("https://wa.me/"&amp;REGEXREPLACE(D793,"[^\d]","")&amp;"?text="&amp;ENCODEURL(O793),"واتساب 3"))</x:f>
      </x:c>
    </x:row>
    <x:row r="794" ht="15" hidden="0" customHeight="1">
      <x:c r="A794" s="12" t="str">
        <x:f>IF(Leads!A794="","",Leads!A794)</x:f>
      </x:c>
      <x:c r="B794" s="12" t="str">
        <x:f>IF(Leads!F794="","",Leads!F794)</x:f>
      </x:c>
      <x:c r="C794" s="12" t="str">
        <x:f>IF(Leads!G794="","",Leads!G794)</x:f>
      </x:c>
      <x:c r="D794" s="12" t="str">
        <x:f>IF(Leads!O794="","",Leads!O794)</x:f>
      </x:c>
      <x:c r="E794" s="12" t="str">
        <x:f>IF(Leads!AV794="","",Leads!AV794)</x:f>
      </x:c>
      <x:c r="F794" s="12" t="str">
        <x:f>IF(Leads!AX794="","",Leads!AX794)</x:f>
      </x:c>
      <x:c r="G794" s="12" t="str">
        <x:f>IF(Leads!BC794="","",Leads!BC794)</x:f>
      </x:c>
      <x:c r="H794" s="12" t="str">
        <x:f>IF(Leads!BE794="","",Leads!BE794)</x:f>
      </x:c>
      <x:c r="I794" s="12" t="str">
        <x:f>IF(Leads!BG794="","",Leads!BG794)</x:f>
      </x:c>
      <x:c r="J794" s="12" t="str">
        <x:f>IF(Leads!BH794="","",Leads!BH794)</x:f>
      </x:c>
      <x:c r="K794" s="12" t="str">
        <x:f>IF(A794="","","مرحبًا "&amp;C794&amp;CHAR(10)&amp;CHAR(10)&amp;"شكرًا لإتمام تقييم DBD الخاص بعيادة "&amp;B794&amp;"."&amp;CHAR(10)&amp;"نتيجتكم الحالية: "&amp;E794&amp;"%."&amp;CHAR(10)&amp;"أولوية التحسين الأولى: "&amp;F794&amp;"."&amp;IF(J794&lt;&gt;"",CHAR(10)&amp;CHAR(10)&amp;"رابط التقرير: "&amp;J794,"")&amp;CHAR(10)&amp;CHAR(10)&amp;"إذا أحببت، يمكننا مساعدتك في فهم التقرير وتحديد أفضل خطوة تالية لعيادتكم.")</x:f>
      </x:c>
      <x:c r="L794" s="12" t="str">
        <x:f>IF(D794="","",HYPERLINK("https://wa.me/"&amp;REGEXREPLACE(D794,"[^\d]","")&amp;"?text="&amp;ENCODEURL(K794),"واتساب 1"))</x:f>
      </x:c>
      <x:c r="M794" s="12" t="str">
        <x:f>IF(A794="","","مرحبًا "&amp;C794&amp;CHAR(10)&amp;CHAR(10)&amp;"بناءً على نتيجة تقييم عيادة "&amp;B794&amp;"، فإن الترشيح الأقوى لكم الآن هو: "&amp;G794&amp;"."&amp;CHAR(10)&amp;"هذا الخيار يساعدكم في معالجة أكبر فجوة حالية بشكل عملي ومباشر."&amp;IF(J794&lt;&gt;"",CHAR(10)&amp;CHAR(10)&amp;"رابط التقرير: "&amp;J794,"")&amp;CHAR(10)&amp;CHAR(10)&amp;"إذا رغبت، يمكننا توضيح لماذا هذا الكورس هو الأنسب لكم الآن.")</x:f>
      </x:c>
      <x:c r="N794" s="12" t="str">
        <x:f>IF(D794="","",HYPERLINK("https://wa.me/"&amp;REGEXREPLACE(D794,"[^\d]","")&amp;"?text="&amp;ENCODEURL(M794),"واتساب 2"))</x:f>
      </x:c>
      <x:c r="O794" s="12" t="str">
        <x:f>IF(A794="","","مرحبًا "&amp;C794&amp;CHAR(10)&amp;CHAR(10)&amp;"إذا كانت التحديات لديكم تحتاج حلًا أشمل، فالبرنامج الكامل المناسب لكم هو: "&amp;H794&amp;"."&amp;IF(I794&lt;&gt;"",CHAR(10)&amp;"كما يمكنكم أيضًا حجز: "&amp;I794&amp;".","")&amp;IF(J794&lt;&gt;"",CHAR(10)&amp;CHAR(10)&amp;"رابط التقرير: "&amp;J794,"")&amp;CHAR(10)&amp;CHAR(10)&amp;"يسعدنا مساعدتكم في اختيار المسار الأنسب حسب وضع العيادة الحالي.")</x:f>
      </x:c>
      <x:c r="P794" s="12" t="str">
        <x:f>IF(D794="","",HYPERLINK("https://wa.me/"&amp;REGEXREPLACE(D794,"[^\d]","")&amp;"?text="&amp;ENCODEURL(O794),"واتساب 3"))</x:f>
      </x:c>
    </x:row>
    <x:row r="795" ht="15" hidden="0" customHeight="1">
      <x:c r="A795" s="12" t="str">
        <x:f>IF(Leads!A795="","",Leads!A795)</x:f>
      </x:c>
      <x:c r="B795" s="12" t="str">
        <x:f>IF(Leads!F795="","",Leads!F795)</x:f>
      </x:c>
      <x:c r="C795" s="12" t="str">
        <x:f>IF(Leads!G795="","",Leads!G795)</x:f>
      </x:c>
      <x:c r="D795" s="12" t="str">
        <x:f>IF(Leads!O795="","",Leads!O795)</x:f>
      </x:c>
      <x:c r="E795" s="12" t="str">
        <x:f>IF(Leads!AV795="","",Leads!AV795)</x:f>
      </x:c>
      <x:c r="F795" s="12" t="str">
        <x:f>IF(Leads!AX795="","",Leads!AX795)</x:f>
      </x:c>
      <x:c r="G795" s="12" t="str">
        <x:f>IF(Leads!BC795="","",Leads!BC795)</x:f>
      </x:c>
      <x:c r="H795" s="12" t="str">
        <x:f>IF(Leads!BE795="","",Leads!BE795)</x:f>
      </x:c>
      <x:c r="I795" s="12" t="str">
        <x:f>IF(Leads!BG795="","",Leads!BG795)</x:f>
      </x:c>
      <x:c r="J795" s="12" t="str">
        <x:f>IF(Leads!BH795="","",Leads!BH795)</x:f>
      </x:c>
      <x:c r="K795" s="12" t="str">
        <x:f>IF(A795="","","مرحبًا "&amp;C795&amp;CHAR(10)&amp;CHAR(10)&amp;"شكرًا لإتمام تقييم DBD الخاص بعيادة "&amp;B795&amp;"."&amp;CHAR(10)&amp;"نتيجتكم الحالية: "&amp;E795&amp;"%."&amp;CHAR(10)&amp;"أولوية التحسين الأولى: "&amp;F795&amp;"."&amp;IF(J795&lt;&gt;"",CHAR(10)&amp;CHAR(10)&amp;"رابط التقرير: "&amp;J795,"")&amp;CHAR(10)&amp;CHAR(10)&amp;"إذا أحببت، يمكننا مساعدتك في فهم التقرير وتحديد أفضل خطوة تالية لعيادتكم.")</x:f>
      </x:c>
      <x:c r="L795" s="12" t="str">
        <x:f>IF(D795="","",HYPERLINK("https://wa.me/"&amp;REGEXREPLACE(D795,"[^\d]","")&amp;"?text="&amp;ENCODEURL(K795),"واتساب 1"))</x:f>
      </x:c>
      <x:c r="M795" s="12" t="str">
        <x:f>IF(A795="","","مرحبًا "&amp;C795&amp;CHAR(10)&amp;CHAR(10)&amp;"بناءً على نتيجة تقييم عيادة "&amp;B795&amp;"، فإن الترشيح الأقوى لكم الآن هو: "&amp;G795&amp;"."&amp;CHAR(10)&amp;"هذا الخيار يساعدكم في معالجة أكبر فجوة حالية بشكل عملي ومباشر."&amp;IF(J795&lt;&gt;"",CHAR(10)&amp;CHAR(10)&amp;"رابط التقرير: "&amp;J795,"")&amp;CHAR(10)&amp;CHAR(10)&amp;"إذا رغبت، يمكننا توضيح لماذا هذا الكورس هو الأنسب لكم الآن.")</x:f>
      </x:c>
      <x:c r="N795" s="12" t="str">
        <x:f>IF(D795="","",HYPERLINK("https://wa.me/"&amp;REGEXREPLACE(D795,"[^\d]","")&amp;"?text="&amp;ENCODEURL(M795),"واتساب 2"))</x:f>
      </x:c>
      <x:c r="O795" s="12" t="str">
        <x:f>IF(A795="","","مرحبًا "&amp;C795&amp;CHAR(10)&amp;CHAR(10)&amp;"إذا كانت التحديات لديكم تحتاج حلًا أشمل، فالبرنامج الكامل المناسب لكم هو: "&amp;H795&amp;"."&amp;IF(I795&lt;&gt;"",CHAR(10)&amp;"كما يمكنكم أيضًا حجز: "&amp;I795&amp;".","")&amp;IF(J795&lt;&gt;"",CHAR(10)&amp;CHAR(10)&amp;"رابط التقرير: "&amp;J795,"")&amp;CHAR(10)&amp;CHAR(10)&amp;"يسعدنا مساعدتكم في اختيار المسار الأنسب حسب وضع العيادة الحالي.")</x:f>
      </x:c>
      <x:c r="P795" s="12" t="str">
        <x:f>IF(D795="","",HYPERLINK("https://wa.me/"&amp;REGEXREPLACE(D795,"[^\d]","")&amp;"?text="&amp;ENCODEURL(O795),"واتساب 3"))</x:f>
      </x:c>
    </x:row>
    <x:row r="796" ht="15" hidden="0" customHeight="1">
      <x:c r="A796" s="12" t="str">
        <x:f>IF(Leads!A796="","",Leads!A796)</x:f>
      </x:c>
      <x:c r="B796" s="12" t="str">
        <x:f>IF(Leads!F796="","",Leads!F796)</x:f>
      </x:c>
      <x:c r="C796" s="12" t="str">
        <x:f>IF(Leads!G796="","",Leads!G796)</x:f>
      </x:c>
      <x:c r="D796" s="12" t="str">
        <x:f>IF(Leads!O796="","",Leads!O796)</x:f>
      </x:c>
      <x:c r="E796" s="12" t="str">
        <x:f>IF(Leads!AV796="","",Leads!AV796)</x:f>
      </x:c>
      <x:c r="F796" s="12" t="str">
        <x:f>IF(Leads!AX796="","",Leads!AX796)</x:f>
      </x:c>
      <x:c r="G796" s="12" t="str">
        <x:f>IF(Leads!BC796="","",Leads!BC796)</x:f>
      </x:c>
      <x:c r="H796" s="12" t="str">
        <x:f>IF(Leads!BE796="","",Leads!BE796)</x:f>
      </x:c>
      <x:c r="I796" s="12" t="str">
        <x:f>IF(Leads!BG796="","",Leads!BG796)</x:f>
      </x:c>
      <x:c r="J796" s="12" t="str">
        <x:f>IF(Leads!BH796="","",Leads!BH796)</x:f>
      </x:c>
      <x:c r="K796" s="12" t="str">
        <x:f>IF(A796="","","مرحبًا "&amp;C796&amp;CHAR(10)&amp;CHAR(10)&amp;"شكرًا لإتمام تقييم DBD الخاص بعيادة "&amp;B796&amp;"."&amp;CHAR(10)&amp;"نتيجتكم الحالية: "&amp;E796&amp;"%."&amp;CHAR(10)&amp;"أولوية التحسين الأولى: "&amp;F796&amp;"."&amp;IF(J796&lt;&gt;"",CHAR(10)&amp;CHAR(10)&amp;"رابط التقرير: "&amp;J796,"")&amp;CHAR(10)&amp;CHAR(10)&amp;"إذا أحببت، يمكننا مساعدتك في فهم التقرير وتحديد أفضل خطوة تالية لعيادتكم.")</x:f>
      </x:c>
      <x:c r="L796" s="12" t="str">
        <x:f>IF(D796="","",HYPERLINK("https://wa.me/"&amp;REGEXREPLACE(D796,"[^\d]","")&amp;"?text="&amp;ENCODEURL(K796),"واتساب 1"))</x:f>
      </x:c>
      <x:c r="M796" s="12" t="str">
        <x:f>IF(A796="","","مرحبًا "&amp;C796&amp;CHAR(10)&amp;CHAR(10)&amp;"بناءً على نتيجة تقييم عيادة "&amp;B796&amp;"، فإن الترشيح الأقوى لكم الآن هو: "&amp;G796&amp;"."&amp;CHAR(10)&amp;"هذا الخيار يساعدكم في معالجة أكبر فجوة حالية بشكل عملي ومباشر."&amp;IF(J796&lt;&gt;"",CHAR(10)&amp;CHAR(10)&amp;"رابط التقرير: "&amp;J796,"")&amp;CHAR(10)&amp;CHAR(10)&amp;"إذا رغبت، يمكننا توضيح لماذا هذا الكورس هو الأنسب لكم الآن.")</x:f>
      </x:c>
      <x:c r="N796" s="12" t="str">
        <x:f>IF(D796="","",HYPERLINK("https://wa.me/"&amp;REGEXREPLACE(D796,"[^\d]","")&amp;"?text="&amp;ENCODEURL(M796),"واتساب 2"))</x:f>
      </x:c>
      <x:c r="O796" s="12" t="str">
        <x:f>IF(A796="","","مرحبًا "&amp;C796&amp;CHAR(10)&amp;CHAR(10)&amp;"إذا كانت التحديات لديكم تحتاج حلًا أشمل، فالبرنامج الكامل المناسب لكم هو: "&amp;H796&amp;"."&amp;IF(I796&lt;&gt;"",CHAR(10)&amp;"كما يمكنكم أيضًا حجز: "&amp;I796&amp;".","")&amp;IF(J796&lt;&gt;"",CHAR(10)&amp;CHAR(10)&amp;"رابط التقرير: "&amp;J796,"")&amp;CHAR(10)&amp;CHAR(10)&amp;"يسعدنا مساعدتكم في اختيار المسار الأنسب حسب وضع العيادة الحالي.")</x:f>
      </x:c>
      <x:c r="P796" s="12" t="str">
        <x:f>IF(D796="","",HYPERLINK("https://wa.me/"&amp;REGEXREPLACE(D796,"[^\d]","")&amp;"?text="&amp;ENCODEURL(O796),"واتساب 3"))</x:f>
      </x:c>
    </x:row>
    <x:row r="797" ht="15" hidden="0" customHeight="1">
      <x:c r="A797" s="12" t="str">
        <x:f>IF(Leads!A797="","",Leads!A797)</x:f>
      </x:c>
      <x:c r="B797" s="12" t="str">
        <x:f>IF(Leads!F797="","",Leads!F797)</x:f>
      </x:c>
      <x:c r="C797" s="12" t="str">
        <x:f>IF(Leads!G797="","",Leads!G797)</x:f>
      </x:c>
      <x:c r="D797" s="12" t="str">
        <x:f>IF(Leads!O797="","",Leads!O797)</x:f>
      </x:c>
      <x:c r="E797" s="12" t="str">
        <x:f>IF(Leads!AV797="","",Leads!AV797)</x:f>
      </x:c>
      <x:c r="F797" s="12" t="str">
        <x:f>IF(Leads!AX797="","",Leads!AX797)</x:f>
      </x:c>
      <x:c r="G797" s="12" t="str">
        <x:f>IF(Leads!BC797="","",Leads!BC797)</x:f>
      </x:c>
      <x:c r="H797" s="12" t="str">
        <x:f>IF(Leads!BE797="","",Leads!BE797)</x:f>
      </x:c>
      <x:c r="I797" s="12" t="str">
        <x:f>IF(Leads!BG797="","",Leads!BG797)</x:f>
      </x:c>
      <x:c r="J797" s="12" t="str">
        <x:f>IF(Leads!BH797="","",Leads!BH797)</x:f>
      </x:c>
      <x:c r="K797" s="12" t="str">
        <x:f>IF(A797="","","مرحبًا "&amp;C797&amp;CHAR(10)&amp;CHAR(10)&amp;"شكرًا لإتمام تقييم DBD الخاص بعيادة "&amp;B797&amp;"."&amp;CHAR(10)&amp;"نتيجتكم الحالية: "&amp;E797&amp;"%."&amp;CHAR(10)&amp;"أولوية التحسين الأولى: "&amp;F797&amp;"."&amp;IF(J797&lt;&gt;"",CHAR(10)&amp;CHAR(10)&amp;"رابط التقرير: "&amp;J797,"")&amp;CHAR(10)&amp;CHAR(10)&amp;"إذا أحببت، يمكننا مساعدتك في فهم التقرير وتحديد أفضل خطوة تالية لعيادتكم.")</x:f>
      </x:c>
      <x:c r="L797" s="12" t="str">
        <x:f>IF(D797="","",HYPERLINK("https://wa.me/"&amp;REGEXREPLACE(D797,"[^\d]","")&amp;"?text="&amp;ENCODEURL(K797),"واتساب 1"))</x:f>
      </x:c>
      <x:c r="M797" s="12" t="str">
        <x:f>IF(A797="","","مرحبًا "&amp;C797&amp;CHAR(10)&amp;CHAR(10)&amp;"بناءً على نتيجة تقييم عيادة "&amp;B797&amp;"، فإن الترشيح الأقوى لكم الآن هو: "&amp;G797&amp;"."&amp;CHAR(10)&amp;"هذا الخيار يساعدكم في معالجة أكبر فجوة حالية بشكل عملي ومباشر."&amp;IF(J797&lt;&gt;"",CHAR(10)&amp;CHAR(10)&amp;"رابط التقرير: "&amp;J797,"")&amp;CHAR(10)&amp;CHAR(10)&amp;"إذا رغبت، يمكننا توضيح لماذا هذا الكورس هو الأنسب لكم الآن.")</x:f>
      </x:c>
      <x:c r="N797" s="12" t="str">
        <x:f>IF(D797="","",HYPERLINK("https://wa.me/"&amp;REGEXREPLACE(D797,"[^\d]","")&amp;"?text="&amp;ENCODEURL(M797),"واتساب 2"))</x:f>
      </x:c>
      <x:c r="O797" s="12" t="str">
        <x:f>IF(A797="","","مرحبًا "&amp;C797&amp;CHAR(10)&amp;CHAR(10)&amp;"إذا كانت التحديات لديكم تحتاج حلًا أشمل، فالبرنامج الكامل المناسب لكم هو: "&amp;H797&amp;"."&amp;IF(I797&lt;&gt;"",CHAR(10)&amp;"كما يمكنكم أيضًا حجز: "&amp;I797&amp;".","")&amp;IF(J797&lt;&gt;"",CHAR(10)&amp;CHAR(10)&amp;"رابط التقرير: "&amp;J797,"")&amp;CHAR(10)&amp;CHAR(10)&amp;"يسعدنا مساعدتكم في اختيار المسار الأنسب حسب وضع العيادة الحالي.")</x:f>
      </x:c>
      <x:c r="P797" s="12" t="str">
        <x:f>IF(D797="","",HYPERLINK("https://wa.me/"&amp;REGEXREPLACE(D797,"[^\d]","")&amp;"?text="&amp;ENCODEURL(O797),"واتساب 3"))</x:f>
      </x:c>
    </x:row>
    <x:row r="798" ht="15" hidden="0" customHeight="1">
      <x:c r="A798" s="12" t="str">
        <x:f>IF(Leads!A798="","",Leads!A798)</x:f>
      </x:c>
      <x:c r="B798" s="12" t="str">
        <x:f>IF(Leads!F798="","",Leads!F798)</x:f>
      </x:c>
      <x:c r="C798" s="12" t="str">
        <x:f>IF(Leads!G798="","",Leads!G798)</x:f>
      </x:c>
      <x:c r="D798" s="12" t="str">
        <x:f>IF(Leads!O798="","",Leads!O798)</x:f>
      </x:c>
      <x:c r="E798" s="12" t="str">
        <x:f>IF(Leads!AV798="","",Leads!AV798)</x:f>
      </x:c>
      <x:c r="F798" s="12" t="str">
        <x:f>IF(Leads!AX798="","",Leads!AX798)</x:f>
      </x:c>
      <x:c r="G798" s="12" t="str">
        <x:f>IF(Leads!BC798="","",Leads!BC798)</x:f>
      </x:c>
      <x:c r="H798" s="12" t="str">
        <x:f>IF(Leads!BE798="","",Leads!BE798)</x:f>
      </x:c>
      <x:c r="I798" s="12" t="str">
        <x:f>IF(Leads!BG798="","",Leads!BG798)</x:f>
      </x:c>
      <x:c r="J798" s="12" t="str">
        <x:f>IF(Leads!BH798="","",Leads!BH798)</x:f>
      </x:c>
      <x:c r="K798" s="12" t="str">
        <x:f>IF(A798="","","مرحبًا "&amp;C798&amp;CHAR(10)&amp;CHAR(10)&amp;"شكرًا لإتمام تقييم DBD الخاص بعيادة "&amp;B798&amp;"."&amp;CHAR(10)&amp;"نتيجتكم الحالية: "&amp;E798&amp;"%."&amp;CHAR(10)&amp;"أولوية التحسين الأولى: "&amp;F798&amp;"."&amp;IF(J798&lt;&gt;"",CHAR(10)&amp;CHAR(10)&amp;"رابط التقرير: "&amp;J798,"")&amp;CHAR(10)&amp;CHAR(10)&amp;"إذا أحببت، يمكننا مساعدتك في فهم التقرير وتحديد أفضل خطوة تالية لعيادتكم.")</x:f>
      </x:c>
      <x:c r="L798" s="12" t="str">
        <x:f>IF(D798="","",HYPERLINK("https://wa.me/"&amp;REGEXREPLACE(D798,"[^\d]","")&amp;"?text="&amp;ENCODEURL(K798),"واتساب 1"))</x:f>
      </x:c>
      <x:c r="M798" s="12" t="str">
        <x:f>IF(A798="","","مرحبًا "&amp;C798&amp;CHAR(10)&amp;CHAR(10)&amp;"بناءً على نتيجة تقييم عيادة "&amp;B798&amp;"، فإن الترشيح الأقوى لكم الآن هو: "&amp;G798&amp;"."&amp;CHAR(10)&amp;"هذا الخيار يساعدكم في معالجة أكبر فجوة حالية بشكل عملي ومباشر."&amp;IF(J798&lt;&gt;"",CHAR(10)&amp;CHAR(10)&amp;"رابط التقرير: "&amp;J798,"")&amp;CHAR(10)&amp;CHAR(10)&amp;"إذا رغبت، يمكننا توضيح لماذا هذا الكورس هو الأنسب لكم الآن.")</x:f>
      </x:c>
      <x:c r="N798" s="12" t="str">
        <x:f>IF(D798="","",HYPERLINK("https://wa.me/"&amp;REGEXREPLACE(D798,"[^\d]","")&amp;"?text="&amp;ENCODEURL(M798),"واتساب 2"))</x:f>
      </x:c>
      <x:c r="O798" s="12" t="str">
        <x:f>IF(A798="","","مرحبًا "&amp;C798&amp;CHAR(10)&amp;CHAR(10)&amp;"إذا كانت التحديات لديكم تحتاج حلًا أشمل، فالبرنامج الكامل المناسب لكم هو: "&amp;H798&amp;"."&amp;IF(I798&lt;&gt;"",CHAR(10)&amp;"كما يمكنكم أيضًا حجز: "&amp;I798&amp;".","")&amp;IF(J798&lt;&gt;"",CHAR(10)&amp;CHAR(10)&amp;"رابط التقرير: "&amp;J798,"")&amp;CHAR(10)&amp;CHAR(10)&amp;"يسعدنا مساعدتكم في اختيار المسار الأنسب حسب وضع العيادة الحالي.")</x:f>
      </x:c>
      <x:c r="P798" s="12" t="str">
        <x:f>IF(D798="","",HYPERLINK("https://wa.me/"&amp;REGEXREPLACE(D798,"[^\d]","")&amp;"?text="&amp;ENCODEURL(O798),"واتساب 3"))</x:f>
      </x:c>
    </x:row>
    <x:row r="799" ht="15" hidden="0" customHeight="1">
      <x:c r="A799" s="12" t="str">
        <x:f>IF(Leads!A799="","",Leads!A799)</x:f>
      </x:c>
      <x:c r="B799" s="12" t="str">
        <x:f>IF(Leads!F799="","",Leads!F799)</x:f>
      </x:c>
      <x:c r="C799" s="12" t="str">
        <x:f>IF(Leads!G799="","",Leads!G799)</x:f>
      </x:c>
      <x:c r="D799" s="12" t="str">
        <x:f>IF(Leads!O799="","",Leads!O799)</x:f>
      </x:c>
      <x:c r="E799" s="12" t="str">
        <x:f>IF(Leads!AV799="","",Leads!AV799)</x:f>
      </x:c>
      <x:c r="F799" s="12" t="str">
        <x:f>IF(Leads!AX799="","",Leads!AX799)</x:f>
      </x:c>
      <x:c r="G799" s="12" t="str">
        <x:f>IF(Leads!BC799="","",Leads!BC799)</x:f>
      </x:c>
      <x:c r="H799" s="12" t="str">
        <x:f>IF(Leads!BE799="","",Leads!BE799)</x:f>
      </x:c>
      <x:c r="I799" s="12" t="str">
        <x:f>IF(Leads!BG799="","",Leads!BG799)</x:f>
      </x:c>
      <x:c r="J799" s="12" t="str">
        <x:f>IF(Leads!BH799="","",Leads!BH799)</x:f>
      </x:c>
      <x:c r="K799" s="12" t="str">
        <x:f>IF(A799="","","مرحبًا "&amp;C799&amp;CHAR(10)&amp;CHAR(10)&amp;"شكرًا لإتمام تقييم DBD الخاص بعيادة "&amp;B799&amp;"."&amp;CHAR(10)&amp;"نتيجتكم الحالية: "&amp;E799&amp;"%."&amp;CHAR(10)&amp;"أولوية التحسين الأولى: "&amp;F799&amp;"."&amp;IF(J799&lt;&gt;"",CHAR(10)&amp;CHAR(10)&amp;"رابط التقرير: "&amp;J799,"")&amp;CHAR(10)&amp;CHAR(10)&amp;"إذا أحببت، يمكننا مساعدتك في فهم التقرير وتحديد أفضل خطوة تالية لعيادتكم.")</x:f>
      </x:c>
      <x:c r="L799" s="12" t="str">
        <x:f>IF(D799="","",HYPERLINK("https://wa.me/"&amp;REGEXREPLACE(D799,"[^\d]","")&amp;"?text="&amp;ENCODEURL(K799),"واتساب 1"))</x:f>
      </x:c>
      <x:c r="M799" s="12" t="str">
        <x:f>IF(A799="","","مرحبًا "&amp;C799&amp;CHAR(10)&amp;CHAR(10)&amp;"بناءً على نتيجة تقييم عيادة "&amp;B799&amp;"، فإن الترشيح الأقوى لكم الآن هو: "&amp;G799&amp;"."&amp;CHAR(10)&amp;"هذا الخيار يساعدكم في معالجة أكبر فجوة حالية بشكل عملي ومباشر."&amp;IF(J799&lt;&gt;"",CHAR(10)&amp;CHAR(10)&amp;"رابط التقرير: "&amp;J799,"")&amp;CHAR(10)&amp;CHAR(10)&amp;"إذا رغبت، يمكننا توضيح لماذا هذا الكورس هو الأنسب لكم الآن.")</x:f>
      </x:c>
      <x:c r="N799" s="12" t="str">
        <x:f>IF(D799="","",HYPERLINK("https://wa.me/"&amp;REGEXREPLACE(D799,"[^\d]","")&amp;"?text="&amp;ENCODEURL(M799),"واتساب 2"))</x:f>
      </x:c>
      <x:c r="O799" s="12" t="str">
        <x:f>IF(A799="","","مرحبًا "&amp;C799&amp;CHAR(10)&amp;CHAR(10)&amp;"إذا كانت التحديات لديكم تحتاج حلًا أشمل، فالبرنامج الكامل المناسب لكم هو: "&amp;H799&amp;"."&amp;IF(I799&lt;&gt;"",CHAR(10)&amp;"كما يمكنكم أيضًا حجز: "&amp;I799&amp;".","")&amp;IF(J799&lt;&gt;"",CHAR(10)&amp;CHAR(10)&amp;"رابط التقرير: "&amp;J799,"")&amp;CHAR(10)&amp;CHAR(10)&amp;"يسعدنا مساعدتكم في اختيار المسار الأنسب حسب وضع العيادة الحالي.")</x:f>
      </x:c>
      <x:c r="P799" s="12" t="str">
        <x:f>IF(D799="","",HYPERLINK("https://wa.me/"&amp;REGEXREPLACE(D799,"[^\d]","")&amp;"?text="&amp;ENCODEURL(O799),"واتساب 3"))</x:f>
      </x:c>
    </x:row>
    <x:row r="800" ht="15" hidden="0" customHeight="1">
      <x:c r="A800" s="12" t="str">
        <x:f>IF(Leads!A800="","",Leads!A800)</x:f>
      </x:c>
      <x:c r="B800" s="12" t="str">
        <x:f>IF(Leads!F800="","",Leads!F800)</x:f>
      </x:c>
      <x:c r="C800" s="12" t="str">
        <x:f>IF(Leads!G800="","",Leads!G800)</x:f>
      </x:c>
      <x:c r="D800" s="12" t="str">
        <x:f>IF(Leads!O800="","",Leads!O800)</x:f>
      </x:c>
      <x:c r="E800" s="12" t="str">
        <x:f>IF(Leads!AV800="","",Leads!AV800)</x:f>
      </x:c>
      <x:c r="F800" s="12" t="str">
        <x:f>IF(Leads!AX800="","",Leads!AX800)</x:f>
      </x:c>
      <x:c r="G800" s="12" t="str">
        <x:f>IF(Leads!BC800="","",Leads!BC800)</x:f>
      </x:c>
      <x:c r="H800" s="12" t="str">
        <x:f>IF(Leads!BE800="","",Leads!BE800)</x:f>
      </x:c>
      <x:c r="I800" s="12" t="str">
        <x:f>IF(Leads!BG800="","",Leads!BG800)</x:f>
      </x:c>
      <x:c r="J800" s="12" t="str">
        <x:f>IF(Leads!BH800="","",Leads!BH800)</x:f>
      </x:c>
      <x:c r="K800" s="12" t="str">
        <x:f>IF(A800="","","مرحبًا "&amp;C800&amp;CHAR(10)&amp;CHAR(10)&amp;"شكرًا لإتمام تقييم DBD الخاص بعيادة "&amp;B800&amp;"."&amp;CHAR(10)&amp;"نتيجتكم الحالية: "&amp;E800&amp;"%."&amp;CHAR(10)&amp;"أولوية التحسين الأولى: "&amp;F800&amp;"."&amp;IF(J800&lt;&gt;"",CHAR(10)&amp;CHAR(10)&amp;"رابط التقرير: "&amp;J800,"")&amp;CHAR(10)&amp;CHAR(10)&amp;"إذا أحببت، يمكننا مساعدتك في فهم التقرير وتحديد أفضل خطوة تالية لعيادتكم.")</x:f>
      </x:c>
      <x:c r="L800" s="12" t="str">
        <x:f>IF(D800="","",HYPERLINK("https://wa.me/"&amp;REGEXREPLACE(D800,"[^\d]","")&amp;"?text="&amp;ENCODEURL(K800),"واتساب 1"))</x:f>
      </x:c>
      <x:c r="M800" s="12" t="str">
        <x:f>IF(A800="","","مرحبًا "&amp;C800&amp;CHAR(10)&amp;CHAR(10)&amp;"بناءً على نتيجة تقييم عيادة "&amp;B800&amp;"، فإن الترشيح الأقوى لكم الآن هو: "&amp;G800&amp;"."&amp;CHAR(10)&amp;"هذا الخيار يساعدكم في معالجة أكبر فجوة حالية بشكل عملي ومباشر."&amp;IF(J800&lt;&gt;"",CHAR(10)&amp;CHAR(10)&amp;"رابط التقرير: "&amp;J800,"")&amp;CHAR(10)&amp;CHAR(10)&amp;"إذا رغبت، يمكننا توضيح لماذا هذا الكورس هو الأنسب لكم الآن.")</x:f>
      </x:c>
      <x:c r="N800" s="12" t="str">
        <x:f>IF(D800="","",HYPERLINK("https://wa.me/"&amp;REGEXREPLACE(D800,"[^\d]","")&amp;"?text="&amp;ENCODEURL(M800),"واتساب 2"))</x:f>
      </x:c>
      <x:c r="O800" s="12" t="str">
        <x:f>IF(A800="","","مرحبًا "&amp;C800&amp;CHAR(10)&amp;CHAR(10)&amp;"إذا كانت التحديات لديكم تحتاج حلًا أشمل، فالبرنامج الكامل المناسب لكم هو: "&amp;H800&amp;"."&amp;IF(I800&lt;&gt;"",CHAR(10)&amp;"كما يمكنكم أيضًا حجز: "&amp;I800&amp;".","")&amp;IF(J800&lt;&gt;"",CHAR(10)&amp;CHAR(10)&amp;"رابط التقرير: "&amp;J800,"")&amp;CHAR(10)&amp;CHAR(10)&amp;"يسعدنا مساعدتكم في اختيار المسار الأنسب حسب وضع العيادة الحالي.")</x:f>
      </x:c>
      <x:c r="P800" s="12" t="str">
        <x:f>IF(D800="","",HYPERLINK("https://wa.me/"&amp;REGEXREPLACE(D800,"[^\d]","")&amp;"?text="&amp;ENCODEURL(O800),"واتساب 3"))</x:f>
      </x:c>
    </x:row>
    <x:row r="801" ht="15" hidden="0" customHeight="1">
      <x:c r="A801" s="12" t="str">
        <x:f>IF(Leads!A801="","",Leads!A801)</x:f>
      </x:c>
      <x:c r="B801" s="12" t="str">
        <x:f>IF(Leads!F801="","",Leads!F801)</x:f>
      </x:c>
      <x:c r="C801" s="12" t="str">
        <x:f>IF(Leads!G801="","",Leads!G801)</x:f>
      </x:c>
      <x:c r="D801" s="12" t="str">
        <x:f>IF(Leads!O801="","",Leads!O801)</x:f>
      </x:c>
      <x:c r="E801" s="12" t="str">
        <x:f>IF(Leads!AV801="","",Leads!AV801)</x:f>
      </x:c>
      <x:c r="F801" s="12" t="str">
        <x:f>IF(Leads!AX801="","",Leads!AX801)</x:f>
      </x:c>
      <x:c r="G801" s="12" t="str">
        <x:f>IF(Leads!BC801="","",Leads!BC801)</x:f>
      </x:c>
      <x:c r="H801" s="12" t="str">
        <x:f>IF(Leads!BE801="","",Leads!BE801)</x:f>
      </x:c>
      <x:c r="I801" s="12" t="str">
        <x:f>IF(Leads!BG801="","",Leads!BG801)</x:f>
      </x:c>
      <x:c r="J801" s="12" t="str">
        <x:f>IF(Leads!BH801="","",Leads!BH801)</x:f>
      </x:c>
      <x:c r="K801" s="12" t="str">
        <x:f>IF(A801="","","مرحبًا "&amp;C801&amp;CHAR(10)&amp;CHAR(10)&amp;"شكرًا لإتمام تقييم DBD الخاص بعيادة "&amp;B801&amp;"."&amp;CHAR(10)&amp;"نتيجتكم الحالية: "&amp;E801&amp;"%."&amp;CHAR(10)&amp;"أولوية التحسين الأولى: "&amp;F801&amp;"."&amp;IF(J801&lt;&gt;"",CHAR(10)&amp;CHAR(10)&amp;"رابط التقرير: "&amp;J801,"")&amp;CHAR(10)&amp;CHAR(10)&amp;"إذا أحببت، يمكننا مساعدتك في فهم التقرير وتحديد أفضل خطوة تالية لعيادتكم.")</x:f>
      </x:c>
      <x:c r="L801" s="12" t="str">
        <x:f>IF(D801="","",HYPERLINK("https://wa.me/"&amp;REGEXREPLACE(D801,"[^\d]","")&amp;"?text="&amp;ENCODEURL(K801),"واتساب 1"))</x:f>
      </x:c>
      <x:c r="M801" s="12" t="str">
        <x:f>IF(A801="","","مرحبًا "&amp;C801&amp;CHAR(10)&amp;CHAR(10)&amp;"بناءً على نتيجة تقييم عيادة "&amp;B801&amp;"، فإن الترشيح الأقوى لكم الآن هو: "&amp;G801&amp;"."&amp;CHAR(10)&amp;"هذا الخيار يساعدكم في معالجة أكبر فجوة حالية بشكل عملي ومباشر."&amp;IF(J801&lt;&gt;"",CHAR(10)&amp;CHAR(10)&amp;"رابط التقرير: "&amp;J801,"")&amp;CHAR(10)&amp;CHAR(10)&amp;"إذا رغبت، يمكننا توضيح لماذا هذا الكورس هو الأنسب لكم الآن.")</x:f>
      </x:c>
      <x:c r="N801" s="12" t="str">
        <x:f>IF(D801="","",HYPERLINK("https://wa.me/"&amp;REGEXREPLACE(D801,"[^\d]","")&amp;"?text="&amp;ENCODEURL(M801),"واتساب 2"))</x:f>
      </x:c>
      <x:c r="O801" s="12" t="str">
        <x:f>IF(A801="","","مرحبًا "&amp;C801&amp;CHAR(10)&amp;CHAR(10)&amp;"إذا كانت التحديات لديكم تحتاج حلًا أشمل، فالبرنامج الكامل المناسب لكم هو: "&amp;H801&amp;"."&amp;IF(I801&lt;&gt;"",CHAR(10)&amp;"كما يمكنكم أيضًا حجز: "&amp;I801&amp;".","")&amp;IF(J801&lt;&gt;"",CHAR(10)&amp;CHAR(10)&amp;"رابط التقرير: "&amp;J801,"")&amp;CHAR(10)&amp;CHAR(10)&amp;"يسعدنا مساعدتكم في اختيار المسار الأنسب حسب وضع العيادة الحالي.")</x:f>
      </x:c>
      <x:c r="P801" s="12" t="str">
        <x:f>IF(D801="","",HYPERLINK("https://wa.me/"&amp;REGEXREPLACE(D801,"[^\d]","")&amp;"?text="&amp;ENCODEURL(O801),"واتساب 3"))</x:f>
      </x:c>
    </x:row>
    <x:row r="802" ht="15" hidden="0" customHeight="1">
      <x:c r="A802" s="12" t="str">
        <x:f>IF(Leads!A802="","",Leads!A802)</x:f>
      </x:c>
      <x:c r="B802" s="12" t="str">
        <x:f>IF(Leads!F802="","",Leads!F802)</x:f>
      </x:c>
      <x:c r="C802" s="12" t="str">
        <x:f>IF(Leads!G802="","",Leads!G802)</x:f>
      </x:c>
      <x:c r="D802" s="12" t="str">
        <x:f>IF(Leads!O802="","",Leads!O802)</x:f>
      </x:c>
      <x:c r="E802" s="12" t="str">
        <x:f>IF(Leads!AV802="","",Leads!AV802)</x:f>
      </x:c>
      <x:c r="F802" s="12" t="str">
        <x:f>IF(Leads!AX802="","",Leads!AX802)</x:f>
      </x:c>
      <x:c r="G802" s="12" t="str">
        <x:f>IF(Leads!BC802="","",Leads!BC802)</x:f>
      </x:c>
      <x:c r="H802" s="12" t="str">
        <x:f>IF(Leads!BE802="","",Leads!BE802)</x:f>
      </x:c>
      <x:c r="I802" s="12" t="str">
        <x:f>IF(Leads!BG802="","",Leads!BG802)</x:f>
      </x:c>
      <x:c r="J802" s="12" t="str">
        <x:f>IF(Leads!BH802="","",Leads!BH802)</x:f>
      </x:c>
      <x:c r="K802" s="12" t="str">
        <x:f>IF(A802="","","مرحبًا "&amp;C802&amp;CHAR(10)&amp;CHAR(10)&amp;"شكرًا لإتمام تقييم DBD الخاص بعيادة "&amp;B802&amp;"."&amp;CHAR(10)&amp;"نتيجتكم الحالية: "&amp;E802&amp;"%."&amp;CHAR(10)&amp;"أولوية التحسين الأولى: "&amp;F802&amp;"."&amp;IF(J802&lt;&gt;"",CHAR(10)&amp;CHAR(10)&amp;"رابط التقرير: "&amp;J802,"")&amp;CHAR(10)&amp;CHAR(10)&amp;"إذا أحببت، يمكننا مساعدتك في فهم التقرير وتحديد أفضل خطوة تالية لعيادتكم.")</x:f>
      </x:c>
      <x:c r="L802" s="12" t="str">
        <x:f>IF(D802="","",HYPERLINK("https://wa.me/"&amp;REGEXREPLACE(D802,"[^\d]","")&amp;"?text="&amp;ENCODEURL(K802),"واتساب 1"))</x:f>
      </x:c>
      <x:c r="M802" s="12" t="str">
        <x:f>IF(A802="","","مرحبًا "&amp;C802&amp;CHAR(10)&amp;CHAR(10)&amp;"بناءً على نتيجة تقييم عيادة "&amp;B802&amp;"، فإن الترشيح الأقوى لكم الآن هو: "&amp;G802&amp;"."&amp;CHAR(10)&amp;"هذا الخيار يساعدكم في معالجة أكبر فجوة حالية بشكل عملي ومباشر."&amp;IF(J802&lt;&gt;"",CHAR(10)&amp;CHAR(10)&amp;"رابط التقرير: "&amp;J802,"")&amp;CHAR(10)&amp;CHAR(10)&amp;"إذا رغبت، يمكننا توضيح لماذا هذا الكورس هو الأنسب لكم الآن.")</x:f>
      </x:c>
      <x:c r="N802" s="12" t="str">
        <x:f>IF(D802="","",HYPERLINK("https://wa.me/"&amp;REGEXREPLACE(D802,"[^\d]","")&amp;"?text="&amp;ENCODEURL(M802),"واتساب 2"))</x:f>
      </x:c>
      <x:c r="O802" s="12" t="str">
        <x:f>IF(A802="","","مرحبًا "&amp;C802&amp;CHAR(10)&amp;CHAR(10)&amp;"إذا كانت التحديات لديكم تحتاج حلًا أشمل، فالبرنامج الكامل المناسب لكم هو: "&amp;H802&amp;"."&amp;IF(I802&lt;&gt;"",CHAR(10)&amp;"كما يمكنكم أيضًا حجز: "&amp;I802&amp;".","")&amp;IF(J802&lt;&gt;"",CHAR(10)&amp;CHAR(10)&amp;"رابط التقرير: "&amp;J802,"")&amp;CHAR(10)&amp;CHAR(10)&amp;"يسعدنا مساعدتكم في اختيار المسار الأنسب حسب وضع العيادة الحالي.")</x:f>
      </x:c>
      <x:c r="P802" s="12" t="str">
        <x:f>IF(D802="","",HYPERLINK("https://wa.me/"&amp;REGEXREPLACE(D802,"[^\d]","")&amp;"?text="&amp;ENCODEURL(O802),"واتساب 3"))</x:f>
      </x:c>
    </x:row>
    <x:row r="803" ht="15" hidden="0" customHeight="1">
      <x:c r="A803" s="12" t="str">
        <x:f>IF(Leads!A803="","",Leads!A803)</x:f>
      </x:c>
      <x:c r="B803" s="12" t="str">
        <x:f>IF(Leads!F803="","",Leads!F803)</x:f>
      </x:c>
      <x:c r="C803" s="12" t="str">
        <x:f>IF(Leads!G803="","",Leads!G803)</x:f>
      </x:c>
      <x:c r="D803" s="12" t="str">
        <x:f>IF(Leads!O803="","",Leads!O803)</x:f>
      </x:c>
      <x:c r="E803" s="12" t="str">
        <x:f>IF(Leads!AV803="","",Leads!AV803)</x:f>
      </x:c>
      <x:c r="F803" s="12" t="str">
        <x:f>IF(Leads!AX803="","",Leads!AX803)</x:f>
      </x:c>
      <x:c r="G803" s="12" t="str">
        <x:f>IF(Leads!BC803="","",Leads!BC803)</x:f>
      </x:c>
      <x:c r="H803" s="12" t="str">
        <x:f>IF(Leads!BE803="","",Leads!BE803)</x:f>
      </x:c>
      <x:c r="I803" s="12" t="str">
        <x:f>IF(Leads!BG803="","",Leads!BG803)</x:f>
      </x:c>
      <x:c r="J803" s="12" t="str">
        <x:f>IF(Leads!BH803="","",Leads!BH803)</x:f>
      </x:c>
      <x:c r="K803" s="12" t="str">
        <x:f>IF(A803="","","مرحبًا "&amp;C803&amp;CHAR(10)&amp;CHAR(10)&amp;"شكرًا لإتمام تقييم DBD الخاص بعيادة "&amp;B803&amp;"."&amp;CHAR(10)&amp;"نتيجتكم الحالية: "&amp;E803&amp;"%."&amp;CHAR(10)&amp;"أولوية التحسين الأولى: "&amp;F803&amp;"."&amp;IF(J803&lt;&gt;"",CHAR(10)&amp;CHAR(10)&amp;"رابط التقرير: "&amp;J803,"")&amp;CHAR(10)&amp;CHAR(10)&amp;"إذا أحببت، يمكننا مساعدتك في فهم التقرير وتحديد أفضل خطوة تالية لعيادتكم.")</x:f>
      </x:c>
      <x:c r="L803" s="12" t="str">
        <x:f>IF(D803="","",HYPERLINK("https://wa.me/"&amp;REGEXREPLACE(D803,"[^\d]","")&amp;"?text="&amp;ENCODEURL(K803),"واتساب 1"))</x:f>
      </x:c>
      <x:c r="M803" s="12" t="str">
        <x:f>IF(A803="","","مرحبًا "&amp;C803&amp;CHAR(10)&amp;CHAR(10)&amp;"بناءً على نتيجة تقييم عيادة "&amp;B803&amp;"، فإن الترشيح الأقوى لكم الآن هو: "&amp;G803&amp;"."&amp;CHAR(10)&amp;"هذا الخيار يساعدكم في معالجة أكبر فجوة حالية بشكل عملي ومباشر."&amp;IF(J803&lt;&gt;"",CHAR(10)&amp;CHAR(10)&amp;"رابط التقرير: "&amp;J803,"")&amp;CHAR(10)&amp;CHAR(10)&amp;"إذا رغبت، يمكننا توضيح لماذا هذا الكورس هو الأنسب لكم الآن.")</x:f>
      </x:c>
      <x:c r="N803" s="12" t="str">
        <x:f>IF(D803="","",HYPERLINK("https://wa.me/"&amp;REGEXREPLACE(D803,"[^\d]","")&amp;"?text="&amp;ENCODEURL(M803),"واتساب 2"))</x:f>
      </x:c>
      <x:c r="O803" s="12" t="str">
        <x:f>IF(A803="","","مرحبًا "&amp;C803&amp;CHAR(10)&amp;CHAR(10)&amp;"إذا كانت التحديات لديكم تحتاج حلًا أشمل، فالبرنامج الكامل المناسب لكم هو: "&amp;H803&amp;"."&amp;IF(I803&lt;&gt;"",CHAR(10)&amp;"كما يمكنكم أيضًا حجز: "&amp;I803&amp;".","")&amp;IF(J803&lt;&gt;"",CHAR(10)&amp;CHAR(10)&amp;"رابط التقرير: "&amp;J803,"")&amp;CHAR(10)&amp;CHAR(10)&amp;"يسعدنا مساعدتكم في اختيار المسار الأنسب حسب وضع العيادة الحالي.")</x:f>
      </x:c>
      <x:c r="P803" s="12" t="str">
        <x:f>IF(D803="","",HYPERLINK("https://wa.me/"&amp;REGEXREPLACE(D803,"[^\d]","")&amp;"?text="&amp;ENCODEURL(O803),"واتساب 3"))</x:f>
      </x:c>
    </x:row>
    <x:row r="804" ht="15" hidden="0" customHeight="1">
      <x:c r="A804" s="12" t="str">
        <x:f>IF(Leads!A804="","",Leads!A804)</x:f>
      </x:c>
      <x:c r="B804" s="12" t="str">
        <x:f>IF(Leads!F804="","",Leads!F804)</x:f>
      </x:c>
      <x:c r="C804" s="12" t="str">
        <x:f>IF(Leads!G804="","",Leads!G804)</x:f>
      </x:c>
      <x:c r="D804" s="12" t="str">
        <x:f>IF(Leads!O804="","",Leads!O804)</x:f>
      </x:c>
      <x:c r="E804" s="12" t="str">
        <x:f>IF(Leads!AV804="","",Leads!AV804)</x:f>
      </x:c>
      <x:c r="F804" s="12" t="str">
        <x:f>IF(Leads!AX804="","",Leads!AX804)</x:f>
      </x:c>
      <x:c r="G804" s="12" t="str">
        <x:f>IF(Leads!BC804="","",Leads!BC804)</x:f>
      </x:c>
      <x:c r="H804" s="12" t="str">
        <x:f>IF(Leads!BE804="","",Leads!BE804)</x:f>
      </x:c>
      <x:c r="I804" s="12" t="str">
        <x:f>IF(Leads!BG804="","",Leads!BG804)</x:f>
      </x:c>
      <x:c r="J804" s="12" t="str">
        <x:f>IF(Leads!BH804="","",Leads!BH804)</x:f>
      </x:c>
      <x:c r="K804" s="12" t="str">
        <x:f>IF(A804="","","مرحبًا "&amp;C804&amp;CHAR(10)&amp;CHAR(10)&amp;"شكرًا لإتمام تقييم DBD الخاص بعيادة "&amp;B804&amp;"."&amp;CHAR(10)&amp;"نتيجتكم الحالية: "&amp;E804&amp;"%."&amp;CHAR(10)&amp;"أولوية التحسين الأولى: "&amp;F804&amp;"."&amp;IF(J804&lt;&gt;"",CHAR(10)&amp;CHAR(10)&amp;"رابط التقرير: "&amp;J804,"")&amp;CHAR(10)&amp;CHAR(10)&amp;"إذا أحببت، يمكننا مساعدتك في فهم التقرير وتحديد أفضل خطوة تالية لعيادتكم.")</x:f>
      </x:c>
      <x:c r="L804" s="12" t="str">
        <x:f>IF(D804="","",HYPERLINK("https://wa.me/"&amp;REGEXREPLACE(D804,"[^\d]","")&amp;"?text="&amp;ENCODEURL(K804),"واتساب 1"))</x:f>
      </x:c>
      <x:c r="M804" s="12" t="str">
        <x:f>IF(A804="","","مرحبًا "&amp;C804&amp;CHAR(10)&amp;CHAR(10)&amp;"بناءً على نتيجة تقييم عيادة "&amp;B804&amp;"، فإن الترشيح الأقوى لكم الآن هو: "&amp;G804&amp;"."&amp;CHAR(10)&amp;"هذا الخيار يساعدكم في معالجة أكبر فجوة حالية بشكل عملي ومباشر."&amp;IF(J804&lt;&gt;"",CHAR(10)&amp;CHAR(10)&amp;"رابط التقرير: "&amp;J804,"")&amp;CHAR(10)&amp;CHAR(10)&amp;"إذا رغبت، يمكننا توضيح لماذا هذا الكورس هو الأنسب لكم الآن.")</x:f>
      </x:c>
      <x:c r="N804" s="12" t="str">
        <x:f>IF(D804="","",HYPERLINK("https://wa.me/"&amp;REGEXREPLACE(D804,"[^\d]","")&amp;"?text="&amp;ENCODEURL(M804),"واتساب 2"))</x:f>
      </x:c>
      <x:c r="O804" s="12" t="str">
        <x:f>IF(A804="","","مرحبًا "&amp;C804&amp;CHAR(10)&amp;CHAR(10)&amp;"إذا كانت التحديات لديكم تحتاج حلًا أشمل، فالبرنامج الكامل المناسب لكم هو: "&amp;H804&amp;"."&amp;IF(I804&lt;&gt;"",CHAR(10)&amp;"كما يمكنكم أيضًا حجز: "&amp;I804&amp;".","")&amp;IF(J804&lt;&gt;"",CHAR(10)&amp;CHAR(10)&amp;"رابط التقرير: "&amp;J804,"")&amp;CHAR(10)&amp;CHAR(10)&amp;"يسعدنا مساعدتكم في اختيار المسار الأنسب حسب وضع العيادة الحالي.")</x:f>
      </x:c>
      <x:c r="P804" s="12" t="str">
        <x:f>IF(D804="","",HYPERLINK("https://wa.me/"&amp;REGEXREPLACE(D804,"[^\d]","")&amp;"?text="&amp;ENCODEURL(O804),"واتساب 3"))</x:f>
      </x:c>
    </x:row>
    <x:row r="805" ht="15" hidden="0" customHeight="1">
      <x:c r="A805" s="12" t="str">
        <x:f>IF(Leads!A805="","",Leads!A805)</x:f>
      </x:c>
      <x:c r="B805" s="12" t="str">
        <x:f>IF(Leads!F805="","",Leads!F805)</x:f>
      </x:c>
      <x:c r="C805" s="12" t="str">
        <x:f>IF(Leads!G805="","",Leads!G805)</x:f>
      </x:c>
      <x:c r="D805" s="12" t="str">
        <x:f>IF(Leads!O805="","",Leads!O805)</x:f>
      </x:c>
      <x:c r="E805" s="12" t="str">
        <x:f>IF(Leads!AV805="","",Leads!AV805)</x:f>
      </x:c>
      <x:c r="F805" s="12" t="str">
        <x:f>IF(Leads!AX805="","",Leads!AX805)</x:f>
      </x:c>
      <x:c r="G805" s="12" t="str">
        <x:f>IF(Leads!BC805="","",Leads!BC805)</x:f>
      </x:c>
      <x:c r="H805" s="12" t="str">
        <x:f>IF(Leads!BE805="","",Leads!BE805)</x:f>
      </x:c>
      <x:c r="I805" s="12" t="str">
        <x:f>IF(Leads!BG805="","",Leads!BG805)</x:f>
      </x:c>
      <x:c r="J805" s="12" t="str">
        <x:f>IF(Leads!BH805="","",Leads!BH805)</x:f>
      </x:c>
      <x:c r="K805" s="12" t="str">
        <x:f>IF(A805="","","مرحبًا "&amp;C805&amp;CHAR(10)&amp;CHAR(10)&amp;"شكرًا لإتمام تقييم DBD الخاص بعيادة "&amp;B805&amp;"."&amp;CHAR(10)&amp;"نتيجتكم الحالية: "&amp;E805&amp;"%."&amp;CHAR(10)&amp;"أولوية التحسين الأولى: "&amp;F805&amp;"."&amp;IF(J805&lt;&gt;"",CHAR(10)&amp;CHAR(10)&amp;"رابط التقرير: "&amp;J805,"")&amp;CHAR(10)&amp;CHAR(10)&amp;"إذا أحببت، يمكننا مساعدتك في فهم التقرير وتحديد أفضل خطوة تالية لعيادتكم.")</x:f>
      </x:c>
      <x:c r="L805" s="12" t="str">
        <x:f>IF(D805="","",HYPERLINK("https://wa.me/"&amp;REGEXREPLACE(D805,"[^\d]","")&amp;"?text="&amp;ENCODEURL(K805),"واتساب 1"))</x:f>
      </x:c>
      <x:c r="M805" s="12" t="str">
        <x:f>IF(A805="","","مرحبًا "&amp;C805&amp;CHAR(10)&amp;CHAR(10)&amp;"بناءً على نتيجة تقييم عيادة "&amp;B805&amp;"، فإن الترشيح الأقوى لكم الآن هو: "&amp;G805&amp;"."&amp;CHAR(10)&amp;"هذا الخيار يساعدكم في معالجة أكبر فجوة حالية بشكل عملي ومباشر."&amp;IF(J805&lt;&gt;"",CHAR(10)&amp;CHAR(10)&amp;"رابط التقرير: "&amp;J805,"")&amp;CHAR(10)&amp;CHAR(10)&amp;"إذا رغبت، يمكننا توضيح لماذا هذا الكورس هو الأنسب لكم الآن.")</x:f>
      </x:c>
      <x:c r="N805" s="12" t="str">
        <x:f>IF(D805="","",HYPERLINK("https://wa.me/"&amp;REGEXREPLACE(D805,"[^\d]","")&amp;"?text="&amp;ENCODEURL(M805),"واتساب 2"))</x:f>
      </x:c>
      <x:c r="O805" s="12" t="str">
        <x:f>IF(A805="","","مرحبًا "&amp;C805&amp;CHAR(10)&amp;CHAR(10)&amp;"إذا كانت التحديات لديكم تحتاج حلًا أشمل، فالبرنامج الكامل المناسب لكم هو: "&amp;H805&amp;"."&amp;IF(I805&lt;&gt;"",CHAR(10)&amp;"كما يمكنكم أيضًا حجز: "&amp;I805&amp;".","")&amp;IF(J805&lt;&gt;"",CHAR(10)&amp;CHAR(10)&amp;"رابط التقرير: "&amp;J805,"")&amp;CHAR(10)&amp;CHAR(10)&amp;"يسعدنا مساعدتكم في اختيار المسار الأنسب حسب وضع العيادة الحالي.")</x:f>
      </x:c>
      <x:c r="P805" s="12" t="str">
        <x:f>IF(D805="","",HYPERLINK("https://wa.me/"&amp;REGEXREPLACE(D805,"[^\d]","")&amp;"?text="&amp;ENCODEURL(O805),"واتساب 3"))</x:f>
      </x:c>
    </x:row>
    <x:row r="806" ht="15" hidden="0" customHeight="1">
      <x:c r="A806" s="12" t="str">
        <x:f>IF(Leads!A806="","",Leads!A806)</x:f>
      </x:c>
      <x:c r="B806" s="12" t="str">
        <x:f>IF(Leads!F806="","",Leads!F806)</x:f>
      </x:c>
      <x:c r="C806" s="12" t="str">
        <x:f>IF(Leads!G806="","",Leads!G806)</x:f>
      </x:c>
      <x:c r="D806" s="12" t="str">
        <x:f>IF(Leads!O806="","",Leads!O806)</x:f>
      </x:c>
      <x:c r="E806" s="12" t="str">
        <x:f>IF(Leads!AV806="","",Leads!AV806)</x:f>
      </x:c>
      <x:c r="F806" s="12" t="str">
        <x:f>IF(Leads!AX806="","",Leads!AX806)</x:f>
      </x:c>
      <x:c r="G806" s="12" t="str">
        <x:f>IF(Leads!BC806="","",Leads!BC806)</x:f>
      </x:c>
      <x:c r="H806" s="12" t="str">
        <x:f>IF(Leads!BE806="","",Leads!BE806)</x:f>
      </x:c>
      <x:c r="I806" s="12" t="str">
        <x:f>IF(Leads!BG806="","",Leads!BG806)</x:f>
      </x:c>
      <x:c r="J806" s="12" t="str">
        <x:f>IF(Leads!BH806="","",Leads!BH806)</x:f>
      </x:c>
      <x:c r="K806" s="12" t="str">
        <x:f>IF(A806="","","مرحبًا "&amp;C806&amp;CHAR(10)&amp;CHAR(10)&amp;"شكرًا لإتمام تقييم DBD الخاص بعيادة "&amp;B806&amp;"."&amp;CHAR(10)&amp;"نتيجتكم الحالية: "&amp;E806&amp;"%."&amp;CHAR(10)&amp;"أولوية التحسين الأولى: "&amp;F806&amp;"."&amp;IF(J806&lt;&gt;"",CHAR(10)&amp;CHAR(10)&amp;"رابط التقرير: "&amp;J806,"")&amp;CHAR(10)&amp;CHAR(10)&amp;"إذا أحببت، يمكننا مساعدتك في فهم التقرير وتحديد أفضل خطوة تالية لعيادتكم.")</x:f>
      </x:c>
      <x:c r="L806" s="12" t="str">
        <x:f>IF(D806="","",HYPERLINK("https://wa.me/"&amp;REGEXREPLACE(D806,"[^\d]","")&amp;"?text="&amp;ENCODEURL(K806),"واتساب 1"))</x:f>
      </x:c>
      <x:c r="M806" s="12" t="str">
        <x:f>IF(A806="","","مرحبًا "&amp;C806&amp;CHAR(10)&amp;CHAR(10)&amp;"بناءً على نتيجة تقييم عيادة "&amp;B806&amp;"، فإن الترشيح الأقوى لكم الآن هو: "&amp;G806&amp;"."&amp;CHAR(10)&amp;"هذا الخيار يساعدكم في معالجة أكبر فجوة حالية بشكل عملي ومباشر."&amp;IF(J806&lt;&gt;"",CHAR(10)&amp;CHAR(10)&amp;"رابط التقرير: "&amp;J806,"")&amp;CHAR(10)&amp;CHAR(10)&amp;"إذا رغبت، يمكننا توضيح لماذا هذا الكورس هو الأنسب لكم الآن.")</x:f>
      </x:c>
      <x:c r="N806" s="12" t="str">
        <x:f>IF(D806="","",HYPERLINK("https://wa.me/"&amp;REGEXREPLACE(D806,"[^\d]","")&amp;"?text="&amp;ENCODEURL(M806),"واتساب 2"))</x:f>
      </x:c>
      <x:c r="O806" s="12" t="str">
        <x:f>IF(A806="","","مرحبًا "&amp;C806&amp;CHAR(10)&amp;CHAR(10)&amp;"إذا كانت التحديات لديكم تحتاج حلًا أشمل، فالبرنامج الكامل المناسب لكم هو: "&amp;H806&amp;"."&amp;IF(I806&lt;&gt;"",CHAR(10)&amp;"كما يمكنكم أيضًا حجز: "&amp;I806&amp;".","")&amp;IF(J806&lt;&gt;"",CHAR(10)&amp;CHAR(10)&amp;"رابط التقرير: "&amp;J806,"")&amp;CHAR(10)&amp;CHAR(10)&amp;"يسعدنا مساعدتكم في اختيار المسار الأنسب حسب وضع العيادة الحالي.")</x:f>
      </x:c>
      <x:c r="P806" s="12" t="str">
        <x:f>IF(D806="","",HYPERLINK("https://wa.me/"&amp;REGEXREPLACE(D806,"[^\d]","")&amp;"?text="&amp;ENCODEURL(O806),"واتساب 3"))</x:f>
      </x:c>
    </x:row>
    <x:row r="807" ht="15" hidden="0" customHeight="1">
      <x:c r="A807" s="12" t="str">
        <x:f>IF(Leads!A807="","",Leads!A807)</x:f>
      </x:c>
      <x:c r="B807" s="12" t="str">
        <x:f>IF(Leads!F807="","",Leads!F807)</x:f>
      </x:c>
      <x:c r="C807" s="12" t="str">
        <x:f>IF(Leads!G807="","",Leads!G807)</x:f>
      </x:c>
      <x:c r="D807" s="12" t="str">
        <x:f>IF(Leads!O807="","",Leads!O807)</x:f>
      </x:c>
      <x:c r="E807" s="12" t="str">
        <x:f>IF(Leads!AV807="","",Leads!AV807)</x:f>
      </x:c>
      <x:c r="F807" s="12" t="str">
        <x:f>IF(Leads!AX807="","",Leads!AX807)</x:f>
      </x:c>
      <x:c r="G807" s="12" t="str">
        <x:f>IF(Leads!BC807="","",Leads!BC807)</x:f>
      </x:c>
      <x:c r="H807" s="12" t="str">
        <x:f>IF(Leads!BE807="","",Leads!BE807)</x:f>
      </x:c>
      <x:c r="I807" s="12" t="str">
        <x:f>IF(Leads!BG807="","",Leads!BG807)</x:f>
      </x:c>
      <x:c r="J807" s="12" t="str">
        <x:f>IF(Leads!BH807="","",Leads!BH807)</x:f>
      </x:c>
      <x:c r="K807" s="12" t="str">
        <x:f>IF(A807="","","مرحبًا "&amp;C807&amp;CHAR(10)&amp;CHAR(10)&amp;"شكرًا لإتمام تقييم DBD الخاص بعيادة "&amp;B807&amp;"."&amp;CHAR(10)&amp;"نتيجتكم الحالية: "&amp;E807&amp;"%."&amp;CHAR(10)&amp;"أولوية التحسين الأولى: "&amp;F807&amp;"."&amp;IF(J807&lt;&gt;"",CHAR(10)&amp;CHAR(10)&amp;"رابط التقرير: "&amp;J807,"")&amp;CHAR(10)&amp;CHAR(10)&amp;"إذا أحببت، يمكننا مساعدتك في فهم التقرير وتحديد أفضل خطوة تالية لعيادتكم.")</x:f>
      </x:c>
      <x:c r="L807" s="12" t="str">
        <x:f>IF(D807="","",HYPERLINK("https://wa.me/"&amp;REGEXREPLACE(D807,"[^\d]","")&amp;"?text="&amp;ENCODEURL(K807),"واتساب 1"))</x:f>
      </x:c>
      <x:c r="M807" s="12" t="str">
        <x:f>IF(A807="","","مرحبًا "&amp;C807&amp;CHAR(10)&amp;CHAR(10)&amp;"بناءً على نتيجة تقييم عيادة "&amp;B807&amp;"، فإن الترشيح الأقوى لكم الآن هو: "&amp;G807&amp;"."&amp;CHAR(10)&amp;"هذا الخيار يساعدكم في معالجة أكبر فجوة حالية بشكل عملي ومباشر."&amp;IF(J807&lt;&gt;"",CHAR(10)&amp;CHAR(10)&amp;"رابط التقرير: "&amp;J807,"")&amp;CHAR(10)&amp;CHAR(10)&amp;"إذا رغبت، يمكننا توضيح لماذا هذا الكورس هو الأنسب لكم الآن.")</x:f>
      </x:c>
      <x:c r="N807" s="12" t="str">
        <x:f>IF(D807="","",HYPERLINK("https://wa.me/"&amp;REGEXREPLACE(D807,"[^\d]","")&amp;"?text="&amp;ENCODEURL(M807),"واتساب 2"))</x:f>
      </x:c>
      <x:c r="O807" s="12" t="str">
        <x:f>IF(A807="","","مرحبًا "&amp;C807&amp;CHAR(10)&amp;CHAR(10)&amp;"إذا كانت التحديات لديكم تحتاج حلًا أشمل، فالبرنامج الكامل المناسب لكم هو: "&amp;H807&amp;"."&amp;IF(I807&lt;&gt;"",CHAR(10)&amp;"كما يمكنكم أيضًا حجز: "&amp;I807&amp;".","")&amp;IF(J807&lt;&gt;"",CHAR(10)&amp;CHAR(10)&amp;"رابط التقرير: "&amp;J807,"")&amp;CHAR(10)&amp;CHAR(10)&amp;"يسعدنا مساعدتكم في اختيار المسار الأنسب حسب وضع العيادة الحالي.")</x:f>
      </x:c>
      <x:c r="P807" s="12" t="str">
        <x:f>IF(D807="","",HYPERLINK("https://wa.me/"&amp;REGEXREPLACE(D807,"[^\d]","")&amp;"?text="&amp;ENCODEURL(O807),"واتساب 3"))</x:f>
      </x:c>
    </x:row>
    <x:row r="808" ht="15" hidden="0" customHeight="1">
      <x:c r="A808" s="12" t="str">
        <x:f>IF(Leads!A808="","",Leads!A808)</x:f>
      </x:c>
      <x:c r="B808" s="12" t="str">
        <x:f>IF(Leads!F808="","",Leads!F808)</x:f>
      </x:c>
      <x:c r="C808" s="12" t="str">
        <x:f>IF(Leads!G808="","",Leads!G808)</x:f>
      </x:c>
      <x:c r="D808" s="12" t="str">
        <x:f>IF(Leads!O808="","",Leads!O808)</x:f>
      </x:c>
      <x:c r="E808" s="12" t="str">
        <x:f>IF(Leads!AV808="","",Leads!AV808)</x:f>
      </x:c>
      <x:c r="F808" s="12" t="str">
        <x:f>IF(Leads!AX808="","",Leads!AX808)</x:f>
      </x:c>
      <x:c r="G808" s="12" t="str">
        <x:f>IF(Leads!BC808="","",Leads!BC808)</x:f>
      </x:c>
      <x:c r="H808" s="12" t="str">
        <x:f>IF(Leads!BE808="","",Leads!BE808)</x:f>
      </x:c>
      <x:c r="I808" s="12" t="str">
        <x:f>IF(Leads!BG808="","",Leads!BG808)</x:f>
      </x:c>
      <x:c r="J808" s="12" t="str">
        <x:f>IF(Leads!BH808="","",Leads!BH808)</x:f>
      </x:c>
      <x:c r="K808" s="12" t="str">
        <x:f>IF(A808="","","مرحبًا "&amp;C808&amp;CHAR(10)&amp;CHAR(10)&amp;"شكرًا لإتمام تقييم DBD الخاص بعيادة "&amp;B808&amp;"."&amp;CHAR(10)&amp;"نتيجتكم الحالية: "&amp;E808&amp;"%."&amp;CHAR(10)&amp;"أولوية التحسين الأولى: "&amp;F808&amp;"."&amp;IF(J808&lt;&gt;"",CHAR(10)&amp;CHAR(10)&amp;"رابط التقرير: "&amp;J808,"")&amp;CHAR(10)&amp;CHAR(10)&amp;"إذا أحببت، يمكننا مساعدتك في فهم التقرير وتحديد أفضل خطوة تالية لعيادتكم.")</x:f>
      </x:c>
      <x:c r="L808" s="12" t="str">
        <x:f>IF(D808="","",HYPERLINK("https://wa.me/"&amp;REGEXREPLACE(D808,"[^\d]","")&amp;"?text="&amp;ENCODEURL(K808),"واتساب 1"))</x:f>
      </x:c>
      <x:c r="M808" s="12" t="str">
        <x:f>IF(A808="","","مرحبًا "&amp;C808&amp;CHAR(10)&amp;CHAR(10)&amp;"بناءً على نتيجة تقييم عيادة "&amp;B808&amp;"، فإن الترشيح الأقوى لكم الآن هو: "&amp;G808&amp;"."&amp;CHAR(10)&amp;"هذا الخيار يساعدكم في معالجة أكبر فجوة حالية بشكل عملي ومباشر."&amp;IF(J808&lt;&gt;"",CHAR(10)&amp;CHAR(10)&amp;"رابط التقرير: "&amp;J808,"")&amp;CHAR(10)&amp;CHAR(10)&amp;"إذا رغبت، يمكننا توضيح لماذا هذا الكورس هو الأنسب لكم الآن.")</x:f>
      </x:c>
      <x:c r="N808" s="12" t="str">
        <x:f>IF(D808="","",HYPERLINK("https://wa.me/"&amp;REGEXREPLACE(D808,"[^\d]","")&amp;"?text="&amp;ENCODEURL(M808),"واتساب 2"))</x:f>
      </x:c>
      <x:c r="O808" s="12" t="str">
        <x:f>IF(A808="","","مرحبًا "&amp;C808&amp;CHAR(10)&amp;CHAR(10)&amp;"إذا كانت التحديات لديكم تحتاج حلًا أشمل، فالبرنامج الكامل المناسب لكم هو: "&amp;H808&amp;"."&amp;IF(I808&lt;&gt;"",CHAR(10)&amp;"كما يمكنكم أيضًا حجز: "&amp;I808&amp;".","")&amp;IF(J808&lt;&gt;"",CHAR(10)&amp;CHAR(10)&amp;"رابط التقرير: "&amp;J808,"")&amp;CHAR(10)&amp;CHAR(10)&amp;"يسعدنا مساعدتكم في اختيار المسار الأنسب حسب وضع العيادة الحالي.")</x:f>
      </x:c>
      <x:c r="P808" s="12" t="str">
        <x:f>IF(D808="","",HYPERLINK("https://wa.me/"&amp;REGEXREPLACE(D808,"[^\d]","")&amp;"?text="&amp;ENCODEURL(O808),"واتساب 3"))</x:f>
      </x:c>
    </x:row>
    <x:row r="809" ht="15" hidden="0" customHeight="1">
      <x:c r="A809" s="12" t="str">
        <x:f>IF(Leads!A809="","",Leads!A809)</x:f>
      </x:c>
      <x:c r="B809" s="12" t="str">
        <x:f>IF(Leads!F809="","",Leads!F809)</x:f>
      </x:c>
      <x:c r="C809" s="12" t="str">
        <x:f>IF(Leads!G809="","",Leads!G809)</x:f>
      </x:c>
      <x:c r="D809" s="12" t="str">
        <x:f>IF(Leads!O809="","",Leads!O809)</x:f>
      </x:c>
      <x:c r="E809" s="12" t="str">
        <x:f>IF(Leads!AV809="","",Leads!AV809)</x:f>
      </x:c>
      <x:c r="F809" s="12" t="str">
        <x:f>IF(Leads!AX809="","",Leads!AX809)</x:f>
      </x:c>
      <x:c r="G809" s="12" t="str">
        <x:f>IF(Leads!BC809="","",Leads!BC809)</x:f>
      </x:c>
      <x:c r="H809" s="12" t="str">
        <x:f>IF(Leads!BE809="","",Leads!BE809)</x:f>
      </x:c>
      <x:c r="I809" s="12" t="str">
        <x:f>IF(Leads!BG809="","",Leads!BG809)</x:f>
      </x:c>
      <x:c r="J809" s="12" t="str">
        <x:f>IF(Leads!BH809="","",Leads!BH809)</x:f>
      </x:c>
      <x:c r="K809" s="12" t="str">
        <x:f>IF(A809="","","مرحبًا "&amp;C809&amp;CHAR(10)&amp;CHAR(10)&amp;"شكرًا لإتمام تقييم DBD الخاص بعيادة "&amp;B809&amp;"."&amp;CHAR(10)&amp;"نتيجتكم الحالية: "&amp;E809&amp;"%."&amp;CHAR(10)&amp;"أولوية التحسين الأولى: "&amp;F809&amp;"."&amp;IF(J809&lt;&gt;"",CHAR(10)&amp;CHAR(10)&amp;"رابط التقرير: "&amp;J809,"")&amp;CHAR(10)&amp;CHAR(10)&amp;"إذا أحببت، يمكننا مساعدتك في فهم التقرير وتحديد أفضل خطوة تالية لعيادتكم.")</x:f>
      </x:c>
      <x:c r="L809" s="12" t="str">
        <x:f>IF(D809="","",HYPERLINK("https://wa.me/"&amp;REGEXREPLACE(D809,"[^\d]","")&amp;"?text="&amp;ENCODEURL(K809),"واتساب 1"))</x:f>
      </x:c>
      <x:c r="M809" s="12" t="str">
        <x:f>IF(A809="","","مرحبًا "&amp;C809&amp;CHAR(10)&amp;CHAR(10)&amp;"بناءً على نتيجة تقييم عيادة "&amp;B809&amp;"، فإن الترشيح الأقوى لكم الآن هو: "&amp;G809&amp;"."&amp;CHAR(10)&amp;"هذا الخيار يساعدكم في معالجة أكبر فجوة حالية بشكل عملي ومباشر."&amp;IF(J809&lt;&gt;"",CHAR(10)&amp;CHAR(10)&amp;"رابط التقرير: "&amp;J809,"")&amp;CHAR(10)&amp;CHAR(10)&amp;"إذا رغبت، يمكننا توضيح لماذا هذا الكورس هو الأنسب لكم الآن.")</x:f>
      </x:c>
      <x:c r="N809" s="12" t="str">
        <x:f>IF(D809="","",HYPERLINK("https://wa.me/"&amp;REGEXREPLACE(D809,"[^\d]","")&amp;"?text="&amp;ENCODEURL(M809),"واتساب 2"))</x:f>
      </x:c>
      <x:c r="O809" s="12" t="str">
        <x:f>IF(A809="","","مرحبًا "&amp;C809&amp;CHAR(10)&amp;CHAR(10)&amp;"إذا كانت التحديات لديكم تحتاج حلًا أشمل، فالبرنامج الكامل المناسب لكم هو: "&amp;H809&amp;"."&amp;IF(I809&lt;&gt;"",CHAR(10)&amp;"كما يمكنكم أيضًا حجز: "&amp;I809&amp;".","")&amp;IF(J809&lt;&gt;"",CHAR(10)&amp;CHAR(10)&amp;"رابط التقرير: "&amp;J809,"")&amp;CHAR(10)&amp;CHAR(10)&amp;"يسعدنا مساعدتكم في اختيار المسار الأنسب حسب وضع العيادة الحالي.")</x:f>
      </x:c>
      <x:c r="P809" s="12" t="str">
        <x:f>IF(D809="","",HYPERLINK("https://wa.me/"&amp;REGEXREPLACE(D809,"[^\d]","")&amp;"?text="&amp;ENCODEURL(O809),"واتساب 3"))</x:f>
      </x:c>
    </x:row>
    <x:row r="810" ht="15" hidden="0" customHeight="1">
      <x:c r="A810" s="12" t="str">
        <x:f>IF(Leads!A810="","",Leads!A810)</x:f>
      </x:c>
      <x:c r="B810" s="12" t="str">
        <x:f>IF(Leads!F810="","",Leads!F810)</x:f>
      </x:c>
      <x:c r="C810" s="12" t="str">
        <x:f>IF(Leads!G810="","",Leads!G810)</x:f>
      </x:c>
      <x:c r="D810" s="12" t="str">
        <x:f>IF(Leads!O810="","",Leads!O810)</x:f>
      </x:c>
      <x:c r="E810" s="12" t="str">
        <x:f>IF(Leads!AV810="","",Leads!AV810)</x:f>
      </x:c>
      <x:c r="F810" s="12" t="str">
        <x:f>IF(Leads!AX810="","",Leads!AX810)</x:f>
      </x:c>
      <x:c r="G810" s="12" t="str">
        <x:f>IF(Leads!BC810="","",Leads!BC810)</x:f>
      </x:c>
      <x:c r="H810" s="12" t="str">
        <x:f>IF(Leads!BE810="","",Leads!BE810)</x:f>
      </x:c>
      <x:c r="I810" s="12" t="str">
        <x:f>IF(Leads!BG810="","",Leads!BG810)</x:f>
      </x:c>
      <x:c r="J810" s="12" t="str">
        <x:f>IF(Leads!BH810="","",Leads!BH810)</x:f>
      </x:c>
      <x:c r="K810" s="12" t="str">
        <x:f>IF(A810="","","مرحبًا "&amp;C810&amp;CHAR(10)&amp;CHAR(10)&amp;"شكرًا لإتمام تقييم DBD الخاص بعيادة "&amp;B810&amp;"."&amp;CHAR(10)&amp;"نتيجتكم الحالية: "&amp;E810&amp;"%."&amp;CHAR(10)&amp;"أولوية التحسين الأولى: "&amp;F810&amp;"."&amp;IF(J810&lt;&gt;"",CHAR(10)&amp;CHAR(10)&amp;"رابط التقرير: "&amp;J810,"")&amp;CHAR(10)&amp;CHAR(10)&amp;"إذا أحببت، يمكننا مساعدتك في فهم التقرير وتحديد أفضل خطوة تالية لعيادتكم.")</x:f>
      </x:c>
      <x:c r="L810" s="12" t="str">
        <x:f>IF(D810="","",HYPERLINK("https://wa.me/"&amp;REGEXREPLACE(D810,"[^\d]","")&amp;"?text="&amp;ENCODEURL(K810),"واتساب 1"))</x:f>
      </x:c>
      <x:c r="M810" s="12" t="str">
        <x:f>IF(A810="","","مرحبًا "&amp;C810&amp;CHAR(10)&amp;CHAR(10)&amp;"بناءً على نتيجة تقييم عيادة "&amp;B810&amp;"، فإن الترشيح الأقوى لكم الآن هو: "&amp;G810&amp;"."&amp;CHAR(10)&amp;"هذا الخيار يساعدكم في معالجة أكبر فجوة حالية بشكل عملي ومباشر."&amp;IF(J810&lt;&gt;"",CHAR(10)&amp;CHAR(10)&amp;"رابط التقرير: "&amp;J810,"")&amp;CHAR(10)&amp;CHAR(10)&amp;"إذا رغبت، يمكننا توضيح لماذا هذا الكورس هو الأنسب لكم الآن.")</x:f>
      </x:c>
      <x:c r="N810" s="12" t="str">
        <x:f>IF(D810="","",HYPERLINK("https://wa.me/"&amp;REGEXREPLACE(D810,"[^\d]","")&amp;"?text="&amp;ENCODEURL(M810),"واتساب 2"))</x:f>
      </x:c>
      <x:c r="O810" s="12" t="str">
        <x:f>IF(A810="","","مرحبًا "&amp;C810&amp;CHAR(10)&amp;CHAR(10)&amp;"إذا كانت التحديات لديكم تحتاج حلًا أشمل، فالبرنامج الكامل المناسب لكم هو: "&amp;H810&amp;"."&amp;IF(I810&lt;&gt;"",CHAR(10)&amp;"كما يمكنكم أيضًا حجز: "&amp;I810&amp;".","")&amp;IF(J810&lt;&gt;"",CHAR(10)&amp;CHAR(10)&amp;"رابط التقرير: "&amp;J810,"")&amp;CHAR(10)&amp;CHAR(10)&amp;"يسعدنا مساعدتكم في اختيار المسار الأنسب حسب وضع العيادة الحالي.")</x:f>
      </x:c>
      <x:c r="P810" s="12" t="str">
        <x:f>IF(D810="","",HYPERLINK("https://wa.me/"&amp;REGEXREPLACE(D810,"[^\d]","")&amp;"?text="&amp;ENCODEURL(O810),"واتساب 3"))</x:f>
      </x:c>
    </x:row>
    <x:row r="811" ht="15" hidden="0" customHeight="1">
      <x:c r="A811" s="12" t="str">
        <x:f>IF(Leads!A811="","",Leads!A811)</x:f>
      </x:c>
      <x:c r="B811" s="12" t="str">
        <x:f>IF(Leads!F811="","",Leads!F811)</x:f>
      </x:c>
      <x:c r="C811" s="12" t="str">
        <x:f>IF(Leads!G811="","",Leads!G811)</x:f>
      </x:c>
      <x:c r="D811" s="12" t="str">
        <x:f>IF(Leads!O811="","",Leads!O811)</x:f>
      </x:c>
      <x:c r="E811" s="12" t="str">
        <x:f>IF(Leads!AV811="","",Leads!AV811)</x:f>
      </x:c>
      <x:c r="F811" s="12" t="str">
        <x:f>IF(Leads!AX811="","",Leads!AX811)</x:f>
      </x:c>
      <x:c r="G811" s="12" t="str">
        <x:f>IF(Leads!BC811="","",Leads!BC811)</x:f>
      </x:c>
      <x:c r="H811" s="12" t="str">
        <x:f>IF(Leads!BE811="","",Leads!BE811)</x:f>
      </x:c>
      <x:c r="I811" s="12" t="str">
        <x:f>IF(Leads!BG811="","",Leads!BG811)</x:f>
      </x:c>
      <x:c r="J811" s="12" t="str">
        <x:f>IF(Leads!BH811="","",Leads!BH811)</x:f>
      </x:c>
      <x:c r="K811" s="12" t="str">
        <x:f>IF(A811="","","مرحبًا "&amp;C811&amp;CHAR(10)&amp;CHAR(10)&amp;"شكرًا لإتمام تقييم DBD الخاص بعيادة "&amp;B811&amp;"."&amp;CHAR(10)&amp;"نتيجتكم الحالية: "&amp;E811&amp;"%."&amp;CHAR(10)&amp;"أولوية التحسين الأولى: "&amp;F811&amp;"."&amp;IF(J811&lt;&gt;"",CHAR(10)&amp;CHAR(10)&amp;"رابط التقرير: "&amp;J811,"")&amp;CHAR(10)&amp;CHAR(10)&amp;"إذا أحببت، يمكننا مساعدتك في فهم التقرير وتحديد أفضل خطوة تالية لعيادتكم.")</x:f>
      </x:c>
      <x:c r="L811" s="12" t="str">
        <x:f>IF(D811="","",HYPERLINK("https://wa.me/"&amp;REGEXREPLACE(D811,"[^\d]","")&amp;"?text="&amp;ENCODEURL(K811),"واتساب 1"))</x:f>
      </x:c>
      <x:c r="M811" s="12" t="str">
        <x:f>IF(A811="","","مرحبًا "&amp;C811&amp;CHAR(10)&amp;CHAR(10)&amp;"بناءً على نتيجة تقييم عيادة "&amp;B811&amp;"، فإن الترشيح الأقوى لكم الآن هو: "&amp;G811&amp;"."&amp;CHAR(10)&amp;"هذا الخيار يساعدكم في معالجة أكبر فجوة حالية بشكل عملي ومباشر."&amp;IF(J811&lt;&gt;"",CHAR(10)&amp;CHAR(10)&amp;"رابط التقرير: "&amp;J811,"")&amp;CHAR(10)&amp;CHAR(10)&amp;"إذا رغبت، يمكننا توضيح لماذا هذا الكورس هو الأنسب لكم الآن.")</x:f>
      </x:c>
      <x:c r="N811" s="12" t="str">
        <x:f>IF(D811="","",HYPERLINK("https://wa.me/"&amp;REGEXREPLACE(D811,"[^\d]","")&amp;"?text="&amp;ENCODEURL(M811),"واتساب 2"))</x:f>
      </x:c>
      <x:c r="O811" s="12" t="str">
        <x:f>IF(A811="","","مرحبًا "&amp;C811&amp;CHAR(10)&amp;CHAR(10)&amp;"إذا كانت التحديات لديكم تحتاج حلًا أشمل، فالبرنامج الكامل المناسب لكم هو: "&amp;H811&amp;"."&amp;IF(I811&lt;&gt;"",CHAR(10)&amp;"كما يمكنكم أيضًا حجز: "&amp;I811&amp;".","")&amp;IF(J811&lt;&gt;"",CHAR(10)&amp;CHAR(10)&amp;"رابط التقرير: "&amp;J811,"")&amp;CHAR(10)&amp;CHAR(10)&amp;"يسعدنا مساعدتكم في اختيار المسار الأنسب حسب وضع العيادة الحالي.")</x:f>
      </x:c>
      <x:c r="P811" s="12" t="str">
        <x:f>IF(D811="","",HYPERLINK("https://wa.me/"&amp;REGEXREPLACE(D811,"[^\d]","")&amp;"?text="&amp;ENCODEURL(O811),"واتساب 3"))</x:f>
      </x:c>
    </x:row>
    <x:row r="812" ht="15" hidden="0" customHeight="1">
      <x:c r="A812" s="12" t="str">
        <x:f>IF(Leads!A812="","",Leads!A812)</x:f>
      </x:c>
      <x:c r="B812" s="12" t="str">
        <x:f>IF(Leads!F812="","",Leads!F812)</x:f>
      </x:c>
      <x:c r="C812" s="12" t="str">
        <x:f>IF(Leads!G812="","",Leads!G812)</x:f>
      </x:c>
      <x:c r="D812" s="12" t="str">
        <x:f>IF(Leads!O812="","",Leads!O812)</x:f>
      </x:c>
      <x:c r="E812" s="12" t="str">
        <x:f>IF(Leads!AV812="","",Leads!AV812)</x:f>
      </x:c>
      <x:c r="F812" s="12" t="str">
        <x:f>IF(Leads!AX812="","",Leads!AX812)</x:f>
      </x:c>
      <x:c r="G812" s="12" t="str">
        <x:f>IF(Leads!BC812="","",Leads!BC812)</x:f>
      </x:c>
      <x:c r="H812" s="12" t="str">
        <x:f>IF(Leads!BE812="","",Leads!BE812)</x:f>
      </x:c>
      <x:c r="I812" s="12" t="str">
        <x:f>IF(Leads!BG812="","",Leads!BG812)</x:f>
      </x:c>
      <x:c r="J812" s="12" t="str">
        <x:f>IF(Leads!BH812="","",Leads!BH812)</x:f>
      </x:c>
      <x:c r="K812" s="12" t="str">
        <x:f>IF(A812="","","مرحبًا "&amp;C812&amp;CHAR(10)&amp;CHAR(10)&amp;"شكرًا لإتمام تقييم DBD الخاص بعيادة "&amp;B812&amp;"."&amp;CHAR(10)&amp;"نتيجتكم الحالية: "&amp;E812&amp;"%."&amp;CHAR(10)&amp;"أولوية التحسين الأولى: "&amp;F812&amp;"."&amp;IF(J812&lt;&gt;"",CHAR(10)&amp;CHAR(10)&amp;"رابط التقرير: "&amp;J812,"")&amp;CHAR(10)&amp;CHAR(10)&amp;"إذا أحببت، يمكننا مساعدتك في فهم التقرير وتحديد أفضل خطوة تالية لعيادتكم.")</x:f>
      </x:c>
      <x:c r="L812" s="12" t="str">
        <x:f>IF(D812="","",HYPERLINK("https://wa.me/"&amp;REGEXREPLACE(D812,"[^\d]","")&amp;"?text="&amp;ENCODEURL(K812),"واتساب 1"))</x:f>
      </x:c>
      <x:c r="M812" s="12" t="str">
        <x:f>IF(A812="","","مرحبًا "&amp;C812&amp;CHAR(10)&amp;CHAR(10)&amp;"بناءً على نتيجة تقييم عيادة "&amp;B812&amp;"، فإن الترشيح الأقوى لكم الآن هو: "&amp;G812&amp;"."&amp;CHAR(10)&amp;"هذا الخيار يساعدكم في معالجة أكبر فجوة حالية بشكل عملي ومباشر."&amp;IF(J812&lt;&gt;"",CHAR(10)&amp;CHAR(10)&amp;"رابط التقرير: "&amp;J812,"")&amp;CHAR(10)&amp;CHAR(10)&amp;"إذا رغبت، يمكننا توضيح لماذا هذا الكورس هو الأنسب لكم الآن.")</x:f>
      </x:c>
      <x:c r="N812" s="12" t="str">
        <x:f>IF(D812="","",HYPERLINK("https://wa.me/"&amp;REGEXREPLACE(D812,"[^\d]","")&amp;"?text="&amp;ENCODEURL(M812),"واتساب 2"))</x:f>
      </x:c>
      <x:c r="O812" s="12" t="str">
        <x:f>IF(A812="","","مرحبًا "&amp;C812&amp;CHAR(10)&amp;CHAR(10)&amp;"إذا كانت التحديات لديكم تحتاج حلًا أشمل، فالبرنامج الكامل المناسب لكم هو: "&amp;H812&amp;"."&amp;IF(I812&lt;&gt;"",CHAR(10)&amp;"كما يمكنكم أيضًا حجز: "&amp;I812&amp;".","")&amp;IF(J812&lt;&gt;"",CHAR(10)&amp;CHAR(10)&amp;"رابط التقرير: "&amp;J812,"")&amp;CHAR(10)&amp;CHAR(10)&amp;"يسعدنا مساعدتكم في اختيار المسار الأنسب حسب وضع العيادة الحالي.")</x:f>
      </x:c>
      <x:c r="P812" s="12" t="str">
        <x:f>IF(D812="","",HYPERLINK("https://wa.me/"&amp;REGEXREPLACE(D812,"[^\d]","")&amp;"?text="&amp;ENCODEURL(O812),"واتساب 3"))</x:f>
      </x:c>
    </x:row>
    <x:row r="813" ht="15" hidden="0" customHeight="1">
      <x:c r="A813" s="12" t="str">
        <x:f>IF(Leads!A813="","",Leads!A813)</x:f>
      </x:c>
      <x:c r="B813" s="12" t="str">
        <x:f>IF(Leads!F813="","",Leads!F813)</x:f>
      </x:c>
      <x:c r="C813" s="12" t="str">
        <x:f>IF(Leads!G813="","",Leads!G813)</x:f>
      </x:c>
      <x:c r="D813" s="12" t="str">
        <x:f>IF(Leads!O813="","",Leads!O813)</x:f>
      </x:c>
      <x:c r="E813" s="12" t="str">
        <x:f>IF(Leads!AV813="","",Leads!AV813)</x:f>
      </x:c>
      <x:c r="F813" s="12" t="str">
        <x:f>IF(Leads!AX813="","",Leads!AX813)</x:f>
      </x:c>
      <x:c r="G813" s="12" t="str">
        <x:f>IF(Leads!BC813="","",Leads!BC813)</x:f>
      </x:c>
      <x:c r="H813" s="12" t="str">
        <x:f>IF(Leads!BE813="","",Leads!BE813)</x:f>
      </x:c>
      <x:c r="I813" s="12" t="str">
        <x:f>IF(Leads!BG813="","",Leads!BG813)</x:f>
      </x:c>
      <x:c r="J813" s="12" t="str">
        <x:f>IF(Leads!BH813="","",Leads!BH813)</x:f>
      </x:c>
      <x:c r="K813" s="12" t="str">
        <x:f>IF(A813="","","مرحبًا "&amp;C813&amp;CHAR(10)&amp;CHAR(10)&amp;"شكرًا لإتمام تقييم DBD الخاص بعيادة "&amp;B813&amp;"."&amp;CHAR(10)&amp;"نتيجتكم الحالية: "&amp;E813&amp;"%."&amp;CHAR(10)&amp;"أولوية التحسين الأولى: "&amp;F813&amp;"."&amp;IF(J813&lt;&gt;"",CHAR(10)&amp;CHAR(10)&amp;"رابط التقرير: "&amp;J813,"")&amp;CHAR(10)&amp;CHAR(10)&amp;"إذا أحببت، يمكننا مساعدتك في فهم التقرير وتحديد أفضل خطوة تالية لعيادتكم.")</x:f>
      </x:c>
      <x:c r="L813" s="12" t="str">
        <x:f>IF(D813="","",HYPERLINK("https://wa.me/"&amp;REGEXREPLACE(D813,"[^\d]","")&amp;"?text="&amp;ENCODEURL(K813),"واتساب 1"))</x:f>
      </x:c>
      <x:c r="M813" s="12" t="str">
        <x:f>IF(A813="","","مرحبًا "&amp;C813&amp;CHAR(10)&amp;CHAR(10)&amp;"بناءً على نتيجة تقييم عيادة "&amp;B813&amp;"، فإن الترشيح الأقوى لكم الآن هو: "&amp;G813&amp;"."&amp;CHAR(10)&amp;"هذا الخيار يساعدكم في معالجة أكبر فجوة حالية بشكل عملي ومباشر."&amp;IF(J813&lt;&gt;"",CHAR(10)&amp;CHAR(10)&amp;"رابط التقرير: "&amp;J813,"")&amp;CHAR(10)&amp;CHAR(10)&amp;"إذا رغبت، يمكننا توضيح لماذا هذا الكورس هو الأنسب لكم الآن.")</x:f>
      </x:c>
      <x:c r="N813" s="12" t="str">
        <x:f>IF(D813="","",HYPERLINK("https://wa.me/"&amp;REGEXREPLACE(D813,"[^\d]","")&amp;"?text="&amp;ENCODEURL(M813),"واتساب 2"))</x:f>
      </x:c>
      <x:c r="O813" s="12" t="str">
        <x:f>IF(A813="","","مرحبًا "&amp;C813&amp;CHAR(10)&amp;CHAR(10)&amp;"إذا كانت التحديات لديكم تحتاج حلًا أشمل، فالبرنامج الكامل المناسب لكم هو: "&amp;H813&amp;"."&amp;IF(I813&lt;&gt;"",CHAR(10)&amp;"كما يمكنكم أيضًا حجز: "&amp;I813&amp;".","")&amp;IF(J813&lt;&gt;"",CHAR(10)&amp;CHAR(10)&amp;"رابط التقرير: "&amp;J813,"")&amp;CHAR(10)&amp;CHAR(10)&amp;"يسعدنا مساعدتكم في اختيار المسار الأنسب حسب وضع العيادة الحالي.")</x:f>
      </x:c>
      <x:c r="P813" s="12" t="str">
        <x:f>IF(D813="","",HYPERLINK("https://wa.me/"&amp;REGEXREPLACE(D813,"[^\d]","")&amp;"?text="&amp;ENCODEURL(O813),"واتساب 3"))</x:f>
      </x:c>
    </x:row>
    <x:row r="814" ht="15" hidden="0" customHeight="1">
      <x:c r="A814" s="12" t="str">
        <x:f>IF(Leads!A814="","",Leads!A814)</x:f>
      </x:c>
      <x:c r="B814" s="12" t="str">
        <x:f>IF(Leads!F814="","",Leads!F814)</x:f>
      </x:c>
      <x:c r="C814" s="12" t="str">
        <x:f>IF(Leads!G814="","",Leads!G814)</x:f>
      </x:c>
      <x:c r="D814" s="12" t="str">
        <x:f>IF(Leads!O814="","",Leads!O814)</x:f>
      </x:c>
      <x:c r="E814" s="12" t="str">
        <x:f>IF(Leads!AV814="","",Leads!AV814)</x:f>
      </x:c>
      <x:c r="F814" s="12" t="str">
        <x:f>IF(Leads!AX814="","",Leads!AX814)</x:f>
      </x:c>
      <x:c r="G814" s="12" t="str">
        <x:f>IF(Leads!BC814="","",Leads!BC814)</x:f>
      </x:c>
      <x:c r="H814" s="12" t="str">
        <x:f>IF(Leads!BE814="","",Leads!BE814)</x:f>
      </x:c>
      <x:c r="I814" s="12" t="str">
        <x:f>IF(Leads!BG814="","",Leads!BG814)</x:f>
      </x:c>
      <x:c r="J814" s="12" t="str">
        <x:f>IF(Leads!BH814="","",Leads!BH814)</x:f>
      </x:c>
      <x:c r="K814" s="12" t="str">
        <x:f>IF(A814="","","مرحبًا "&amp;C814&amp;CHAR(10)&amp;CHAR(10)&amp;"شكرًا لإتمام تقييم DBD الخاص بعيادة "&amp;B814&amp;"."&amp;CHAR(10)&amp;"نتيجتكم الحالية: "&amp;E814&amp;"%."&amp;CHAR(10)&amp;"أولوية التحسين الأولى: "&amp;F814&amp;"."&amp;IF(J814&lt;&gt;"",CHAR(10)&amp;CHAR(10)&amp;"رابط التقرير: "&amp;J814,"")&amp;CHAR(10)&amp;CHAR(10)&amp;"إذا أحببت، يمكننا مساعدتك في فهم التقرير وتحديد أفضل خطوة تالية لعيادتكم.")</x:f>
      </x:c>
      <x:c r="L814" s="12" t="str">
        <x:f>IF(D814="","",HYPERLINK("https://wa.me/"&amp;REGEXREPLACE(D814,"[^\d]","")&amp;"?text="&amp;ENCODEURL(K814),"واتساب 1"))</x:f>
      </x:c>
      <x:c r="M814" s="12" t="str">
        <x:f>IF(A814="","","مرحبًا "&amp;C814&amp;CHAR(10)&amp;CHAR(10)&amp;"بناءً على نتيجة تقييم عيادة "&amp;B814&amp;"، فإن الترشيح الأقوى لكم الآن هو: "&amp;G814&amp;"."&amp;CHAR(10)&amp;"هذا الخيار يساعدكم في معالجة أكبر فجوة حالية بشكل عملي ومباشر."&amp;IF(J814&lt;&gt;"",CHAR(10)&amp;CHAR(10)&amp;"رابط التقرير: "&amp;J814,"")&amp;CHAR(10)&amp;CHAR(10)&amp;"إذا رغبت، يمكننا توضيح لماذا هذا الكورس هو الأنسب لكم الآن.")</x:f>
      </x:c>
      <x:c r="N814" s="12" t="str">
        <x:f>IF(D814="","",HYPERLINK("https://wa.me/"&amp;REGEXREPLACE(D814,"[^\d]","")&amp;"?text="&amp;ENCODEURL(M814),"واتساب 2"))</x:f>
      </x:c>
      <x:c r="O814" s="12" t="str">
        <x:f>IF(A814="","","مرحبًا "&amp;C814&amp;CHAR(10)&amp;CHAR(10)&amp;"إذا كانت التحديات لديكم تحتاج حلًا أشمل، فالبرنامج الكامل المناسب لكم هو: "&amp;H814&amp;"."&amp;IF(I814&lt;&gt;"",CHAR(10)&amp;"كما يمكنكم أيضًا حجز: "&amp;I814&amp;".","")&amp;IF(J814&lt;&gt;"",CHAR(10)&amp;CHAR(10)&amp;"رابط التقرير: "&amp;J814,"")&amp;CHAR(10)&amp;CHAR(10)&amp;"يسعدنا مساعدتكم في اختيار المسار الأنسب حسب وضع العيادة الحالي.")</x:f>
      </x:c>
      <x:c r="P814" s="12" t="str">
        <x:f>IF(D814="","",HYPERLINK("https://wa.me/"&amp;REGEXREPLACE(D814,"[^\d]","")&amp;"?text="&amp;ENCODEURL(O814),"واتساب 3"))</x:f>
      </x:c>
    </x:row>
    <x:row r="815" ht="15" hidden="0" customHeight="1">
      <x:c r="A815" s="12" t="str">
        <x:f>IF(Leads!A815="","",Leads!A815)</x:f>
      </x:c>
      <x:c r="B815" s="12" t="str">
        <x:f>IF(Leads!F815="","",Leads!F815)</x:f>
      </x:c>
      <x:c r="C815" s="12" t="str">
        <x:f>IF(Leads!G815="","",Leads!G815)</x:f>
      </x:c>
      <x:c r="D815" s="12" t="str">
        <x:f>IF(Leads!O815="","",Leads!O815)</x:f>
      </x:c>
      <x:c r="E815" s="12" t="str">
        <x:f>IF(Leads!AV815="","",Leads!AV815)</x:f>
      </x:c>
      <x:c r="F815" s="12" t="str">
        <x:f>IF(Leads!AX815="","",Leads!AX815)</x:f>
      </x:c>
      <x:c r="G815" s="12" t="str">
        <x:f>IF(Leads!BC815="","",Leads!BC815)</x:f>
      </x:c>
      <x:c r="H815" s="12" t="str">
        <x:f>IF(Leads!BE815="","",Leads!BE815)</x:f>
      </x:c>
      <x:c r="I815" s="12" t="str">
        <x:f>IF(Leads!BG815="","",Leads!BG815)</x:f>
      </x:c>
      <x:c r="J815" s="12" t="str">
        <x:f>IF(Leads!BH815="","",Leads!BH815)</x:f>
      </x:c>
      <x:c r="K815" s="12" t="str">
        <x:f>IF(A815="","","مرحبًا "&amp;C815&amp;CHAR(10)&amp;CHAR(10)&amp;"شكرًا لإتمام تقييم DBD الخاص بعيادة "&amp;B815&amp;"."&amp;CHAR(10)&amp;"نتيجتكم الحالية: "&amp;E815&amp;"%."&amp;CHAR(10)&amp;"أولوية التحسين الأولى: "&amp;F815&amp;"."&amp;IF(J815&lt;&gt;"",CHAR(10)&amp;CHAR(10)&amp;"رابط التقرير: "&amp;J815,"")&amp;CHAR(10)&amp;CHAR(10)&amp;"إذا أحببت، يمكننا مساعدتك في فهم التقرير وتحديد أفضل خطوة تالية لعيادتكم.")</x:f>
      </x:c>
      <x:c r="L815" s="12" t="str">
        <x:f>IF(D815="","",HYPERLINK("https://wa.me/"&amp;REGEXREPLACE(D815,"[^\d]","")&amp;"?text="&amp;ENCODEURL(K815),"واتساب 1"))</x:f>
      </x:c>
      <x:c r="M815" s="12" t="str">
        <x:f>IF(A815="","","مرحبًا "&amp;C815&amp;CHAR(10)&amp;CHAR(10)&amp;"بناءً على نتيجة تقييم عيادة "&amp;B815&amp;"، فإن الترشيح الأقوى لكم الآن هو: "&amp;G815&amp;"."&amp;CHAR(10)&amp;"هذا الخيار يساعدكم في معالجة أكبر فجوة حالية بشكل عملي ومباشر."&amp;IF(J815&lt;&gt;"",CHAR(10)&amp;CHAR(10)&amp;"رابط التقرير: "&amp;J815,"")&amp;CHAR(10)&amp;CHAR(10)&amp;"إذا رغبت، يمكننا توضيح لماذا هذا الكورس هو الأنسب لكم الآن.")</x:f>
      </x:c>
      <x:c r="N815" s="12" t="str">
        <x:f>IF(D815="","",HYPERLINK("https://wa.me/"&amp;REGEXREPLACE(D815,"[^\d]","")&amp;"?text="&amp;ENCODEURL(M815),"واتساب 2"))</x:f>
      </x:c>
      <x:c r="O815" s="12" t="str">
        <x:f>IF(A815="","","مرحبًا "&amp;C815&amp;CHAR(10)&amp;CHAR(10)&amp;"إذا كانت التحديات لديكم تحتاج حلًا أشمل، فالبرنامج الكامل المناسب لكم هو: "&amp;H815&amp;"."&amp;IF(I815&lt;&gt;"",CHAR(10)&amp;"كما يمكنكم أيضًا حجز: "&amp;I815&amp;".","")&amp;IF(J815&lt;&gt;"",CHAR(10)&amp;CHAR(10)&amp;"رابط التقرير: "&amp;J815,"")&amp;CHAR(10)&amp;CHAR(10)&amp;"يسعدنا مساعدتكم في اختيار المسار الأنسب حسب وضع العيادة الحالي.")</x:f>
      </x:c>
      <x:c r="P815" s="12" t="str">
        <x:f>IF(D815="","",HYPERLINK("https://wa.me/"&amp;REGEXREPLACE(D815,"[^\d]","")&amp;"?text="&amp;ENCODEURL(O815),"واتساب 3"))</x:f>
      </x:c>
    </x:row>
    <x:row r="816" ht="15" hidden="0" customHeight="1">
      <x:c r="A816" s="12" t="str">
        <x:f>IF(Leads!A816="","",Leads!A816)</x:f>
      </x:c>
      <x:c r="B816" s="12" t="str">
        <x:f>IF(Leads!F816="","",Leads!F816)</x:f>
      </x:c>
      <x:c r="C816" s="12" t="str">
        <x:f>IF(Leads!G816="","",Leads!G816)</x:f>
      </x:c>
      <x:c r="D816" s="12" t="str">
        <x:f>IF(Leads!O816="","",Leads!O816)</x:f>
      </x:c>
      <x:c r="E816" s="12" t="str">
        <x:f>IF(Leads!AV816="","",Leads!AV816)</x:f>
      </x:c>
      <x:c r="F816" s="12" t="str">
        <x:f>IF(Leads!AX816="","",Leads!AX816)</x:f>
      </x:c>
      <x:c r="G816" s="12" t="str">
        <x:f>IF(Leads!BC816="","",Leads!BC816)</x:f>
      </x:c>
      <x:c r="H816" s="12" t="str">
        <x:f>IF(Leads!BE816="","",Leads!BE816)</x:f>
      </x:c>
      <x:c r="I816" s="12" t="str">
        <x:f>IF(Leads!BG816="","",Leads!BG816)</x:f>
      </x:c>
      <x:c r="J816" s="12" t="str">
        <x:f>IF(Leads!BH816="","",Leads!BH816)</x:f>
      </x:c>
      <x:c r="K816" s="12" t="str">
        <x:f>IF(A816="","","مرحبًا "&amp;C816&amp;CHAR(10)&amp;CHAR(10)&amp;"شكرًا لإتمام تقييم DBD الخاص بعيادة "&amp;B816&amp;"."&amp;CHAR(10)&amp;"نتيجتكم الحالية: "&amp;E816&amp;"%."&amp;CHAR(10)&amp;"أولوية التحسين الأولى: "&amp;F816&amp;"."&amp;IF(J816&lt;&gt;"",CHAR(10)&amp;CHAR(10)&amp;"رابط التقرير: "&amp;J816,"")&amp;CHAR(10)&amp;CHAR(10)&amp;"إذا أحببت، يمكننا مساعدتك في فهم التقرير وتحديد أفضل خطوة تالية لعيادتكم.")</x:f>
      </x:c>
      <x:c r="L816" s="12" t="str">
        <x:f>IF(D816="","",HYPERLINK("https://wa.me/"&amp;REGEXREPLACE(D816,"[^\d]","")&amp;"?text="&amp;ENCODEURL(K816),"واتساب 1"))</x:f>
      </x:c>
      <x:c r="M816" s="12" t="str">
        <x:f>IF(A816="","","مرحبًا "&amp;C816&amp;CHAR(10)&amp;CHAR(10)&amp;"بناءً على نتيجة تقييم عيادة "&amp;B816&amp;"، فإن الترشيح الأقوى لكم الآن هو: "&amp;G816&amp;"."&amp;CHAR(10)&amp;"هذا الخيار يساعدكم في معالجة أكبر فجوة حالية بشكل عملي ومباشر."&amp;IF(J816&lt;&gt;"",CHAR(10)&amp;CHAR(10)&amp;"رابط التقرير: "&amp;J816,"")&amp;CHAR(10)&amp;CHAR(10)&amp;"إذا رغبت، يمكننا توضيح لماذا هذا الكورس هو الأنسب لكم الآن.")</x:f>
      </x:c>
      <x:c r="N816" s="12" t="str">
        <x:f>IF(D816="","",HYPERLINK("https://wa.me/"&amp;REGEXREPLACE(D816,"[^\d]","")&amp;"?text="&amp;ENCODEURL(M816),"واتساب 2"))</x:f>
      </x:c>
      <x:c r="O816" s="12" t="str">
        <x:f>IF(A816="","","مرحبًا "&amp;C816&amp;CHAR(10)&amp;CHAR(10)&amp;"إذا كانت التحديات لديكم تحتاج حلًا أشمل، فالبرنامج الكامل المناسب لكم هو: "&amp;H816&amp;"."&amp;IF(I816&lt;&gt;"",CHAR(10)&amp;"كما يمكنكم أيضًا حجز: "&amp;I816&amp;".","")&amp;IF(J816&lt;&gt;"",CHAR(10)&amp;CHAR(10)&amp;"رابط التقرير: "&amp;J816,"")&amp;CHAR(10)&amp;CHAR(10)&amp;"يسعدنا مساعدتكم في اختيار المسار الأنسب حسب وضع العيادة الحالي.")</x:f>
      </x:c>
      <x:c r="P816" s="12" t="str">
        <x:f>IF(D816="","",HYPERLINK("https://wa.me/"&amp;REGEXREPLACE(D816,"[^\d]","")&amp;"?text="&amp;ENCODEURL(O816),"واتساب 3"))</x:f>
      </x:c>
    </x:row>
    <x:row r="817" ht="15" hidden="0" customHeight="1">
      <x:c r="A817" s="12" t="str">
        <x:f>IF(Leads!A817="","",Leads!A817)</x:f>
      </x:c>
      <x:c r="B817" s="12" t="str">
        <x:f>IF(Leads!F817="","",Leads!F817)</x:f>
      </x:c>
      <x:c r="C817" s="12" t="str">
        <x:f>IF(Leads!G817="","",Leads!G817)</x:f>
      </x:c>
      <x:c r="D817" s="12" t="str">
        <x:f>IF(Leads!O817="","",Leads!O817)</x:f>
      </x:c>
      <x:c r="E817" s="12" t="str">
        <x:f>IF(Leads!AV817="","",Leads!AV817)</x:f>
      </x:c>
      <x:c r="F817" s="12" t="str">
        <x:f>IF(Leads!AX817="","",Leads!AX817)</x:f>
      </x:c>
      <x:c r="G817" s="12" t="str">
        <x:f>IF(Leads!BC817="","",Leads!BC817)</x:f>
      </x:c>
      <x:c r="H817" s="12" t="str">
        <x:f>IF(Leads!BE817="","",Leads!BE817)</x:f>
      </x:c>
      <x:c r="I817" s="12" t="str">
        <x:f>IF(Leads!BG817="","",Leads!BG817)</x:f>
      </x:c>
      <x:c r="J817" s="12" t="str">
        <x:f>IF(Leads!BH817="","",Leads!BH817)</x:f>
      </x:c>
      <x:c r="K817" s="12" t="str">
        <x:f>IF(A817="","","مرحبًا "&amp;C817&amp;CHAR(10)&amp;CHAR(10)&amp;"شكرًا لإتمام تقييم DBD الخاص بعيادة "&amp;B817&amp;"."&amp;CHAR(10)&amp;"نتيجتكم الحالية: "&amp;E817&amp;"%."&amp;CHAR(10)&amp;"أولوية التحسين الأولى: "&amp;F817&amp;"."&amp;IF(J817&lt;&gt;"",CHAR(10)&amp;CHAR(10)&amp;"رابط التقرير: "&amp;J817,"")&amp;CHAR(10)&amp;CHAR(10)&amp;"إذا أحببت، يمكننا مساعدتك في فهم التقرير وتحديد أفضل خطوة تالية لعيادتكم.")</x:f>
      </x:c>
      <x:c r="L817" s="12" t="str">
        <x:f>IF(D817="","",HYPERLINK("https://wa.me/"&amp;REGEXREPLACE(D817,"[^\d]","")&amp;"?text="&amp;ENCODEURL(K817),"واتساب 1"))</x:f>
      </x:c>
      <x:c r="M817" s="12" t="str">
        <x:f>IF(A817="","","مرحبًا "&amp;C817&amp;CHAR(10)&amp;CHAR(10)&amp;"بناءً على نتيجة تقييم عيادة "&amp;B817&amp;"، فإن الترشيح الأقوى لكم الآن هو: "&amp;G817&amp;"."&amp;CHAR(10)&amp;"هذا الخيار يساعدكم في معالجة أكبر فجوة حالية بشكل عملي ومباشر."&amp;IF(J817&lt;&gt;"",CHAR(10)&amp;CHAR(10)&amp;"رابط التقرير: "&amp;J817,"")&amp;CHAR(10)&amp;CHAR(10)&amp;"إذا رغبت، يمكننا توضيح لماذا هذا الكورس هو الأنسب لكم الآن.")</x:f>
      </x:c>
      <x:c r="N817" s="12" t="str">
        <x:f>IF(D817="","",HYPERLINK("https://wa.me/"&amp;REGEXREPLACE(D817,"[^\d]","")&amp;"?text="&amp;ENCODEURL(M817),"واتساب 2"))</x:f>
      </x:c>
      <x:c r="O817" s="12" t="str">
        <x:f>IF(A817="","","مرحبًا "&amp;C817&amp;CHAR(10)&amp;CHAR(10)&amp;"إذا كانت التحديات لديكم تحتاج حلًا أشمل، فالبرنامج الكامل المناسب لكم هو: "&amp;H817&amp;"."&amp;IF(I817&lt;&gt;"",CHAR(10)&amp;"كما يمكنكم أيضًا حجز: "&amp;I817&amp;".","")&amp;IF(J817&lt;&gt;"",CHAR(10)&amp;CHAR(10)&amp;"رابط التقرير: "&amp;J817,"")&amp;CHAR(10)&amp;CHAR(10)&amp;"يسعدنا مساعدتكم في اختيار المسار الأنسب حسب وضع العيادة الحالي.")</x:f>
      </x:c>
      <x:c r="P817" s="12" t="str">
        <x:f>IF(D817="","",HYPERLINK("https://wa.me/"&amp;REGEXREPLACE(D817,"[^\d]","")&amp;"?text="&amp;ENCODEURL(O817),"واتساب 3"))</x:f>
      </x:c>
    </x:row>
    <x:row r="818" ht="15" hidden="0" customHeight="1">
      <x:c r="A818" s="12" t="str">
        <x:f>IF(Leads!A818="","",Leads!A818)</x:f>
      </x:c>
      <x:c r="B818" s="12" t="str">
        <x:f>IF(Leads!F818="","",Leads!F818)</x:f>
      </x:c>
      <x:c r="C818" s="12" t="str">
        <x:f>IF(Leads!G818="","",Leads!G818)</x:f>
      </x:c>
      <x:c r="D818" s="12" t="str">
        <x:f>IF(Leads!O818="","",Leads!O818)</x:f>
      </x:c>
      <x:c r="E818" s="12" t="str">
        <x:f>IF(Leads!AV818="","",Leads!AV818)</x:f>
      </x:c>
      <x:c r="F818" s="12" t="str">
        <x:f>IF(Leads!AX818="","",Leads!AX818)</x:f>
      </x:c>
      <x:c r="G818" s="12" t="str">
        <x:f>IF(Leads!BC818="","",Leads!BC818)</x:f>
      </x:c>
      <x:c r="H818" s="12" t="str">
        <x:f>IF(Leads!BE818="","",Leads!BE818)</x:f>
      </x:c>
      <x:c r="I818" s="12" t="str">
        <x:f>IF(Leads!BG818="","",Leads!BG818)</x:f>
      </x:c>
      <x:c r="J818" s="12" t="str">
        <x:f>IF(Leads!BH818="","",Leads!BH818)</x:f>
      </x:c>
      <x:c r="K818" s="12" t="str">
        <x:f>IF(A818="","","مرحبًا "&amp;C818&amp;CHAR(10)&amp;CHAR(10)&amp;"شكرًا لإتمام تقييم DBD الخاص بعيادة "&amp;B818&amp;"."&amp;CHAR(10)&amp;"نتيجتكم الحالية: "&amp;E818&amp;"%."&amp;CHAR(10)&amp;"أولوية التحسين الأولى: "&amp;F818&amp;"."&amp;IF(J818&lt;&gt;"",CHAR(10)&amp;CHAR(10)&amp;"رابط التقرير: "&amp;J818,"")&amp;CHAR(10)&amp;CHAR(10)&amp;"إذا أحببت، يمكننا مساعدتك في فهم التقرير وتحديد أفضل خطوة تالية لعيادتكم.")</x:f>
      </x:c>
      <x:c r="L818" s="12" t="str">
        <x:f>IF(D818="","",HYPERLINK("https://wa.me/"&amp;REGEXREPLACE(D818,"[^\d]","")&amp;"?text="&amp;ENCODEURL(K818),"واتساب 1"))</x:f>
      </x:c>
      <x:c r="M818" s="12" t="str">
        <x:f>IF(A818="","","مرحبًا "&amp;C818&amp;CHAR(10)&amp;CHAR(10)&amp;"بناءً على نتيجة تقييم عيادة "&amp;B818&amp;"، فإن الترشيح الأقوى لكم الآن هو: "&amp;G818&amp;"."&amp;CHAR(10)&amp;"هذا الخيار يساعدكم في معالجة أكبر فجوة حالية بشكل عملي ومباشر."&amp;IF(J818&lt;&gt;"",CHAR(10)&amp;CHAR(10)&amp;"رابط التقرير: "&amp;J818,"")&amp;CHAR(10)&amp;CHAR(10)&amp;"إذا رغبت، يمكننا توضيح لماذا هذا الكورس هو الأنسب لكم الآن.")</x:f>
      </x:c>
      <x:c r="N818" s="12" t="str">
        <x:f>IF(D818="","",HYPERLINK("https://wa.me/"&amp;REGEXREPLACE(D818,"[^\d]","")&amp;"?text="&amp;ENCODEURL(M818),"واتساب 2"))</x:f>
      </x:c>
      <x:c r="O818" s="12" t="str">
        <x:f>IF(A818="","","مرحبًا "&amp;C818&amp;CHAR(10)&amp;CHAR(10)&amp;"إذا كانت التحديات لديكم تحتاج حلًا أشمل، فالبرنامج الكامل المناسب لكم هو: "&amp;H818&amp;"."&amp;IF(I818&lt;&gt;"",CHAR(10)&amp;"كما يمكنكم أيضًا حجز: "&amp;I818&amp;".","")&amp;IF(J818&lt;&gt;"",CHAR(10)&amp;CHAR(10)&amp;"رابط التقرير: "&amp;J818,"")&amp;CHAR(10)&amp;CHAR(10)&amp;"يسعدنا مساعدتكم في اختيار المسار الأنسب حسب وضع العيادة الحالي.")</x:f>
      </x:c>
      <x:c r="P818" s="12" t="str">
        <x:f>IF(D818="","",HYPERLINK("https://wa.me/"&amp;REGEXREPLACE(D818,"[^\d]","")&amp;"?text="&amp;ENCODEURL(O818),"واتساب 3"))</x:f>
      </x:c>
    </x:row>
    <x:row r="819" ht="15" hidden="0" customHeight="1">
      <x:c r="A819" s="12" t="str">
        <x:f>IF(Leads!A819="","",Leads!A819)</x:f>
      </x:c>
      <x:c r="B819" s="12" t="str">
        <x:f>IF(Leads!F819="","",Leads!F819)</x:f>
      </x:c>
      <x:c r="C819" s="12" t="str">
        <x:f>IF(Leads!G819="","",Leads!G819)</x:f>
      </x:c>
      <x:c r="D819" s="12" t="str">
        <x:f>IF(Leads!O819="","",Leads!O819)</x:f>
      </x:c>
      <x:c r="E819" s="12" t="str">
        <x:f>IF(Leads!AV819="","",Leads!AV819)</x:f>
      </x:c>
      <x:c r="F819" s="12" t="str">
        <x:f>IF(Leads!AX819="","",Leads!AX819)</x:f>
      </x:c>
      <x:c r="G819" s="12" t="str">
        <x:f>IF(Leads!BC819="","",Leads!BC819)</x:f>
      </x:c>
      <x:c r="H819" s="12" t="str">
        <x:f>IF(Leads!BE819="","",Leads!BE819)</x:f>
      </x:c>
      <x:c r="I819" s="12" t="str">
        <x:f>IF(Leads!BG819="","",Leads!BG819)</x:f>
      </x:c>
      <x:c r="J819" s="12" t="str">
        <x:f>IF(Leads!BH819="","",Leads!BH819)</x:f>
      </x:c>
      <x:c r="K819" s="12" t="str">
        <x:f>IF(A819="","","مرحبًا "&amp;C819&amp;CHAR(10)&amp;CHAR(10)&amp;"شكرًا لإتمام تقييم DBD الخاص بعيادة "&amp;B819&amp;"."&amp;CHAR(10)&amp;"نتيجتكم الحالية: "&amp;E819&amp;"%."&amp;CHAR(10)&amp;"أولوية التحسين الأولى: "&amp;F819&amp;"."&amp;IF(J819&lt;&gt;"",CHAR(10)&amp;CHAR(10)&amp;"رابط التقرير: "&amp;J819,"")&amp;CHAR(10)&amp;CHAR(10)&amp;"إذا أحببت، يمكننا مساعدتك في فهم التقرير وتحديد أفضل خطوة تالية لعيادتكم.")</x:f>
      </x:c>
      <x:c r="L819" s="12" t="str">
        <x:f>IF(D819="","",HYPERLINK("https://wa.me/"&amp;REGEXREPLACE(D819,"[^\d]","")&amp;"?text="&amp;ENCODEURL(K819),"واتساب 1"))</x:f>
      </x:c>
      <x:c r="M819" s="12" t="str">
        <x:f>IF(A819="","","مرحبًا "&amp;C819&amp;CHAR(10)&amp;CHAR(10)&amp;"بناءً على نتيجة تقييم عيادة "&amp;B819&amp;"، فإن الترشيح الأقوى لكم الآن هو: "&amp;G819&amp;"."&amp;CHAR(10)&amp;"هذا الخيار يساعدكم في معالجة أكبر فجوة حالية بشكل عملي ومباشر."&amp;IF(J819&lt;&gt;"",CHAR(10)&amp;CHAR(10)&amp;"رابط التقرير: "&amp;J819,"")&amp;CHAR(10)&amp;CHAR(10)&amp;"إذا رغبت، يمكننا توضيح لماذا هذا الكورس هو الأنسب لكم الآن.")</x:f>
      </x:c>
      <x:c r="N819" s="12" t="str">
        <x:f>IF(D819="","",HYPERLINK("https://wa.me/"&amp;REGEXREPLACE(D819,"[^\d]","")&amp;"?text="&amp;ENCODEURL(M819),"واتساب 2"))</x:f>
      </x:c>
      <x:c r="O819" s="12" t="str">
        <x:f>IF(A819="","","مرحبًا "&amp;C819&amp;CHAR(10)&amp;CHAR(10)&amp;"إذا كانت التحديات لديكم تحتاج حلًا أشمل، فالبرنامج الكامل المناسب لكم هو: "&amp;H819&amp;"."&amp;IF(I819&lt;&gt;"",CHAR(10)&amp;"كما يمكنكم أيضًا حجز: "&amp;I819&amp;".","")&amp;IF(J819&lt;&gt;"",CHAR(10)&amp;CHAR(10)&amp;"رابط التقرير: "&amp;J819,"")&amp;CHAR(10)&amp;CHAR(10)&amp;"يسعدنا مساعدتكم في اختيار المسار الأنسب حسب وضع العيادة الحالي.")</x:f>
      </x:c>
      <x:c r="P819" s="12" t="str">
        <x:f>IF(D819="","",HYPERLINK("https://wa.me/"&amp;REGEXREPLACE(D819,"[^\d]","")&amp;"?text="&amp;ENCODEURL(O819),"واتساب 3"))</x:f>
      </x:c>
    </x:row>
    <x:row r="820" ht="15" hidden="0" customHeight="1">
      <x:c r="A820" s="12" t="str">
        <x:f>IF(Leads!A820="","",Leads!A820)</x:f>
      </x:c>
      <x:c r="B820" s="12" t="str">
        <x:f>IF(Leads!F820="","",Leads!F820)</x:f>
      </x:c>
      <x:c r="C820" s="12" t="str">
        <x:f>IF(Leads!G820="","",Leads!G820)</x:f>
      </x:c>
      <x:c r="D820" s="12" t="str">
        <x:f>IF(Leads!O820="","",Leads!O820)</x:f>
      </x:c>
      <x:c r="E820" s="12" t="str">
        <x:f>IF(Leads!AV820="","",Leads!AV820)</x:f>
      </x:c>
      <x:c r="F820" s="12" t="str">
        <x:f>IF(Leads!AX820="","",Leads!AX820)</x:f>
      </x:c>
      <x:c r="G820" s="12" t="str">
        <x:f>IF(Leads!BC820="","",Leads!BC820)</x:f>
      </x:c>
      <x:c r="H820" s="12" t="str">
        <x:f>IF(Leads!BE820="","",Leads!BE820)</x:f>
      </x:c>
      <x:c r="I820" s="12" t="str">
        <x:f>IF(Leads!BG820="","",Leads!BG820)</x:f>
      </x:c>
      <x:c r="J820" s="12" t="str">
        <x:f>IF(Leads!BH820="","",Leads!BH820)</x:f>
      </x:c>
      <x:c r="K820" s="12" t="str">
        <x:f>IF(A820="","","مرحبًا "&amp;C820&amp;CHAR(10)&amp;CHAR(10)&amp;"شكرًا لإتمام تقييم DBD الخاص بعيادة "&amp;B820&amp;"."&amp;CHAR(10)&amp;"نتيجتكم الحالية: "&amp;E820&amp;"%."&amp;CHAR(10)&amp;"أولوية التحسين الأولى: "&amp;F820&amp;"."&amp;IF(J820&lt;&gt;"",CHAR(10)&amp;CHAR(10)&amp;"رابط التقرير: "&amp;J820,"")&amp;CHAR(10)&amp;CHAR(10)&amp;"إذا أحببت، يمكننا مساعدتك في فهم التقرير وتحديد أفضل خطوة تالية لعيادتكم.")</x:f>
      </x:c>
      <x:c r="L820" s="12" t="str">
        <x:f>IF(D820="","",HYPERLINK("https://wa.me/"&amp;REGEXREPLACE(D820,"[^\d]","")&amp;"?text="&amp;ENCODEURL(K820),"واتساب 1"))</x:f>
      </x:c>
      <x:c r="M820" s="12" t="str">
        <x:f>IF(A820="","","مرحبًا "&amp;C820&amp;CHAR(10)&amp;CHAR(10)&amp;"بناءً على نتيجة تقييم عيادة "&amp;B820&amp;"، فإن الترشيح الأقوى لكم الآن هو: "&amp;G820&amp;"."&amp;CHAR(10)&amp;"هذا الخيار يساعدكم في معالجة أكبر فجوة حالية بشكل عملي ومباشر."&amp;IF(J820&lt;&gt;"",CHAR(10)&amp;CHAR(10)&amp;"رابط التقرير: "&amp;J820,"")&amp;CHAR(10)&amp;CHAR(10)&amp;"إذا رغبت، يمكننا توضيح لماذا هذا الكورس هو الأنسب لكم الآن.")</x:f>
      </x:c>
      <x:c r="N820" s="12" t="str">
        <x:f>IF(D820="","",HYPERLINK("https://wa.me/"&amp;REGEXREPLACE(D820,"[^\d]","")&amp;"?text="&amp;ENCODEURL(M820),"واتساب 2"))</x:f>
      </x:c>
      <x:c r="O820" s="12" t="str">
        <x:f>IF(A820="","","مرحبًا "&amp;C820&amp;CHAR(10)&amp;CHAR(10)&amp;"إذا كانت التحديات لديكم تحتاج حلًا أشمل، فالبرنامج الكامل المناسب لكم هو: "&amp;H820&amp;"."&amp;IF(I820&lt;&gt;"",CHAR(10)&amp;"كما يمكنكم أيضًا حجز: "&amp;I820&amp;".","")&amp;IF(J820&lt;&gt;"",CHAR(10)&amp;CHAR(10)&amp;"رابط التقرير: "&amp;J820,"")&amp;CHAR(10)&amp;CHAR(10)&amp;"يسعدنا مساعدتكم في اختيار المسار الأنسب حسب وضع العيادة الحالي.")</x:f>
      </x:c>
      <x:c r="P820" s="12" t="str">
        <x:f>IF(D820="","",HYPERLINK("https://wa.me/"&amp;REGEXREPLACE(D820,"[^\d]","")&amp;"?text="&amp;ENCODEURL(O820),"واتساب 3"))</x:f>
      </x:c>
    </x:row>
    <x:row r="821" ht="15" hidden="0" customHeight="1">
      <x:c r="A821" s="12" t="str">
        <x:f>IF(Leads!A821="","",Leads!A821)</x:f>
      </x:c>
      <x:c r="B821" s="12" t="str">
        <x:f>IF(Leads!F821="","",Leads!F821)</x:f>
      </x:c>
      <x:c r="C821" s="12" t="str">
        <x:f>IF(Leads!G821="","",Leads!G821)</x:f>
      </x:c>
      <x:c r="D821" s="12" t="str">
        <x:f>IF(Leads!O821="","",Leads!O821)</x:f>
      </x:c>
      <x:c r="E821" s="12" t="str">
        <x:f>IF(Leads!AV821="","",Leads!AV821)</x:f>
      </x:c>
      <x:c r="F821" s="12" t="str">
        <x:f>IF(Leads!AX821="","",Leads!AX821)</x:f>
      </x:c>
      <x:c r="G821" s="12" t="str">
        <x:f>IF(Leads!BC821="","",Leads!BC821)</x:f>
      </x:c>
      <x:c r="H821" s="12" t="str">
        <x:f>IF(Leads!BE821="","",Leads!BE821)</x:f>
      </x:c>
      <x:c r="I821" s="12" t="str">
        <x:f>IF(Leads!BG821="","",Leads!BG821)</x:f>
      </x:c>
      <x:c r="J821" s="12" t="str">
        <x:f>IF(Leads!BH821="","",Leads!BH821)</x:f>
      </x:c>
      <x:c r="K821" s="12" t="str">
        <x:f>IF(A821="","","مرحبًا "&amp;C821&amp;CHAR(10)&amp;CHAR(10)&amp;"شكرًا لإتمام تقييم DBD الخاص بعيادة "&amp;B821&amp;"."&amp;CHAR(10)&amp;"نتيجتكم الحالية: "&amp;E821&amp;"%."&amp;CHAR(10)&amp;"أولوية التحسين الأولى: "&amp;F821&amp;"."&amp;IF(J821&lt;&gt;"",CHAR(10)&amp;CHAR(10)&amp;"رابط التقرير: "&amp;J821,"")&amp;CHAR(10)&amp;CHAR(10)&amp;"إذا أحببت، يمكننا مساعدتك في فهم التقرير وتحديد أفضل خطوة تالية لعيادتكم.")</x:f>
      </x:c>
      <x:c r="L821" s="12" t="str">
        <x:f>IF(D821="","",HYPERLINK("https://wa.me/"&amp;REGEXREPLACE(D821,"[^\d]","")&amp;"?text="&amp;ENCODEURL(K821),"واتساب 1"))</x:f>
      </x:c>
      <x:c r="M821" s="12" t="str">
        <x:f>IF(A821="","","مرحبًا "&amp;C821&amp;CHAR(10)&amp;CHAR(10)&amp;"بناءً على نتيجة تقييم عيادة "&amp;B821&amp;"، فإن الترشيح الأقوى لكم الآن هو: "&amp;G821&amp;"."&amp;CHAR(10)&amp;"هذا الخيار يساعدكم في معالجة أكبر فجوة حالية بشكل عملي ومباشر."&amp;IF(J821&lt;&gt;"",CHAR(10)&amp;CHAR(10)&amp;"رابط التقرير: "&amp;J821,"")&amp;CHAR(10)&amp;CHAR(10)&amp;"إذا رغبت، يمكننا توضيح لماذا هذا الكورس هو الأنسب لكم الآن.")</x:f>
      </x:c>
      <x:c r="N821" s="12" t="str">
        <x:f>IF(D821="","",HYPERLINK("https://wa.me/"&amp;REGEXREPLACE(D821,"[^\d]","")&amp;"?text="&amp;ENCODEURL(M821),"واتساب 2"))</x:f>
      </x:c>
      <x:c r="O821" s="12" t="str">
        <x:f>IF(A821="","","مرحبًا "&amp;C821&amp;CHAR(10)&amp;CHAR(10)&amp;"إذا كانت التحديات لديكم تحتاج حلًا أشمل، فالبرنامج الكامل المناسب لكم هو: "&amp;H821&amp;"."&amp;IF(I821&lt;&gt;"",CHAR(10)&amp;"كما يمكنكم أيضًا حجز: "&amp;I821&amp;".","")&amp;IF(J821&lt;&gt;"",CHAR(10)&amp;CHAR(10)&amp;"رابط التقرير: "&amp;J821,"")&amp;CHAR(10)&amp;CHAR(10)&amp;"يسعدنا مساعدتكم في اختيار المسار الأنسب حسب وضع العيادة الحالي.")</x:f>
      </x:c>
      <x:c r="P821" s="12" t="str">
        <x:f>IF(D821="","",HYPERLINK("https://wa.me/"&amp;REGEXREPLACE(D821,"[^\d]","")&amp;"?text="&amp;ENCODEURL(O821),"واتساب 3"))</x:f>
      </x:c>
    </x:row>
    <x:row r="822" ht="15" hidden="0" customHeight="1">
      <x:c r="A822" s="12" t="str">
        <x:f>IF(Leads!A822="","",Leads!A822)</x:f>
      </x:c>
      <x:c r="B822" s="12" t="str">
        <x:f>IF(Leads!F822="","",Leads!F822)</x:f>
      </x:c>
      <x:c r="C822" s="12" t="str">
        <x:f>IF(Leads!G822="","",Leads!G822)</x:f>
      </x:c>
      <x:c r="D822" s="12" t="str">
        <x:f>IF(Leads!O822="","",Leads!O822)</x:f>
      </x:c>
      <x:c r="E822" s="12" t="str">
        <x:f>IF(Leads!AV822="","",Leads!AV822)</x:f>
      </x:c>
      <x:c r="F822" s="12" t="str">
        <x:f>IF(Leads!AX822="","",Leads!AX822)</x:f>
      </x:c>
      <x:c r="G822" s="12" t="str">
        <x:f>IF(Leads!BC822="","",Leads!BC822)</x:f>
      </x:c>
      <x:c r="H822" s="12" t="str">
        <x:f>IF(Leads!BE822="","",Leads!BE822)</x:f>
      </x:c>
      <x:c r="I822" s="12" t="str">
        <x:f>IF(Leads!BG822="","",Leads!BG822)</x:f>
      </x:c>
      <x:c r="J822" s="12" t="str">
        <x:f>IF(Leads!BH822="","",Leads!BH822)</x:f>
      </x:c>
      <x:c r="K822" s="12" t="str">
        <x:f>IF(A822="","","مرحبًا "&amp;C822&amp;CHAR(10)&amp;CHAR(10)&amp;"شكرًا لإتمام تقييم DBD الخاص بعيادة "&amp;B822&amp;"."&amp;CHAR(10)&amp;"نتيجتكم الحالية: "&amp;E822&amp;"%."&amp;CHAR(10)&amp;"أولوية التحسين الأولى: "&amp;F822&amp;"."&amp;IF(J822&lt;&gt;"",CHAR(10)&amp;CHAR(10)&amp;"رابط التقرير: "&amp;J822,"")&amp;CHAR(10)&amp;CHAR(10)&amp;"إذا أحببت، يمكننا مساعدتك في فهم التقرير وتحديد أفضل خطوة تالية لعيادتكم.")</x:f>
      </x:c>
      <x:c r="L822" s="12" t="str">
        <x:f>IF(D822="","",HYPERLINK("https://wa.me/"&amp;REGEXREPLACE(D822,"[^\d]","")&amp;"?text="&amp;ENCODEURL(K822),"واتساب 1"))</x:f>
      </x:c>
      <x:c r="M822" s="12" t="str">
        <x:f>IF(A822="","","مرحبًا "&amp;C822&amp;CHAR(10)&amp;CHAR(10)&amp;"بناءً على نتيجة تقييم عيادة "&amp;B822&amp;"، فإن الترشيح الأقوى لكم الآن هو: "&amp;G822&amp;"."&amp;CHAR(10)&amp;"هذا الخيار يساعدكم في معالجة أكبر فجوة حالية بشكل عملي ومباشر."&amp;IF(J822&lt;&gt;"",CHAR(10)&amp;CHAR(10)&amp;"رابط التقرير: "&amp;J822,"")&amp;CHAR(10)&amp;CHAR(10)&amp;"إذا رغبت، يمكننا توضيح لماذا هذا الكورس هو الأنسب لكم الآن.")</x:f>
      </x:c>
      <x:c r="N822" s="12" t="str">
        <x:f>IF(D822="","",HYPERLINK("https://wa.me/"&amp;REGEXREPLACE(D822,"[^\d]","")&amp;"?text="&amp;ENCODEURL(M822),"واتساب 2"))</x:f>
      </x:c>
      <x:c r="O822" s="12" t="str">
        <x:f>IF(A822="","","مرحبًا "&amp;C822&amp;CHAR(10)&amp;CHAR(10)&amp;"إذا كانت التحديات لديكم تحتاج حلًا أشمل، فالبرنامج الكامل المناسب لكم هو: "&amp;H822&amp;"."&amp;IF(I822&lt;&gt;"",CHAR(10)&amp;"كما يمكنكم أيضًا حجز: "&amp;I822&amp;".","")&amp;IF(J822&lt;&gt;"",CHAR(10)&amp;CHAR(10)&amp;"رابط التقرير: "&amp;J822,"")&amp;CHAR(10)&amp;CHAR(10)&amp;"يسعدنا مساعدتكم في اختيار المسار الأنسب حسب وضع العيادة الحالي.")</x:f>
      </x:c>
      <x:c r="P822" s="12" t="str">
        <x:f>IF(D822="","",HYPERLINK("https://wa.me/"&amp;REGEXREPLACE(D822,"[^\d]","")&amp;"?text="&amp;ENCODEURL(O822),"واتساب 3"))</x:f>
      </x:c>
    </x:row>
    <x:row r="823" ht="15" hidden="0" customHeight="1">
      <x:c r="A823" s="12" t="str">
        <x:f>IF(Leads!A823="","",Leads!A823)</x:f>
      </x:c>
      <x:c r="B823" s="12" t="str">
        <x:f>IF(Leads!F823="","",Leads!F823)</x:f>
      </x:c>
      <x:c r="C823" s="12" t="str">
        <x:f>IF(Leads!G823="","",Leads!G823)</x:f>
      </x:c>
      <x:c r="D823" s="12" t="str">
        <x:f>IF(Leads!O823="","",Leads!O823)</x:f>
      </x:c>
      <x:c r="E823" s="12" t="str">
        <x:f>IF(Leads!AV823="","",Leads!AV823)</x:f>
      </x:c>
      <x:c r="F823" s="12" t="str">
        <x:f>IF(Leads!AX823="","",Leads!AX823)</x:f>
      </x:c>
      <x:c r="G823" s="12" t="str">
        <x:f>IF(Leads!BC823="","",Leads!BC823)</x:f>
      </x:c>
      <x:c r="H823" s="12" t="str">
        <x:f>IF(Leads!BE823="","",Leads!BE823)</x:f>
      </x:c>
      <x:c r="I823" s="12" t="str">
        <x:f>IF(Leads!BG823="","",Leads!BG823)</x:f>
      </x:c>
      <x:c r="J823" s="12" t="str">
        <x:f>IF(Leads!BH823="","",Leads!BH823)</x:f>
      </x:c>
      <x:c r="K823" s="12" t="str">
        <x:f>IF(A823="","","مرحبًا "&amp;C823&amp;CHAR(10)&amp;CHAR(10)&amp;"شكرًا لإتمام تقييم DBD الخاص بعيادة "&amp;B823&amp;"."&amp;CHAR(10)&amp;"نتيجتكم الحالية: "&amp;E823&amp;"%."&amp;CHAR(10)&amp;"أولوية التحسين الأولى: "&amp;F823&amp;"."&amp;IF(J823&lt;&gt;"",CHAR(10)&amp;CHAR(10)&amp;"رابط التقرير: "&amp;J823,"")&amp;CHAR(10)&amp;CHAR(10)&amp;"إذا أحببت، يمكننا مساعدتك في فهم التقرير وتحديد أفضل خطوة تالية لعيادتكم.")</x:f>
      </x:c>
      <x:c r="L823" s="12" t="str">
        <x:f>IF(D823="","",HYPERLINK("https://wa.me/"&amp;REGEXREPLACE(D823,"[^\d]","")&amp;"?text="&amp;ENCODEURL(K823),"واتساب 1"))</x:f>
      </x:c>
      <x:c r="M823" s="12" t="str">
        <x:f>IF(A823="","","مرحبًا "&amp;C823&amp;CHAR(10)&amp;CHAR(10)&amp;"بناءً على نتيجة تقييم عيادة "&amp;B823&amp;"، فإن الترشيح الأقوى لكم الآن هو: "&amp;G823&amp;"."&amp;CHAR(10)&amp;"هذا الخيار يساعدكم في معالجة أكبر فجوة حالية بشكل عملي ومباشر."&amp;IF(J823&lt;&gt;"",CHAR(10)&amp;CHAR(10)&amp;"رابط التقرير: "&amp;J823,"")&amp;CHAR(10)&amp;CHAR(10)&amp;"إذا رغبت، يمكننا توضيح لماذا هذا الكورس هو الأنسب لكم الآن.")</x:f>
      </x:c>
      <x:c r="N823" s="12" t="str">
        <x:f>IF(D823="","",HYPERLINK("https://wa.me/"&amp;REGEXREPLACE(D823,"[^\d]","")&amp;"?text="&amp;ENCODEURL(M823),"واتساب 2"))</x:f>
      </x:c>
      <x:c r="O823" s="12" t="str">
        <x:f>IF(A823="","","مرحبًا "&amp;C823&amp;CHAR(10)&amp;CHAR(10)&amp;"إذا كانت التحديات لديكم تحتاج حلًا أشمل، فالبرنامج الكامل المناسب لكم هو: "&amp;H823&amp;"."&amp;IF(I823&lt;&gt;"",CHAR(10)&amp;"كما يمكنكم أيضًا حجز: "&amp;I823&amp;".","")&amp;IF(J823&lt;&gt;"",CHAR(10)&amp;CHAR(10)&amp;"رابط التقرير: "&amp;J823,"")&amp;CHAR(10)&amp;CHAR(10)&amp;"يسعدنا مساعدتكم في اختيار المسار الأنسب حسب وضع العيادة الحالي.")</x:f>
      </x:c>
      <x:c r="P823" s="12" t="str">
        <x:f>IF(D823="","",HYPERLINK("https://wa.me/"&amp;REGEXREPLACE(D823,"[^\d]","")&amp;"?text="&amp;ENCODEURL(O823),"واتساب 3"))</x:f>
      </x:c>
    </x:row>
    <x:row r="824" ht="15" hidden="0" customHeight="1">
      <x:c r="A824" s="12" t="str">
        <x:f>IF(Leads!A824="","",Leads!A824)</x:f>
      </x:c>
      <x:c r="B824" s="12" t="str">
        <x:f>IF(Leads!F824="","",Leads!F824)</x:f>
      </x:c>
      <x:c r="C824" s="12" t="str">
        <x:f>IF(Leads!G824="","",Leads!G824)</x:f>
      </x:c>
      <x:c r="D824" s="12" t="str">
        <x:f>IF(Leads!O824="","",Leads!O824)</x:f>
      </x:c>
      <x:c r="E824" s="12" t="str">
        <x:f>IF(Leads!AV824="","",Leads!AV824)</x:f>
      </x:c>
      <x:c r="F824" s="12" t="str">
        <x:f>IF(Leads!AX824="","",Leads!AX824)</x:f>
      </x:c>
      <x:c r="G824" s="12" t="str">
        <x:f>IF(Leads!BC824="","",Leads!BC824)</x:f>
      </x:c>
      <x:c r="H824" s="12" t="str">
        <x:f>IF(Leads!BE824="","",Leads!BE824)</x:f>
      </x:c>
      <x:c r="I824" s="12" t="str">
        <x:f>IF(Leads!BG824="","",Leads!BG824)</x:f>
      </x:c>
      <x:c r="J824" s="12" t="str">
        <x:f>IF(Leads!BH824="","",Leads!BH824)</x:f>
      </x:c>
      <x:c r="K824" s="12" t="str">
        <x:f>IF(A824="","","مرحبًا "&amp;C824&amp;CHAR(10)&amp;CHAR(10)&amp;"شكرًا لإتمام تقييم DBD الخاص بعيادة "&amp;B824&amp;"."&amp;CHAR(10)&amp;"نتيجتكم الحالية: "&amp;E824&amp;"%."&amp;CHAR(10)&amp;"أولوية التحسين الأولى: "&amp;F824&amp;"."&amp;IF(J824&lt;&gt;"",CHAR(10)&amp;CHAR(10)&amp;"رابط التقرير: "&amp;J824,"")&amp;CHAR(10)&amp;CHAR(10)&amp;"إذا أحببت، يمكننا مساعدتك في فهم التقرير وتحديد أفضل خطوة تالية لعيادتكم.")</x:f>
      </x:c>
      <x:c r="L824" s="12" t="str">
        <x:f>IF(D824="","",HYPERLINK("https://wa.me/"&amp;REGEXREPLACE(D824,"[^\d]","")&amp;"?text="&amp;ENCODEURL(K824),"واتساب 1"))</x:f>
      </x:c>
      <x:c r="M824" s="12" t="str">
        <x:f>IF(A824="","","مرحبًا "&amp;C824&amp;CHAR(10)&amp;CHAR(10)&amp;"بناءً على نتيجة تقييم عيادة "&amp;B824&amp;"، فإن الترشيح الأقوى لكم الآن هو: "&amp;G824&amp;"."&amp;CHAR(10)&amp;"هذا الخيار يساعدكم في معالجة أكبر فجوة حالية بشكل عملي ومباشر."&amp;IF(J824&lt;&gt;"",CHAR(10)&amp;CHAR(10)&amp;"رابط التقرير: "&amp;J824,"")&amp;CHAR(10)&amp;CHAR(10)&amp;"إذا رغبت، يمكننا توضيح لماذا هذا الكورس هو الأنسب لكم الآن.")</x:f>
      </x:c>
      <x:c r="N824" s="12" t="str">
        <x:f>IF(D824="","",HYPERLINK("https://wa.me/"&amp;REGEXREPLACE(D824,"[^\d]","")&amp;"?text="&amp;ENCODEURL(M824),"واتساب 2"))</x:f>
      </x:c>
      <x:c r="O824" s="12" t="str">
        <x:f>IF(A824="","","مرحبًا "&amp;C824&amp;CHAR(10)&amp;CHAR(10)&amp;"إذا كانت التحديات لديكم تحتاج حلًا أشمل، فالبرنامج الكامل المناسب لكم هو: "&amp;H824&amp;"."&amp;IF(I824&lt;&gt;"",CHAR(10)&amp;"كما يمكنكم أيضًا حجز: "&amp;I824&amp;".","")&amp;IF(J824&lt;&gt;"",CHAR(10)&amp;CHAR(10)&amp;"رابط التقرير: "&amp;J824,"")&amp;CHAR(10)&amp;CHAR(10)&amp;"يسعدنا مساعدتكم في اختيار المسار الأنسب حسب وضع العيادة الحالي.")</x:f>
      </x:c>
      <x:c r="P824" s="12" t="str">
        <x:f>IF(D824="","",HYPERLINK("https://wa.me/"&amp;REGEXREPLACE(D824,"[^\d]","")&amp;"?text="&amp;ENCODEURL(O824),"واتساب 3"))</x:f>
      </x:c>
    </x:row>
    <x:row r="825" ht="15" hidden="0" customHeight="1">
      <x:c r="A825" s="12" t="str">
        <x:f>IF(Leads!A825="","",Leads!A825)</x:f>
      </x:c>
      <x:c r="B825" s="12" t="str">
        <x:f>IF(Leads!F825="","",Leads!F825)</x:f>
      </x:c>
      <x:c r="C825" s="12" t="str">
        <x:f>IF(Leads!G825="","",Leads!G825)</x:f>
      </x:c>
      <x:c r="D825" s="12" t="str">
        <x:f>IF(Leads!O825="","",Leads!O825)</x:f>
      </x:c>
      <x:c r="E825" s="12" t="str">
        <x:f>IF(Leads!AV825="","",Leads!AV825)</x:f>
      </x:c>
      <x:c r="F825" s="12" t="str">
        <x:f>IF(Leads!AX825="","",Leads!AX825)</x:f>
      </x:c>
      <x:c r="G825" s="12" t="str">
        <x:f>IF(Leads!BC825="","",Leads!BC825)</x:f>
      </x:c>
      <x:c r="H825" s="12" t="str">
        <x:f>IF(Leads!BE825="","",Leads!BE825)</x:f>
      </x:c>
      <x:c r="I825" s="12" t="str">
        <x:f>IF(Leads!BG825="","",Leads!BG825)</x:f>
      </x:c>
      <x:c r="J825" s="12" t="str">
        <x:f>IF(Leads!BH825="","",Leads!BH825)</x:f>
      </x:c>
      <x:c r="K825" s="12" t="str">
        <x:f>IF(A825="","","مرحبًا "&amp;C825&amp;CHAR(10)&amp;CHAR(10)&amp;"شكرًا لإتمام تقييم DBD الخاص بعيادة "&amp;B825&amp;"."&amp;CHAR(10)&amp;"نتيجتكم الحالية: "&amp;E825&amp;"%."&amp;CHAR(10)&amp;"أولوية التحسين الأولى: "&amp;F825&amp;"."&amp;IF(J825&lt;&gt;"",CHAR(10)&amp;CHAR(10)&amp;"رابط التقرير: "&amp;J825,"")&amp;CHAR(10)&amp;CHAR(10)&amp;"إذا أحببت، يمكننا مساعدتك في فهم التقرير وتحديد أفضل خطوة تالية لعيادتكم.")</x:f>
      </x:c>
      <x:c r="L825" s="12" t="str">
        <x:f>IF(D825="","",HYPERLINK("https://wa.me/"&amp;REGEXREPLACE(D825,"[^\d]","")&amp;"?text="&amp;ENCODEURL(K825),"واتساب 1"))</x:f>
      </x:c>
      <x:c r="M825" s="12" t="str">
        <x:f>IF(A825="","","مرحبًا "&amp;C825&amp;CHAR(10)&amp;CHAR(10)&amp;"بناءً على نتيجة تقييم عيادة "&amp;B825&amp;"، فإن الترشيح الأقوى لكم الآن هو: "&amp;G825&amp;"."&amp;CHAR(10)&amp;"هذا الخيار يساعدكم في معالجة أكبر فجوة حالية بشكل عملي ومباشر."&amp;IF(J825&lt;&gt;"",CHAR(10)&amp;CHAR(10)&amp;"رابط التقرير: "&amp;J825,"")&amp;CHAR(10)&amp;CHAR(10)&amp;"إذا رغبت، يمكننا توضيح لماذا هذا الكورس هو الأنسب لكم الآن.")</x:f>
      </x:c>
      <x:c r="N825" s="12" t="str">
        <x:f>IF(D825="","",HYPERLINK("https://wa.me/"&amp;REGEXREPLACE(D825,"[^\d]","")&amp;"?text="&amp;ENCODEURL(M825),"واتساب 2"))</x:f>
      </x:c>
      <x:c r="O825" s="12" t="str">
        <x:f>IF(A825="","","مرحبًا "&amp;C825&amp;CHAR(10)&amp;CHAR(10)&amp;"إذا كانت التحديات لديكم تحتاج حلًا أشمل، فالبرنامج الكامل المناسب لكم هو: "&amp;H825&amp;"."&amp;IF(I825&lt;&gt;"",CHAR(10)&amp;"كما يمكنكم أيضًا حجز: "&amp;I825&amp;".","")&amp;IF(J825&lt;&gt;"",CHAR(10)&amp;CHAR(10)&amp;"رابط التقرير: "&amp;J825,"")&amp;CHAR(10)&amp;CHAR(10)&amp;"يسعدنا مساعدتكم في اختيار المسار الأنسب حسب وضع العيادة الحالي.")</x:f>
      </x:c>
      <x:c r="P825" s="12" t="str">
        <x:f>IF(D825="","",HYPERLINK("https://wa.me/"&amp;REGEXREPLACE(D825,"[^\d]","")&amp;"?text="&amp;ENCODEURL(O825),"واتساب 3"))</x:f>
      </x:c>
    </x:row>
    <x:row r="826" ht="15" hidden="0" customHeight="1">
      <x:c r="A826" s="12" t="str">
        <x:f>IF(Leads!A826="","",Leads!A826)</x:f>
      </x:c>
      <x:c r="B826" s="12" t="str">
        <x:f>IF(Leads!F826="","",Leads!F826)</x:f>
      </x:c>
      <x:c r="C826" s="12" t="str">
        <x:f>IF(Leads!G826="","",Leads!G826)</x:f>
      </x:c>
      <x:c r="D826" s="12" t="str">
        <x:f>IF(Leads!O826="","",Leads!O826)</x:f>
      </x:c>
      <x:c r="E826" s="12" t="str">
        <x:f>IF(Leads!AV826="","",Leads!AV826)</x:f>
      </x:c>
      <x:c r="F826" s="12" t="str">
        <x:f>IF(Leads!AX826="","",Leads!AX826)</x:f>
      </x:c>
      <x:c r="G826" s="12" t="str">
        <x:f>IF(Leads!BC826="","",Leads!BC826)</x:f>
      </x:c>
      <x:c r="H826" s="12" t="str">
        <x:f>IF(Leads!BE826="","",Leads!BE826)</x:f>
      </x:c>
      <x:c r="I826" s="12" t="str">
        <x:f>IF(Leads!BG826="","",Leads!BG826)</x:f>
      </x:c>
      <x:c r="J826" s="12" t="str">
        <x:f>IF(Leads!BH826="","",Leads!BH826)</x:f>
      </x:c>
      <x:c r="K826" s="12" t="str">
        <x:f>IF(A826="","","مرحبًا "&amp;C826&amp;CHAR(10)&amp;CHAR(10)&amp;"شكرًا لإتمام تقييم DBD الخاص بعيادة "&amp;B826&amp;"."&amp;CHAR(10)&amp;"نتيجتكم الحالية: "&amp;E826&amp;"%."&amp;CHAR(10)&amp;"أولوية التحسين الأولى: "&amp;F826&amp;"."&amp;IF(J826&lt;&gt;"",CHAR(10)&amp;CHAR(10)&amp;"رابط التقرير: "&amp;J826,"")&amp;CHAR(10)&amp;CHAR(10)&amp;"إذا أحببت، يمكننا مساعدتك في فهم التقرير وتحديد أفضل خطوة تالية لعيادتكم.")</x:f>
      </x:c>
      <x:c r="L826" s="12" t="str">
        <x:f>IF(D826="","",HYPERLINK("https://wa.me/"&amp;REGEXREPLACE(D826,"[^\d]","")&amp;"?text="&amp;ENCODEURL(K826),"واتساب 1"))</x:f>
      </x:c>
      <x:c r="M826" s="12" t="str">
        <x:f>IF(A826="","","مرحبًا "&amp;C826&amp;CHAR(10)&amp;CHAR(10)&amp;"بناءً على نتيجة تقييم عيادة "&amp;B826&amp;"، فإن الترشيح الأقوى لكم الآن هو: "&amp;G826&amp;"."&amp;CHAR(10)&amp;"هذا الخيار يساعدكم في معالجة أكبر فجوة حالية بشكل عملي ومباشر."&amp;IF(J826&lt;&gt;"",CHAR(10)&amp;CHAR(10)&amp;"رابط التقرير: "&amp;J826,"")&amp;CHAR(10)&amp;CHAR(10)&amp;"إذا رغبت، يمكننا توضيح لماذا هذا الكورس هو الأنسب لكم الآن.")</x:f>
      </x:c>
      <x:c r="N826" s="12" t="str">
        <x:f>IF(D826="","",HYPERLINK("https://wa.me/"&amp;REGEXREPLACE(D826,"[^\d]","")&amp;"?text="&amp;ENCODEURL(M826),"واتساب 2"))</x:f>
      </x:c>
      <x:c r="O826" s="12" t="str">
        <x:f>IF(A826="","","مرحبًا "&amp;C826&amp;CHAR(10)&amp;CHAR(10)&amp;"إذا كانت التحديات لديكم تحتاج حلًا أشمل، فالبرنامج الكامل المناسب لكم هو: "&amp;H826&amp;"."&amp;IF(I826&lt;&gt;"",CHAR(10)&amp;"كما يمكنكم أيضًا حجز: "&amp;I826&amp;".","")&amp;IF(J826&lt;&gt;"",CHAR(10)&amp;CHAR(10)&amp;"رابط التقرير: "&amp;J826,"")&amp;CHAR(10)&amp;CHAR(10)&amp;"يسعدنا مساعدتكم في اختيار المسار الأنسب حسب وضع العيادة الحالي.")</x:f>
      </x:c>
      <x:c r="P826" s="12" t="str">
        <x:f>IF(D826="","",HYPERLINK("https://wa.me/"&amp;REGEXREPLACE(D826,"[^\d]","")&amp;"?text="&amp;ENCODEURL(O826),"واتساب 3"))</x:f>
      </x:c>
    </x:row>
    <x:row r="827" ht="15" hidden="0" customHeight="1">
      <x:c r="A827" s="12" t="str">
        <x:f>IF(Leads!A827="","",Leads!A827)</x:f>
      </x:c>
      <x:c r="B827" s="12" t="str">
        <x:f>IF(Leads!F827="","",Leads!F827)</x:f>
      </x:c>
      <x:c r="C827" s="12" t="str">
        <x:f>IF(Leads!G827="","",Leads!G827)</x:f>
      </x:c>
      <x:c r="D827" s="12" t="str">
        <x:f>IF(Leads!O827="","",Leads!O827)</x:f>
      </x:c>
      <x:c r="E827" s="12" t="str">
        <x:f>IF(Leads!AV827="","",Leads!AV827)</x:f>
      </x:c>
      <x:c r="F827" s="12" t="str">
        <x:f>IF(Leads!AX827="","",Leads!AX827)</x:f>
      </x:c>
      <x:c r="G827" s="12" t="str">
        <x:f>IF(Leads!BC827="","",Leads!BC827)</x:f>
      </x:c>
      <x:c r="H827" s="12" t="str">
        <x:f>IF(Leads!BE827="","",Leads!BE827)</x:f>
      </x:c>
      <x:c r="I827" s="12" t="str">
        <x:f>IF(Leads!BG827="","",Leads!BG827)</x:f>
      </x:c>
      <x:c r="J827" s="12" t="str">
        <x:f>IF(Leads!BH827="","",Leads!BH827)</x:f>
      </x:c>
      <x:c r="K827" s="12" t="str">
        <x:f>IF(A827="","","مرحبًا "&amp;C827&amp;CHAR(10)&amp;CHAR(10)&amp;"شكرًا لإتمام تقييم DBD الخاص بعيادة "&amp;B827&amp;"."&amp;CHAR(10)&amp;"نتيجتكم الحالية: "&amp;E827&amp;"%."&amp;CHAR(10)&amp;"أولوية التحسين الأولى: "&amp;F827&amp;"."&amp;IF(J827&lt;&gt;"",CHAR(10)&amp;CHAR(10)&amp;"رابط التقرير: "&amp;J827,"")&amp;CHAR(10)&amp;CHAR(10)&amp;"إذا أحببت، يمكننا مساعدتك في فهم التقرير وتحديد أفضل خطوة تالية لعيادتكم.")</x:f>
      </x:c>
      <x:c r="L827" s="12" t="str">
        <x:f>IF(D827="","",HYPERLINK("https://wa.me/"&amp;REGEXREPLACE(D827,"[^\d]","")&amp;"?text="&amp;ENCODEURL(K827),"واتساب 1"))</x:f>
      </x:c>
      <x:c r="M827" s="12" t="str">
        <x:f>IF(A827="","","مرحبًا "&amp;C827&amp;CHAR(10)&amp;CHAR(10)&amp;"بناءً على نتيجة تقييم عيادة "&amp;B827&amp;"، فإن الترشيح الأقوى لكم الآن هو: "&amp;G827&amp;"."&amp;CHAR(10)&amp;"هذا الخيار يساعدكم في معالجة أكبر فجوة حالية بشكل عملي ومباشر."&amp;IF(J827&lt;&gt;"",CHAR(10)&amp;CHAR(10)&amp;"رابط التقرير: "&amp;J827,"")&amp;CHAR(10)&amp;CHAR(10)&amp;"إذا رغبت، يمكننا توضيح لماذا هذا الكورس هو الأنسب لكم الآن.")</x:f>
      </x:c>
      <x:c r="N827" s="12" t="str">
        <x:f>IF(D827="","",HYPERLINK("https://wa.me/"&amp;REGEXREPLACE(D827,"[^\d]","")&amp;"?text="&amp;ENCODEURL(M827),"واتساب 2"))</x:f>
      </x:c>
      <x:c r="O827" s="12" t="str">
        <x:f>IF(A827="","","مرحبًا "&amp;C827&amp;CHAR(10)&amp;CHAR(10)&amp;"إذا كانت التحديات لديكم تحتاج حلًا أشمل، فالبرنامج الكامل المناسب لكم هو: "&amp;H827&amp;"."&amp;IF(I827&lt;&gt;"",CHAR(10)&amp;"كما يمكنكم أيضًا حجز: "&amp;I827&amp;".","")&amp;IF(J827&lt;&gt;"",CHAR(10)&amp;CHAR(10)&amp;"رابط التقرير: "&amp;J827,"")&amp;CHAR(10)&amp;CHAR(10)&amp;"يسعدنا مساعدتكم في اختيار المسار الأنسب حسب وضع العيادة الحالي.")</x:f>
      </x:c>
      <x:c r="P827" s="12" t="str">
        <x:f>IF(D827="","",HYPERLINK("https://wa.me/"&amp;REGEXREPLACE(D827,"[^\d]","")&amp;"?text="&amp;ENCODEURL(O827),"واتساب 3"))</x:f>
      </x:c>
    </x:row>
    <x:row r="828" ht="15" hidden="0" customHeight="1">
      <x:c r="A828" s="12" t="str">
        <x:f>IF(Leads!A828="","",Leads!A828)</x:f>
      </x:c>
      <x:c r="B828" s="12" t="str">
        <x:f>IF(Leads!F828="","",Leads!F828)</x:f>
      </x:c>
      <x:c r="C828" s="12" t="str">
        <x:f>IF(Leads!G828="","",Leads!G828)</x:f>
      </x:c>
      <x:c r="D828" s="12" t="str">
        <x:f>IF(Leads!O828="","",Leads!O828)</x:f>
      </x:c>
      <x:c r="E828" s="12" t="str">
        <x:f>IF(Leads!AV828="","",Leads!AV828)</x:f>
      </x:c>
      <x:c r="F828" s="12" t="str">
        <x:f>IF(Leads!AX828="","",Leads!AX828)</x:f>
      </x:c>
      <x:c r="G828" s="12" t="str">
        <x:f>IF(Leads!BC828="","",Leads!BC828)</x:f>
      </x:c>
      <x:c r="H828" s="12" t="str">
        <x:f>IF(Leads!BE828="","",Leads!BE828)</x:f>
      </x:c>
      <x:c r="I828" s="12" t="str">
        <x:f>IF(Leads!BG828="","",Leads!BG828)</x:f>
      </x:c>
      <x:c r="J828" s="12" t="str">
        <x:f>IF(Leads!BH828="","",Leads!BH828)</x:f>
      </x:c>
      <x:c r="K828" s="12" t="str">
        <x:f>IF(A828="","","مرحبًا "&amp;C828&amp;CHAR(10)&amp;CHAR(10)&amp;"شكرًا لإتمام تقييم DBD الخاص بعيادة "&amp;B828&amp;"."&amp;CHAR(10)&amp;"نتيجتكم الحالية: "&amp;E828&amp;"%."&amp;CHAR(10)&amp;"أولوية التحسين الأولى: "&amp;F828&amp;"."&amp;IF(J828&lt;&gt;"",CHAR(10)&amp;CHAR(10)&amp;"رابط التقرير: "&amp;J828,"")&amp;CHAR(10)&amp;CHAR(10)&amp;"إذا أحببت، يمكننا مساعدتك في فهم التقرير وتحديد أفضل خطوة تالية لعيادتكم.")</x:f>
      </x:c>
      <x:c r="L828" s="12" t="str">
        <x:f>IF(D828="","",HYPERLINK("https://wa.me/"&amp;REGEXREPLACE(D828,"[^\d]","")&amp;"?text="&amp;ENCODEURL(K828),"واتساب 1"))</x:f>
      </x:c>
      <x:c r="M828" s="12" t="str">
        <x:f>IF(A828="","","مرحبًا "&amp;C828&amp;CHAR(10)&amp;CHAR(10)&amp;"بناءً على نتيجة تقييم عيادة "&amp;B828&amp;"، فإن الترشيح الأقوى لكم الآن هو: "&amp;G828&amp;"."&amp;CHAR(10)&amp;"هذا الخيار يساعدكم في معالجة أكبر فجوة حالية بشكل عملي ومباشر."&amp;IF(J828&lt;&gt;"",CHAR(10)&amp;CHAR(10)&amp;"رابط التقرير: "&amp;J828,"")&amp;CHAR(10)&amp;CHAR(10)&amp;"إذا رغبت، يمكننا توضيح لماذا هذا الكورس هو الأنسب لكم الآن.")</x:f>
      </x:c>
      <x:c r="N828" s="12" t="str">
        <x:f>IF(D828="","",HYPERLINK("https://wa.me/"&amp;REGEXREPLACE(D828,"[^\d]","")&amp;"?text="&amp;ENCODEURL(M828),"واتساب 2"))</x:f>
      </x:c>
      <x:c r="O828" s="12" t="str">
        <x:f>IF(A828="","","مرحبًا "&amp;C828&amp;CHAR(10)&amp;CHAR(10)&amp;"إذا كانت التحديات لديكم تحتاج حلًا أشمل، فالبرنامج الكامل المناسب لكم هو: "&amp;H828&amp;"."&amp;IF(I828&lt;&gt;"",CHAR(10)&amp;"كما يمكنكم أيضًا حجز: "&amp;I828&amp;".","")&amp;IF(J828&lt;&gt;"",CHAR(10)&amp;CHAR(10)&amp;"رابط التقرير: "&amp;J828,"")&amp;CHAR(10)&amp;CHAR(10)&amp;"يسعدنا مساعدتكم في اختيار المسار الأنسب حسب وضع العيادة الحالي.")</x:f>
      </x:c>
      <x:c r="P828" s="12" t="str">
        <x:f>IF(D828="","",HYPERLINK("https://wa.me/"&amp;REGEXREPLACE(D828,"[^\d]","")&amp;"?text="&amp;ENCODEURL(O828),"واتساب 3"))</x:f>
      </x:c>
    </x:row>
    <x:row r="829" ht="15" hidden="0" customHeight="1">
      <x:c r="A829" s="12" t="str">
        <x:f>IF(Leads!A829="","",Leads!A829)</x:f>
      </x:c>
      <x:c r="B829" s="12" t="str">
        <x:f>IF(Leads!F829="","",Leads!F829)</x:f>
      </x:c>
      <x:c r="C829" s="12" t="str">
        <x:f>IF(Leads!G829="","",Leads!G829)</x:f>
      </x:c>
      <x:c r="D829" s="12" t="str">
        <x:f>IF(Leads!O829="","",Leads!O829)</x:f>
      </x:c>
      <x:c r="E829" s="12" t="str">
        <x:f>IF(Leads!AV829="","",Leads!AV829)</x:f>
      </x:c>
      <x:c r="F829" s="12" t="str">
        <x:f>IF(Leads!AX829="","",Leads!AX829)</x:f>
      </x:c>
      <x:c r="G829" s="12" t="str">
        <x:f>IF(Leads!BC829="","",Leads!BC829)</x:f>
      </x:c>
      <x:c r="H829" s="12" t="str">
        <x:f>IF(Leads!BE829="","",Leads!BE829)</x:f>
      </x:c>
      <x:c r="I829" s="12" t="str">
        <x:f>IF(Leads!BG829="","",Leads!BG829)</x:f>
      </x:c>
      <x:c r="J829" s="12" t="str">
        <x:f>IF(Leads!BH829="","",Leads!BH829)</x:f>
      </x:c>
      <x:c r="K829" s="12" t="str">
        <x:f>IF(A829="","","مرحبًا "&amp;C829&amp;CHAR(10)&amp;CHAR(10)&amp;"شكرًا لإتمام تقييم DBD الخاص بعيادة "&amp;B829&amp;"."&amp;CHAR(10)&amp;"نتيجتكم الحالية: "&amp;E829&amp;"%."&amp;CHAR(10)&amp;"أولوية التحسين الأولى: "&amp;F829&amp;"."&amp;IF(J829&lt;&gt;"",CHAR(10)&amp;CHAR(10)&amp;"رابط التقرير: "&amp;J829,"")&amp;CHAR(10)&amp;CHAR(10)&amp;"إذا أحببت، يمكننا مساعدتك في فهم التقرير وتحديد أفضل خطوة تالية لعيادتكم.")</x:f>
      </x:c>
      <x:c r="L829" s="12" t="str">
        <x:f>IF(D829="","",HYPERLINK("https://wa.me/"&amp;REGEXREPLACE(D829,"[^\d]","")&amp;"?text="&amp;ENCODEURL(K829),"واتساب 1"))</x:f>
      </x:c>
      <x:c r="M829" s="12" t="str">
        <x:f>IF(A829="","","مرحبًا "&amp;C829&amp;CHAR(10)&amp;CHAR(10)&amp;"بناءً على نتيجة تقييم عيادة "&amp;B829&amp;"، فإن الترشيح الأقوى لكم الآن هو: "&amp;G829&amp;"."&amp;CHAR(10)&amp;"هذا الخيار يساعدكم في معالجة أكبر فجوة حالية بشكل عملي ومباشر."&amp;IF(J829&lt;&gt;"",CHAR(10)&amp;CHAR(10)&amp;"رابط التقرير: "&amp;J829,"")&amp;CHAR(10)&amp;CHAR(10)&amp;"إذا رغبت، يمكننا توضيح لماذا هذا الكورس هو الأنسب لكم الآن.")</x:f>
      </x:c>
      <x:c r="N829" s="12" t="str">
        <x:f>IF(D829="","",HYPERLINK("https://wa.me/"&amp;REGEXREPLACE(D829,"[^\d]","")&amp;"?text="&amp;ENCODEURL(M829),"واتساب 2"))</x:f>
      </x:c>
      <x:c r="O829" s="12" t="str">
        <x:f>IF(A829="","","مرحبًا "&amp;C829&amp;CHAR(10)&amp;CHAR(10)&amp;"إذا كانت التحديات لديكم تحتاج حلًا أشمل، فالبرنامج الكامل المناسب لكم هو: "&amp;H829&amp;"."&amp;IF(I829&lt;&gt;"",CHAR(10)&amp;"كما يمكنكم أيضًا حجز: "&amp;I829&amp;".","")&amp;IF(J829&lt;&gt;"",CHAR(10)&amp;CHAR(10)&amp;"رابط التقرير: "&amp;J829,"")&amp;CHAR(10)&amp;CHAR(10)&amp;"يسعدنا مساعدتكم في اختيار المسار الأنسب حسب وضع العيادة الحالي.")</x:f>
      </x:c>
      <x:c r="P829" s="12" t="str">
        <x:f>IF(D829="","",HYPERLINK("https://wa.me/"&amp;REGEXREPLACE(D829,"[^\d]","")&amp;"?text="&amp;ENCODEURL(O829),"واتساب 3"))</x:f>
      </x:c>
    </x:row>
    <x:row r="830" ht="15" hidden="0" customHeight="1">
      <x:c r="A830" s="12" t="str">
        <x:f>IF(Leads!A830="","",Leads!A830)</x:f>
      </x:c>
      <x:c r="B830" s="12" t="str">
        <x:f>IF(Leads!F830="","",Leads!F830)</x:f>
      </x:c>
      <x:c r="C830" s="12" t="str">
        <x:f>IF(Leads!G830="","",Leads!G830)</x:f>
      </x:c>
      <x:c r="D830" s="12" t="str">
        <x:f>IF(Leads!O830="","",Leads!O830)</x:f>
      </x:c>
      <x:c r="E830" s="12" t="str">
        <x:f>IF(Leads!AV830="","",Leads!AV830)</x:f>
      </x:c>
      <x:c r="F830" s="12" t="str">
        <x:f>IF(Leads!AX830="","",Leads!AX830)</x:f>
      </x:c>
      <x:c r="G830" s="12" t="str">
        <x:f>IF(Leads!BC830="","",Leads!BC830)</x:f>
      </x:c>
      <x:c r="H830" s="12" t="str">
        <x:f>IF(Leads!BE830="","",Leads!BE830)</x:f>
      </x:c>
      <x:c r="I830" s="12" t="str">
        <x:f>IF(Leads!BG830="","",Leads!BG830)</x:f>
      </x:c>
      <x:c r="J830" s="12" t="str">
        <x:f>IF(Leads!BH830="","",Leads!BH830)</x:f>
      </x:c>
      <x:c r="K830" s="12" t="str">
        <x:f>IF(A830="","","مرحبًا "&amp;C830&amp;CHAR(10)&amp;CHAR(10)&amp;"شكرًا لإتمام تقييم DBD الخاص بعيادة "&amp;B830&amp;"."&amp;CHAR(10)&amp;"نتيجتكم الحالية: "&amp;E830&amp;"%."&amp;CHAR(10)&amp;"أولوية التحسين الأولى: "&amp;F830&amp;"."&amp;IF(J830&lt;&gt;"",CHAR(10)&amp;CHAR(10)&amp;"رابط التقرير: "&amp;J830,"")&amp;CHAR(10)&amp;CHAR(10)&amp;"إذا أحببت، يمكننا مساعدتك في فهم التقرير وتحديد أفضل خطوة تالية لعيادتكم.")</x:f>
      </x:c>
      <x:c r="L830" s="12" t="str">
        <x:f>IF(D830="","",HYPERLINK("https://wa.me/"&amp;REGEXREPLACE(D830,"[^\d]","")&amp;"?text="&amp;ENCODEURL(K830),"واتساب 1"))</x:f>
      </x:c>
      <x:c r="M830" s="12" t="str">
        <x:f>IF(A830="","","مرحبًا "&amp;C830&amp;CHAR(10)&amp;CHAR(10)&amp;"بناءً على نتيجة تقييم عيادة "&amp;B830&amp;"، فإن الترشيح الأقوى لكم الآن هو: "&amp;G830&amp;"."&amp;CHAR(10)&amp;"هذا الخيار يساعدكم في معالجة أكبر فجوة حالية بشكل عملي ومباشر."&amp;IF(J830&lt;&gt;"",CHAR(10)&amp;CHAR(10)&amp;"رابط التقرير: "&amp;J830,"")&amp;CHAR(10)&amp;CHAR(10)&amp;"إذا رغبت، يمكننا توضيح لماذا هذا الكورس هو الأنسب لكم الآن.")</x:f>
      </x:c>
      <x:c r="N830" s="12" t="str">
        <x:f>IF(D830="","",HYPERLINK("https://wa.me/"&amp;REGEXREPLACE(D830,"[^\d]","")&amp;"?text="&amp;ENCODEURL(M830),"واتساب 2"))</x:f>
      </x:c>
      <x:c r="O830" s="12" t="str">
        <x:f>IF(A830="","","مرحبًا "&amp;C830&amp;CHAR(10)&amp;CHAR(10)&amp;"إذا كانت التحديات لديكم تحتاج حلًا أشمل، فالبرنامج الكامل المناسب لكم هو: "&amp;H830&amp;"."&amp;IF(I830&lt;&gt;"",CHAR(10)&amp;"كما يمكنكم أيضًا حجز: "&amp;I830&amp;".","")&amp;IF(J830&lt;&gt;"",CHAR(10)&amp;CHAR(10)&amp;"رابط التقرير: "&amp;J830,"")&amp;CHAR(10)&amp;CHAR(10)&amp;"يسعدنا مساعدتكم في اختيار المسار الأنسب حسب وضع العيادة الحالي.")</x:f>
      </x:c>
      <x:c r="P830" s="12" t="str">
        <x:f>IF(D830="","",HYPERLINK("https://wa.me/"&amp;REGEXREPLACE(D830,"[^\d]","")&amp;"?text="&amp;ENCODEURL(O830),"واتساب 3"))</x:f>
      </x:c>
    </x:row>
    <x:row r="831" ht="15" hidden="0" customHeight="1">
      <x:c r="A831" s="12" t="str">
        <x:f>IF(Leads!A831="","",Leads!A831)</x:f>
      </x:c>
      <x:c r="B831" s="12" t="str">
        <x:f>IF(Leads!F831="","",Leads!F831)</x:f>
      </x:c>
      <x:c r="C831" s="12" t="str">
        <x:f>IF(Leads!G831="","",Leads!G831)</x:f>
      </x:c>
      <x:c r="D831" s="12" t="str">
        <x:f>IF(Leads!O831="","",Leads!O831)</x:f>
      </x:c>
      <x:c r="E831" s="12" t="str">
        <x:f>IF(Leads!AV831="","",Leads!AV831)</x:f>
      </x:c>
      <x:c r="F831" s="12" t="str">
        <x:f>IF(Leads!AX831="","",Leads!AX831)</x:f>
      </x:c>
      <x:c r="G831" s="12" t="str">
        <x:f>IF(Leads!BC831="","",Leads!BC831)</x:f>
      </x:c>
      <x:c r="H831" s="12" t="str">
        <x:f>IF(Leads!BE831="","",Leads!BE831)</x:f>
      </x:c>
      <x:c r="I831" s="12" t="str">
        <x:f>IF(Leads!BG831="","",Leads!BG831)</x:f>
      </x:c>
      <x:c r="J831" s="12" t="str">
        <x:f>IF(Leads!BH831="","",Leads!BH831)</x:f>
      </x:c>
      <x:c r="K831" s="12" t="str">
        <x:f>IF(A831="","","مرحبًا "&amp;C831&amp;CHAR(10)&amp;CHAR(10)&amp;"شكرًا لإتمام تقييم DBD الخاص بعيادة "&amp;B831&amp;"."&amp;CHAR(10)&amp;"نتيجتكم الحالية: "&amp;E831&amp;"%."&amp;CHAR(10)&amp;"أولوية التحسين الأولى: "&amp;F831&amp;"."&amp;IF(J831&lt;&gt;"",CHAR(10)&amp;CHAR(10)&amp;"رابط التقرير: "&amp;J831,"")&amp;CHAR(10)&amp;CHAR(10)&amp;"إذا أحببت، يمكننا مساعدتك في فهم التقرير وتحديد أفضل خطوة تالية لعيادتكم.")</x:f>
      </x:c>
      <x:c r="L831" s="12" t="str">
        <x:f>IF(D831="","",HYPERLINK("https://wa.me/"&amp;REGEXREPLACE(D831,"[^\d]","")&amp;"?text="&amp;ENCODEURL(K831),"واتساب 1"))</x:f>
      </x:c>
      <x:c r="M831" s="12" t="str">
        <x:f>IF(A831="","","مرحبًا "&amp;C831&amp;CHAR(10)&amp;CHAR(10)&amp;"بناءً على نتيجة تقييم عيادة "&amp;B831&amp;"، فإن الترشيح الأقوى لكم الآن هو: "&amp;G831&amp;"."&amp;CHAR(10)&amp;"هذا الخيار يساعدكم في معالجة أكبر فجوة حالية بشكل عملي ومباشر."&amp;IF(J831&lt;&gt;"",CHAR(10)&amp;CHAR(10)&amp;"رابط التقرير: "&amp;J831,"")&amp;CHAR(10)&amp;CHAR(10)&amp;"إذا رغبت، يمكننا توضيح لماذا هذا الكورس هو الأنسب لكم الآن.")</x:f>
      </x:c>
      <x:c r="N831" s="12" t="str">
        <x:f>IF(D831="","",HYPERLINK("https://wa.me/"&amp;REGEXREPLACE(D831,"[^\d]","")&amp;"?text="&amp;ENCODEURL(M831),"واتساب 2"))</x:f>
      </x:c>
      <x:c r="O831" s="12" t="str">
        <x:f>IF(A831="","","مرحبًا "&amp;C831&amp;CHAR(10)&amp;CHAR(10)&amp;"إذا كانت التحديات لديكم تحتاج حلًا أشمل، فالبرنامج الكامل المناسب لكم هو: "&amp;H831&amp;"."&amp;IF(I831&lt;&gt;"",CHAR(10)&amp;"كما يمكنكم أيضًا حجز: "&amp;I831&amp;".","")&amp;IF(J831&lt;&gt;"",CHAR(10)&amp;CHAR(10)&amp;"رابط التقرير: "&amp;J831,"")&amp;CHAR(10)&amp;CHAR(10)&amp;"يسعدنا مساعدتكم في اختيار المسار الأنسب حسب وضع العيادة الحالي.")</x:f>
      </x:c>
      <x:c r="P831" s="12" t="str">
        <x:f>IF(D831="","",HYPERLINK("https://wa.me/"&amp;REGEXREPLACE(D831,"[^\d]","")&amp;"?text="&amp;ENCODEURL(O831),"واتساب 3"))</x:f>
      </x:c>
    </x:row>
    <x:row r="832" ht="15" hidden="0" customHeight="1">
      <x:c r="A832" s="12" t="str">
        <x:f>IF(Leads!A832="","",Leads!A832)</x:f>
      </x:c>
      <x:c r="B832" s="12" t="str">
        <x:f>IF(Leads!F832="","",Leads!F832)</x:f>
      </x:c>
      <x:c r="C832" s="12" t="str">
        <x:f>IF(Leads!G832="","",Leads!G832)</x:f>
      </x:c>
      <x:c r="D832" s="12" t="str">
        <x:f>IF(Leads!O832="","",Leads!O832)</x:f>
      </x:c>
      <x:c r="E832" s="12" t="str">
        <x:f>IF(Leads!AV832="","",Leads!AV832)</x:f>
      </x:c>
      <x:c r="F832" s="12" t="str">
        <x:f>IF(Leads!AX832="","",Leads!AX832)</x:f>
      </x:c>
      <x:c r="G832" s="12" t="str">
        <x:f>IF(Leads!BC832="","",Leads!BC832)</x:f>
      </x:c>
      <x:c r="H832" s="12" t="str">
        <x:f>IF(Leads!BE832="","",Leads!BE832)</x:f>
      </x:c>
      <x:c r="I832" s="12" t="str">
        <x:f>IF(Leads!BG832="","",Leads!BG832)</x:f>
      </x:c>
      <x:c r="J832" s="12" t="str">
        <x:f>IF(Leads!BH832="","",Leads!BH832)</x:f>
      </x:c>
      <x:c r="K832" s="12" t="str">
        <x:f>IF(A832="","","مرحبًا "&amp;C832&amp;CHAR(10)&amp;CHAR(10)&amp;"شكرًا لإتمام تقييم DBD الخاص بعيادة "&amp;B832&amp;"."&amp;CHAR(10)&amp;"نتيجتكم الحالية: "&amp;E832&amp;"%."&amp;CHAR(10)&amp;"أولوية التحسين الأولى: "&amp;F832&amp;"."&amp;IF(J832&lt;&gt;"",CHAR(10)&amp;CHAR(10)&amp;"رابط التقرير: "&amp;J832,"")&amp;CHAR(10)&amp;CHAR(10)&amp;"إذا أحببت، يمكننا مساعدتك في فهم التقرير وتحديد أفضل خطوة تالية لعيادتكم.")</x:f>
      </x:c>
      <x:c r="L832" s="12" t="str">
        <x:f>IF(D832="","",HYPERLINK("https://wa.me/"&amp;REGEXREPLACE(D832,"[^\d]","")&amp;"?text="&amp;ENCODEURL(K832),"واتساب 1"))</x:f>
      </x:c>
      <x:c r="M832" s="12" t="str">
        <x:f>IF(A832="","","مرحبًا "&amp;C832&amp;CHAR(10)&amp;CHAR(10)&amp;"بناءً على نتيجة تقييم عيادة "&amp;B832&amp;"، فإن الترشيح الأقوى لكم الآن هو: "&amp;G832&amp;"."&amp;CHAR(10)&amp;"هذا الخيار يساعدكم في معالجة أكبر فجوة حالية بشكل عملي ومباشر."&amp;IF(J832&lt;&gt;"",CHAR(10)&amp;CHAR(10)&amp;"رابط التقرير: "&amp;J832,"")&amp;CHAR(10)&amp;CHAR(10)&amp;"إذا رغبت، يمكننا توضيح لماذا هذا الكورس هو الأنسب لكم الآن.")</x:f>
      </x:c>
      <x:c r="N832" s="12" t="str">
        <x:f>IF(D832="","",HYPERLINK("https://wa.me/"&amp;REGEXREPLACE(D832,"[^\d]","")&amp;"?text="&amp;ENCODEURL(M832),"واتساب 2"))</x:f>
      </x:c>
      <x:c r="O832" s="12" t="str">
        <x:f>IF(A832="","","مرحبًا "&amp;C832&amp;CHAR(10)&amp;CHAR(10)&amp;"إذا كانت التحديات لديكم تحتاج حلًا أشمل، فالبرنامج الكامل المناسب لكم هو: "&amp;H832&amp;"."&amp;IF(I832&lt;&gt;"",CHAR(10)&amp;"كما يمكنكم أيضًا حجز: "&amp;I832&amp;".","")&amp;IF(J832&lt;&gt;"",CHAR(10)&amp;CHAR(10)&amp;"رابط التقرير: "&amp;J832,"")&amp;CHAR(10)&amp;CHAR(10)&amp;"يسعدنا مساعدتكم في اختيار المسار الأنسب حسب وضع العيادة الحالي.")</x:f>
      </x:c>
      <x:c r="P832" s="12" t="str">
        <x:f>IF(D832="","",HYPERLINK("https://wa.me/"&amp;REGEXREPLACE(D832,"[^\d]","")&amp;"?text="&amp;ENCODEURL(O832),"واتساب 3"))</x:f>
      </x:c>
    </x:row>
    <x:row r="833" ht="15" hidden="0" customHeight="1">
      <x:c r="A833" s="12" t="str">
        <x:f>IF(Leads!A833="","",Leads!A833)</x:f>
      </x:c>
      <x:c r="B833" s="12" t="str">
        <x:f>IF(Leads!F833="","",Leads!F833)</x:f>
      </x:c>
      <x:c r="C833" s="12" t="str">
        <x:f>IF(Leads!G833="","",Leads!G833)</x:f>
      </x:c>
      <x:c r="D833" s="12" t="str">
        <x:f>IF(Leads!O833="","",Leads!O833)</x:f>
      </x:c>
      <x:c r="E833" s="12" t="str">
        <x:f>IF(Leads!AV833="","",Leads!AV833)</x:f>
      </x:c>
      <x:c r="F833" s="12" t="str">
        <x:f>IF(Leads!AX833="","",Leads!AX833)</x:f>
      </x:c>
      <x:c r="G833" s="12" t="str">
        <x:f>IF(Leads!BC833="","",Leads!BC833)</x:f>
      </x:c>
      <x:c r="H833" s="12" t="str">
        <x:f>IF(Leads!BE833="","",Leads!BE833)</x:f>
      </x:c>
      <x:c r="I833" s="12" t="str">
        <x:f>IF(Leads!BG833="","",Leads!BG833)</x:f>
      </x:c>
      <x:c r="J833" s="12" t="str">
        <x:f>IF(Leads!BH833="","",Leads!BH833)</x:f>
      </x:c>
      <x:c r="K833" s="12" t="str">
        <x:f>IF(A833="","","مرحبًا "&amp;C833&amp;CHAR(10)&amp;CHAR(10)&amp;"شكرًا لإتمام تقييم DBD الخاص بعيادة "&amp;B833&amp;"."&amp;CHAR(10)&amp;"نتيجتكم الحالية: "&amp;E833&amp;"%."&amp;CHAR(10)&amp;"أولوية التحسين الأولى: "&amp;F833&amp;"."&amp;IF(J833&lt;&gt;"",CHAR(10)&amp;CHAR(10)&amp;"رابط التقرير: "&amp;J833,"")&amp;CHAR(10)&amp;CHAR(10)&amp;"إذا أحببت، يمكننا مساعدتك في فهم التقرير وتحديد أفضل خطوة تالية لعيادتكم.")</x:f>
      </x:c>
      <x:c r="L833" s="12" t="str">
        <x:f>IF(D833="","",HYPERLINK("https://wa.me/"&amp;REGEXREPLACE(D833,"[^\d]","")&amp;"?text="&amp;ENCODEURL(K833),"واتساب 1"))</x:f>
      </x:c>
      <x:c r="M833" s="12" t="str">
        <x:f>IF(A833="","","مرحبًا "&amp;C833&amp;CHAR(10)&amp;CHAR(10)&amp;"بناءً على نتيجة تقييم عيادة "&amp;B833&amp;"، فإن الترشيح الأقوى لكم الآن هو: "&amp;G833&amp;"."&amp;CHAR(10)&amp;"هذا الخيار يساعدكم في معالجة أكبر فجوة حالية بشكل عملي ومباشر."&amp;IF(J833&lt;&gt;"",CHAR(10)&amp;CHAR(10)&amp;"رابط التقرير: "&amp;J833,"")&amp;CHAR(10)&amp;CHAR(10)&amp;"إذا رغبت، يمكننا توضيح لماذا هذا الكورس هو الأنسب لكم الآن.")</x:f>
      </x:c>
      <x:c r="N833" s="12" t="str">
        <x:f>IF(D833="","",HYPERLINK("https://wa.me/"&amp;REGEXREPLACE(D833,"[^\d]","")&amp;"?text="&amp;ENCODEURL(M833),"واتساب 2"))</x:f>
      </x:c>
      <x:c r="O833" s="12" t="str">
        <x:f>IF(A833="","","مرحبًا "&amp;C833&amp;CHAR(10)&amp;CHAR(10)&amp;"إذا كانت التحديات لديكم تحتاج حلًا أشمل، فالبرنامج الكامل المناسب لكم هو: "&amp;H833&amp;"."&amp;IF(I833&lt;&gt;"",CHAR(10)&amp;"كما يمكنكم أيضًا حجز: "&amp;I833&amp;".","")&amp;IF(J833&lt;&gt;"",CHAR(10)&amp;CHAR(10)&amp;"رابط التقرير: "&amp;J833,"")&amp;CHAR(10)&amp;CHAR(10)&amp;"يسعدنا مساعدتكم في اختيار المسار الأنسب حسب وضع العيادة الحالي.")</x:f>
      </x:c>
      <x:c r="P833" s="12" t="str">
        <x:f>IF(D833="","",HYPERLINK("https://wa.me/"&amp;REGEXREPLACE(D833,"[^\d]","")&amp;"?text="&amp;ENCODEURL(O833),"واتساب 3"))</x:f>
      </x:c>
    </x:row>
    <x:row r="834" ht="15" hidden="0" customHeight="1">
      <x:c r="A834" s="12" t="str">
        <x:f>IF(Leads!A834="","",Leads!A834)</x:f>
      </x:c>
      <x:c r="B834" s="12" t="str">
        <x:f>IF(Leads!F834="","",Leads!F834)</x:f>
      </x:c>
      <x:c r="C834" s="12" t="str">
        <x:f>IF(Leads!G834="","",Leads!G834)</x:f>
      </x:c>
      <x:c r="D834" s="12" t="str">
        <x:f>IF(Leads!O834="","",Leads!O834)</x:f>
      </x:c>
      <x:c r="E834" s="12" t="str">
        <x:f>IF(Leads!AV834="","",Leads!AV834)</x:f>
      </x:c>
      <x:c r="F834" s="12" t="str">
        <x:f>IF(Leads!AX834="","",Leads!AX834)</x:f>
      </x:c>
      <x:c r="G834" s="12" t="str">
        <x:f>IF(Leads!BC834="","",Leads!BC834)</x:f>
      </x:c>
      <x:c r="H834" s="12" t="str">
        <x:f>IF(Leads!BE834="","",Leads!BE834)</x:f>
      </x:c>
      <x:c r="I834" s="12" t="str">
        <x:f>IF(Leads!BG834="","",Leads!BG834)</x:f>
      </x:c>
      <x:c r="J834" s="12" t="str">
        <x:f>IF(Leads!BH834="","",Leads!BH834)</x:f>
      </x:c>
      <x:c r="K834" s="12" t="str">
        <x:f>IF(A834="","","مرحبًا "&amp;C834&amp;CHAR(10)&amp;CHAR(10)&amp;"شكرًا لإتمام تقييم DBD الخاص بعيادة "&amp;B834&amp;"."&amp;CHAR(10)&amp;"نتيجتكم الحالية: "&amp;E834&amp;"%."&amp;CHAR(10)&amp;"أولوية التحسين الأولى: "&amp;F834&amp;"."&amp;IF(J834&lt;&gt;"",CHAR(10)&amp;CHAR(10)&amp;"رابط التقرير: "&amp;J834,"")&amp;CHAR(10)&amp;CHAR(10)&amp;"إذا أحببت، يمكننا مساعدتك في فهم التقرير وتحديد أفضل خطوة تالية لعيادتكم.")</x:f>
      </x:c>
      <x:c r="L834" s="12" t="str">
        <x:f>IF(D834="","",HYPERLINK("https://wa.me/"&amp;REGEXREPLACE(D834,"[^\d]","")&amp;"?text="&amp;ENCODEURL(K834),"واتساب 1"))</x:f>
      </x:c>
      <x:c r="M834" s="12" t="str">
        <x:f>IF(A834="","","مرحبًا "&amp;C834&amp;CHAR(10)&amp;CHAR(10)&amp;"بناءً على نتيجة تقييم عيادة "&amp;B834&amp;"، فإن الترشيح الأقوى لكم الآن هو: "&amp;G834&amp;"."&amp;CHAR(10)&amp;"هذا الخيار يساعدكم في معالجة أكبر فجوة حالية بشكل عملي ومباشر."&amp;IF(J834&lt;&gt;"",CHAR(10)&amp;CHAR(10)&amp;"رابط التقرير: "&amp;J834,"")&amp;CHAR(10)&amp;CHAR(10)&amp;"إذا رغبت، يمكننا توضيح لماذا هذا الكورس هو الأنسب لكم الآن.")</x:f>
      </x:c>
      <x:c r="N834" s="12" t="str">
        <x:f>IF(D834="","",HYPERLINK("https://wa.me/"&amp;REGEXREPLACE(D834,"[^\d]","")&amp;"?text="&amp;ENCODEURL(M834),"واتساب 2"))</x:f>
      </x:c>
      <x:c r="O834" s="12" t="str">
        <x:f>IF(A834="","","مرحبًا "&amp;C834&amp;CHAR(10)&amp;CHAR(10)&amp;"إذا كانت التحديات لديكم تحتاج حلًا أشمل، فالبرنامج الكامل المناسب لكم هو: "&amp;H834&amp;"."&amp;IF(I834&lt;&gt;"",CHAR(10)&amp;"كما يمكنكم أيضًا حجز: "&amp;I834&amp;".","")&amp;IF(J834&lt;&gt;"",CHAR(10)&amp;CHAR(10)&amp;"رابط التقرير: "&amp;J834,"")&amp;CHAR(10)&amp;CHAR(10)&amp;"يسعدنا مساعدتكم في اختيار المسار الأنسب حسب وضع العيادة الحالي.")</x:f>
      </x:c>
      <x:c r="P834" s="12" t="str">
        <x:f>IF(D834="","",HYPERLINK("https://wa.me/"&amp;REGEXREPLACE(D834,"[^\d]","")&amp;"?text="&amp;ENCODEURL(O834),"واتساب 3"))</x:f>
      </x:c>
    </x:row>
    <x:row r="835" ht="15" hidden="0" customHeight="1">
      <x:c r="A835" s="12" t="str">
        <x:f>IF(Leads!A835="","",Leads!A835)</x:f>
      </x:c>
      <x:c r="B835" s="12" t="str">
        <x:f>IF(Leads!F835="","",Leads!F835)</x:f>
      </x:c>
      <x:c r="C835" s="12" t="str">
        <x:f>IF(Leads!G835="","",Leads!G835)</x:f>
      </x:c>
      <x:c r="D835" s="12" t="str">
        <x:f>IF(Leads!O835="","",Leads!O835)</x:f>
      </x:c>
      <x:c r="E835" s="12" t="str">
        <x:f>IF(Leads!AV835="","",Leads!AV835)</x:f>
      </x:c>
      <x:c r="F835" s="12" t="str">
        <x:f>IF(Leads!AX835="","",Leads!AX835)</x:f>
      </x:c>
      <x:c r="G835" s="12" t="str">
        <x:f>IF(Leads!BC835="","",Leads!BC835)</x:f>
      </x:c>
      <x:c r="H835" s="12" t="str">
        <x:f>IF(Leads!BE835="","",Leads!BE835)</x:f>
      </x:c>
      <x:c r="I835" s="12" t="str">
        <x:f>IF(Leads!BG835="","",Leads!BG835)</x:f>
      </x:c>
      <x:c r="J835" s="12" t="str">
        <x:f>IF(Leads!BH835="","",Leads!BH835)</x:f>
      </x:c>
      <x:c r="K835" s="12" t="str">
        <x:f>IF(A835="","","مرحبًا "&amp;C835&amp;CHAR(10)&amp;CHAR(10)&amp;"شكرًا لإتمام تقييم DBD الخاص بعيادة "&amp;B835&amp;"."&amp;CHAR(10)&amp;"نتيجتكم الحالية: "&amp;E835&amp;"%."&amp;CHAR(10)&amp;"أولوية التحسين الأولى: "&amp;F835&amp;"."&amp;IF(J835&lt;&gt;"",CHAR(10)&amp;CHAR(10)&amp;"رابط التقرير: "&amp;J835,"")&amp;CHAR(10)&amp;CHAR(10)&amp;"إذا أحببت، يمكننا مساعدتك في فهم التقرير وتحديد أفضل خطوة تالية لعيادتكم.")</x:f>
      </x:c>
      <x:c r="L835" s="12" t="str">
        <x:f>IF(D835="","",HYPERLINK("https://wa.me/"&amp;REGEXREPLACE(D835,"[^\d]","")&amp;"?text="&amp;ENCODEURL(K835),"واتساب 1"))</x:f>
      </x:c>
      <x:c r="M835" s="12" t="str">
        <x:f>IF(A835="","","مرحبًا "&amp;C835&amp;CHAR(10)&amp;CHAR(10)&amp;"بناءً على نتيجة تقييم عيادة "&amp;B835&amp;"، فإن الترشيح الأقوى لكم الآن هو: "&amp;G835&amp;"."&amp;CHAR(10)&amp;"هذا الخيار يساعدكم في معالجة أكبر فجوة حالية بشكل عملي ومباشر."&amp;IF(J835&lt;&gt;"",CHAR(10)&amp;CHAR(10)&amp;"رابط التقرير: "&amp;J835,"")&amp;CHAR(10)&amp;CHAR(10)&amp;"إذا رغبت، يمكننا توضيح لماذا هذا الكورس هو الأنسب لكم الآن.")</x:f>
      </x:c>
      <x:c r="N835" s="12" t="str">
        <x:f>IF(D835="","",HYPERLINK("https://wa.me/"&amp;REGEXREPLACE(D835,"[^\d]","")&amp;"?text="&amp;ENCODEURL(M835),"واتساب 2"))</x:f>
      </x:c>
      <x:c r="O835" s="12" t="str">
        <x:f>IF(A835="","","مرحبًا "&amp;C835&amp;CHAR(10)&amp;CHAR(10)&amp;"إذا كانت التحديات لديكم تحتاج حلًا أشمل، فالبرنامج الكامل المناسب لكم هو: "&amp;H835&amp;"."&amp;IF(I835&lt;&gt;"",CHAR(10)&amp;"كما يمكنكم أيضًا حجز: "&amp;I835&amp;".","")&amp;IF(J835&lt;&gt;"",CHAR(10)&amp;CHAR(10)&amp;"رابط التقرير: "&amp;J835,"")&amp;CHAR(10)&amp;CHAR(10)&amp;"يسعدنا مساعدتكم في اختيار المسار الأنسب حسب وضع العيادة الحالي.")</x:f>
      </x:c>
      <x:c r="P835" s="12" t="str">
        <x:f>IF(D835="","",HYPERLINK("https://wa.me/"&amp;REGEXREPLACE(D835,"[^\d]","")&amp;"?text="&amp;ENCODEURL(O835),"واتساب 3"))</x:f>
      </x:c>
    </x:row>
    <x:row r="836" ht="15" hidden="0" customHeight="1">
      <x:c r="A836" s="12" t="str">
        <x:f>IF(Leads!A836="","",Leads!A836)</x:f>
      </x:c>
      <x:c r="B836" s="12" t="str">
        <x:f>IF(Leads!F836="","",Leads!F836)</x:f>
      </x:c>
      <x:c r="C836" s="12" t="str">
        <x:f>IF(Leads!G836="","",Leads!G836)</x:f>
      </x:c>
      <x:c r="D836" s="12" t="str">
        <x:f>IF(Leads!O836="","",Leads!O836)</x:f>
      </x:c>
      <x:c r="E836" s="12" t="str">
        <x:f>IF(Leads!AV836="","",Leads!AV836)</x:f>
      </x:c>
      <x:c r="F836" s="12" t="str">
        <x:f>IF(Leads!AX836="","",Leads!AX836)</x:f>
      </x:c>
      <x:c r="G836" s="12" t="str">
        <x:f>IF(Leads!BC836="","",Leads!BC836)</x:f>
      </x:c>
      <x:c r="H836" s="12" t="str">
        <x:f>IF(Leads!BE836="","",Leads!BE836)</x:f>
      </x:c>
      <x:c r="I836" s="12" t="str">
        <x:f>IF(Leads!BG836="","",Leads!BG836)</x:f>
      </x:c>
      <x:c r="J836" s="12" t="str">
        <x:f>IF(Leads!BH836="","",Leads!BH836)</x:f>
      </x:c>
      <x:c r="K836" s="12" t="str">
        <x:f>IF(A836="","","مرحبًا "&amp;C836&amp;CHAR(10)&amp;CHAR(10)&amp;"شكرًا لإتمام تقييم DBD الخاص بعيادة "&amp;B836&amp;"."&amp;CHAR(10)&amp;"نتيجتكم الحالية: "&amp;E836&amp;"%."&amp;CHAR(10)&amp;"أولوية التحسين الأولى: "&amp;F836&amp;"."&amp;IF(J836&lt;&gt;"",CHAR(10)&amp;CHAR(10)&amp;"رابط التقرير: "&amp;J836,"")&amp;CHAR(10)&amp;CHAR(10)&amp;"إذا أحببت، يمكننا مساعدتك في فهم التقرير وتحديد أفضل خطوة تالية لعيادتكم.")</x:f>
      </x:c>
      <x:c r="L836" s="12" t="str">
        <x:f>IF(D836="","",HYPERLINK("https://wa.me/"&amp;REGEXREPLACE(D836,"[^\d]","")&amp;"?text="&amp;ENCODEURL(K836),"واتساب 1"))</x:f>
      </x:c>
      <x:c r="M836" s="12" t="str">
        <x:f>IF(A836="","","مرحبًا "&amp;C836&amp;CHAR(10)&amp;CHAR(10)&amp;"بناءً على نتيجة تقييم عيادة "&amp;B836&amp;"، فإن الترشيح الأقوى لكم الآن هو: "&amp;G836&amp;"."&amp;CHAR(10)&amp;"هذا الخيار يساعدكم في معالجة أكبر فجوة حالية بشكل عملي ومباشر."&amp;IF(J836&lt;&gt;"",CHAR(10)&amp;CHAR(10)&amp;"رابط التقرير: "&amp;J836,"")&amp;CHAR(10)&amp;CHAR(10)&amp;"إذا رغبت، يمكننا توضيح لماذا هذا الكورس هو الأنسب لكم الآن.")</x:f>
      </x:c>
      <x:c r="N836" s="12" t="str">
        <x:f>IF(D836="","",HYPERLINK("https://wa.me/"&amp;REGEXREPLACE(D836,"[^\d]","")&amp;"?text="&amp;ENCODEURL(M836),"واتساب 2"))</x:f>
      </x:c>
      <x:c r="O836" s="12" t="str">
        <x:f>IF(A836="","","مرحبًا "&amp;C836&amp;CHAR(10)&amp;CHAR(10)&amp;"إذا كانت التحديات لديكم تحتاج حلًا أشمل، فالبرنامج الكامل المناسب لكم هو: "&amp;H836&amp;"."&amp;IF(I836&lt;&gt;"",CHAR(10)&amp;"كما يمكنكم أيضًا حجز: "&amp;I836&amp;".","")&amp;IF(J836&lt;&gt;"",CHAR(10)&amp;CHAR(10)&amp;"رابط التقرير: "&amp;J836,"")&amp;CHAR(10)&amp;CHAR(10)&amp;"يسعدنا مساعدتكم في اختيار المسار الأنسب حسب وضع العيادة الحالي.")</x:f>
      </x:c>
      <x:c r="P836" s="12" t="str">
        <x:f>IF(D836="","",HYPERLINK("https://wa.me/"&amp;REGEXREPLACE(D836,"[^\d]","")&amp;"?text="&amp;ENCODEURL(O836),"واتساب 3"))</x:f>
      </x:c>
    </x:row>
    <x:row r="837" ht="15" hidden="0" customHeight="1">
      <x:c r="A837" s="12" t="str">
        <x:f>IF(Leads!A837="","",Leads!A837)</x:f>
      </x:c>
      <x:c r="B837" s="12" t="str">
        <x:f>IF(Leads!F837="","",Leads!F837)</x:f>
      </x:c>
      <x:c r="C837" s="12" t="str">
        <x:f>IF(Leads!G837="","",Leads!G837)</x:f>
      </x:c>
      <x:c r="D837" s="12" t="str">
        <x:f>IF(Leads!O837="","",Leads!O837)</x:f>
      </x:c>
      <x:c r="E837" s="12" t="str">
        <x:f>IF(Leads!AV837="","",Leads!AV837)</x:f>
      </x:c>
      <x:c r="F837" s="12" t="str">
        <x:f>IF(Leads!AX837="","",Leads!AX837)</x:f>
      </x:c>
      <x:c r="G837" s="12" t="str">
        <x:f>IF(Leads!BC837="","",Leads!BC837)</x:f>
      </x:c>
      <x:c r="H837" s="12" t="str">
        <x:f>IF(Leads!BE837="","",Leads!BE837)</x:f>
      </x:c>
      <x:c r="I837" s="12" t="str">
        <x:f>IF(Leads!BG837="","",Leads!BG837)</x:f>
      </x:c>
      <x:c r="J837" s="12" t="str">
        <x:f>IF(Leads!BH837="","",Leads!BH837)</x:f>
      </x:c>
      <x:c r="K837" s="12" t="str">
        <x:f>IF(A837="","","مرحبًا "&amp;C837&amp;CHAR(10)&amp;CHAR(10)&amp;"شكرًا لإتمام تقييم DBD الخاص بعيادة "&amp;B837&amp;"."&amp;CHAR(10)&amp;"نتيجتكم الحالية: "&amp;E837&amp;"%."&amp;CHAR(10)&amp;"أولوية التحسين الأولى: "&amp;F837&amp;"."&amp;IF(J837&lt;&gt;"",CHAR(10)&amp;CHAR(10)&amp;"رابط التقرير: "&amp;J837,"")&amp;CHAR(10)&amp;CHAR(10)&amp;"إذا أحببت، يمكننا مساعدتك في فهم التقرير وتحديد أفضل خطوة تالية لعيادتكم.")</x:f>
      </x:c>
      <x:c r="L837" s="12" t="str">
        <x:f>IF(D837="","",HYPERLINK("https://wa.me/"&amp;REGEXREPLACE(D837,"[^\d]","")&amp;"?text="&amp;ENCODEURL(K837),"واتساب 1"))</x:f>
      </x:c>
      <x:c r="M837" s="12" t="str">
        <x:f>IF(A837="","","مرحبًا "&amp;C837&amp;CHAR(10)&amp;CHAR(10)&amp;"بناءً على نتيجة تقييم عيادة "&amp;B837&amp;"، فإن الترشيح الأقوى لكم الآن هو: "&amp;G837&amp;"."&amp;CHAR(10)&amp;"هذا الخيار يساعدكم في معالجة أكبر فجوة حالية بشكل عملي ومباشر."&amp;IF(J837&lt;&gt;"",CHAR(10)&amp;CHAR(10)&amp;"رابط التقرير: "&amp;J837,"")&amp;CHAR(10)&amp;CHAR(10)&amp;"إذا رغبت، يمكننا توضيح لماذا هذا الكورس هو الأنسب لكم الآن.")</x:f>
      </x:c>
      <x:c r="N837" s="12" t="str">
        <x:f>IF(D837="","",HYPERLINK("https://wa.me/"&amp;REGEXREPLACE(D837,"[^\d]","")&amp;"?text="&amp;ENCODEURL(M837),"واتساب 2"))</x:f>
      </x:c>
      <x:c r="O837" s="12" t="str">
        <x:f>IF(A837="","","مرحبًا "&amp;C837&amp;CHAR(10)&amp;CHAR(10)&amp;"إذا كانت التحديات لديكم تحتاج حلًا أشمل، فالبرنامج الكامل المناسب لكم هو: "&amp;H837&amp;"."&amp;IF(I837&lt;&gt;"",CHAR(10)&amp;"كما يمكنكم أيضًا حجز: "&amp;I837&amp;".","")&amp;IF(J837&lt;&gt;"",CHAR(10)&amp;CHAR(10)&amp;"رابط التقرير: "&amp;J837,"")&amp;CHAR(10)&amp;CHAR(10)&amp;"يسعدنا مساعدتكم في اختيار المسار الأنسب حسب وضع العيادة الحالي.")</x:f>
      </x:c>
      <x:c r="P837" s="12" t="str">
        <x:f>IF(D837="","",HYPERLINK("https://wa.me/"&amp;REGEXREPLACE(D837,"[^\d]","")&amp;"?text="&amp;ENCODEURL(O837),"واتساب 3"))</x:f>
      </x:c>
    </x:row>
    <x:row r="838" ht="15" hidden="0" customHeight="1">
      <x:c r="A838" s="12" t="str">
        <x:f>IF(Leads!A838="","",Leads!A838)</x:f>
      </x:c>
      <x:c r="B838" s="12" t="str">
        <x:f>IF(Leads!F838="","",Leads!F838)</x:f>
      </x:c>
      <x:c r="C838" s="12" t="str">
        <x:f>IF(Leads!G838="","",Leads!G838)</x:f>
      </x:c>
      <x:c r="D838" s="12" t="str">
        <x:f>IF(Leads!O838="","",Leads!O838)</x:f>
      </x:c>
      <x:c r="E838" s="12" t="str">
        <x:f>IF(Leads!AV838="","",Leads!AV838)</x:f>
      </x:c>
      <x:c r="F838" s="12" t="str">
        <x:f>IF(Leads!AX838="","",Leads!AX838)</x:f>
      </x:c>
      <x:c r="G838" s="12" t="str">
        <x:f>IF(Leads!BC838="","",Leads!BC838)</x:f>
      </x:c>
      <x:c r="H838" s="12" t="str">
        <x:f>IF(Leads!BE838="","",Leads!BE838)</x:f>
      </x:c>
      <x:c r="I838" s="12" t="str">
        <x:f>IF(Leads!BG838="","",Leads!BG838)</x:f>
      </x:c>
      <x:c r="J838" s="12" t="str">
        <x:f>IF(Leads!BH838="","",Leads!BH838)</x:f>
      </x:c>
      <x:c r="K838" s="12" t="str">
        <x:f>IF(A838="","","مرحبًا "&amp;C838&amp;CHAR(10)&amp;CHAR(10)&amp;"شكرًا لإتمام تقييم DBD الخاص بعيادة "&amp;B838&amp;"."&amp;CHAR(10)&amp;"نتيجتكم الحالية: "&amp;E838&amp;"%."&amp;CHAR(10)&amp;"أولوية التحسين الأولى: "&amp;F838&amp;"."&amp;IF(J838&lt;&gt;"",CHAR(10)&amp;CHAR(10)&amp;"رابط التقرير: "&amp;J838,"")&amp;CHAR(10)&amp;CHAR(10)&amp;"إذا أحببت، يمكننا مساعدتك في فهم التقرير وتحديد أفضل خطوة تالية لعيادتكم.")</x:f>
      </x:c>
      <x:c r="L838" s="12" t="str">
        <x:f>IF(D838="","",HYPERLINK("https://wa.me/"&amp;REGEXREPLACE(D838,"[^\d]","")&amp;"?text="&amp;ENCODEURL(K838),"واتساب 1"))</x:f>
      </x:c>
      <x:c r="M838" s="12" t="str">
        <x:f>IF(A838="","","مرحبًا "&amp;C838&amp;CHAR(10)&amp;CHAR(10)&amp;"بناءً على نتيجة تقييم عيادة "&amp;B838&amp;"، فإن الترشيح الأقوى لكم الآن هو: "&amp;G838&amp;"."&amp;CHAR(10)&amp;"هذا الخيار يساعدكم في معالجة أكبر فجوة حالية بشكل عملي ومباشر."&amp;IF(J838&lt;&gt;"",CHAR(10)&amp;CHAR(10)&amp;"رابط التقرير: "&amp;J838,"")&amp;CHAR(10)&amp;CHAR(10)&amp;"إذا رغبت، يمكننا توضيح لماذا هذا الكورس هو الأنسب لكم الآن.")</x:f>
      </x:c>
      <x:c r="N838" s="12" t="str">
        <x:f>IF(D838="","",HYPERLINK("https://wa.me/"&amp;REGEXREPLACE(D838,"[^\d]","")&amp;"?text="&amp;ENCODEURL(M838),"واتساب 2"))</x:f>
      </x:c>
      <x:c r="O838" s="12" t="str">
        <x:f>IF(A838="","","مرحبًا "&amp;C838&amp;CHAR(10)&amp;CHAR(10)&amp;"إذا كانت التحديات لديكم تحتاج حلًا أشمل، فالبرنامج الكامل المناسب لكم هو: "&amp;H838&amp;"."&amp;IF(I838&lt;&gt;"",CHAR(10)&amp;"كما يمكنكم أيضًا حجز: "&amp;I838&amp;".","")&amp;IF(J838&lt;&gt;"",CHAR(10)&amp;CHAR(10)&amp;"رابط التقرير: "&amp;J838,"")&amp;CHAR(10)&amp;CHAR(10)&amp;"يسعدنا مساعدتكم في اختيار المسار الأنسب حسب وضع العيادة الحالي.")</x:f>
      </x:c>
      <x:c r="P838" s="12" t="str">
        <x:f>IF(D838="","",HYPERLINK("https://wa.me/"&amp;REGEXREPLACE(D838,"[^\d]","")&amp;"?text="&amp;ENCODEURL(O838),"واتساب 3"))</x:f>
      </x:c>
    </x:row>
    <x:row r="839" ht="15" hidden="0" customHeight="1">
      <x:c r="A839" s="12" t="str">
        <x:f>IF(Leads!A839="","",Leads!A839)</x:f>
      </x:c>
      <x:c r="B839" s="12" t="str">
        <x:f>IF(Leads!F839="","",Leads!F839)</x:f>
      </x:c>
      <x:c r="C839" s="12" t="str">
        <x:f>IF(Leads!G839="","",Leads!G839)</x:f>
      </x:c>
      <x:c r="D839" s="12" t="str">
        <x:f>IF(Leads!O839="","",Leads!O839)</x:f>
      </x:c>
      <x:c r="E839" s="12" t="str">
        <x:f>IF(Leads!AV839="","",Leads!AV839)</x:f>
      </x:c>
      <x:c r="F839" s="12" t="str">
        <x:f>IF(Leads!AX839="","",Leads!AX839)</x:f>
      </x:c>
      <x:c r="G839" s="12" t="str">
        <x:f>IF(Leads!BC839="","",Leads!BC839)</x:f>
      </x:c>
      <x:c r="H839" s="12" t="str">
        <x:f>IF(Leads!BE839="","",Leads!BE839)</x:f>
      </x:c>
      <x:c r="I839" s="12" t="str">
        <x:f>IF(Leads!BG839="","",Leads!BG839)</x:f>
      </x:c>
      <x:c r="J839" s="12" t="str">
        <x:f>IF(Leads!BH839="","",Leads!BH839)</x:f>
      </x:c>
      <x:c r="K839" s="12" t="str">
        <x:f>IF(A839="","","مرحبًا "&amp;C839&amp;CHAR(10)&amp;CHAR(10)&amp;"شكرًا لإتمام تقييم DBD الخاص بعيادة "&amp;B839&amp;"."&amp;CHAR(10)&amp;"نتيجتكم الحالية: "&amp;E839&amp;"%."&amp;CHAR(10)&amp;"أولوية التحسين الأولى: "&amp;F839&amp;"."&amp;IF(J839&lt;&gt;"",CHAR(10)&amp;CHAR(10)&amp;"رابط التقرير: "&amp;J839,"")&amp;CHAR(10)&amp;CHAR(10)&amp;"إذا أحببت، يمكننا مساعدتك في فهم التقرير وتحديد أفضل خطوة تالية لعيادتكم.")</x:f>
      </x:c>
      <x:c r="L839" s="12" t="str">
        <x:f>IF(D839="","",HYPERLINK("https://wa.me/"&amp;REGEXREPLACE(D839,"[^\d]","")&amp;"?text="&amp;ENCODEURL(K839),"واتساب 1"))</x:f>
      </x:c>
      <x:c r="M839" s="12" t="str">
        <x:f>IF(A839="","","مرحبًا "&amp;C839&amp;CHAR(10)&amp;CHAR(10)&amp;"بناءً على نتيجة تقييم عيادة "&amp;B839&amp;"، فإن الترشيح الأقوى لكم الآن هو: "&amp;G839&amp;"."&amp;CHAR(10)&amp;"هذا الخيار يساعدكم في معالجة أكبر فجوة حالية بشكل عملي ومباشر."&amp;IF(J839&lt;&gt;"",CHAR(10)&amp;CHAR(10)&amp;"رابط التقرير: "&amp;J839,"")&amp;CHAR(10)&amp;CHAR(10)&amp;"إذا رغبت، يمكننا توضيح لماذا هذا الكورس هو الأنسب لكم الآن.")</x:f>
      </x:c>
      <x:c r="N839" s="12" t="str">
        <x:f>IF(D839="","",HYPERLINK("https://wa.me/"&amp;REGEXREPLACE(D839,"[^\d]","")&amp;"?text="&amp;ENCODEURL(M839),"واتساب 2"))</x:f>
      </x:c>
      <x:c r="O839" s="12" t="str">
        <x:f>IF(A839="","","مرحبًا "&amp;C839&amp;CHAR(10)&amp;CHAR(10)&amp;"إذا كانت التحديات لديكم تحتاج حلًا أشمل، فالبرنامج الكامل المناسب لكم هو: "&amp;H839&amp;"."&amp;IF(I839&lt;&gt;"",CHAR(10)&amp;"كما يمكنكم أيضًا حجز: "&amp;I839&amp;".","")&amp;IF(J839&lt;&gt;"",CHAR(10)&amp;CHAR(10)&amp;"رابط التقرير: "&amp;J839,"")&amp;CHAR(10)&amp;CHAR(10)&amp;"يسعدنا مساعدتكم في اختيار المسار الأنسب حسب وضع العيادة الحالي.")</x:f>
      </x:c>
      <x:c r="P839" s="12" t="str">
        <x:f>IF(D839="","",HYPERLINK("https://wa.me/"&amp;REGEXREPLACE(D839,"[^\d]","")&amp;"?text="&amp;ENCODEURL(O839),"واتساب 3"))</x:f>
      </x:c>
    </x:row>
    <x:row r="840" ht="15" hidden="0" customHeight="1">
      <x:c r="A840" s="12" t="str">
        <x:f>IF(Leads!A840="","",Leads!A840)</x:f>
      </x:c>
      <x:c r="B840" s="12" t="str">
        <x:f>IF(Leads!F840="","",Leads!F840)</x:f>
      </x:c>
      <x:c r="C840" s="12" t="str">
        <x:f>IF(Leads!G840="","",Leads!G840)</x:f>
      </x:c>
      <x:c r="D840" s="12" t="str">
        <x:f>IF(Leads!O840="","",Leads!O840)</x:f>
      </x:c>
      <x:c r="E840" s="12" t="str">
        <x:f>IF(Leads!AV840="","",Leads!AV840)</x:f>
      </x:c>
      <x:c r="F840" s="12" t="str">
        <x:f>IF(Leads!AX840="","",Leads!AX840)</x:f>
      </x:c>
      <x:c r="G840" s="12" t="str">
        <x:f>IF(Leads!BC840="","",Leads!BC840)</x:f>
      </x:c>
      <x:c r="H840" s="12" t="str">
        <x:f>IF(Leads!BE840="","",Leads!BE840)</x:f>
      </x:c>
      <x:c r="I840" s="12" t="str">
        <x:f>IF(Leads!BG840="","",Leads!BG840)</x:f>
      </x:c>
      <x:c r="J840" s="12" t="str">
        <x:f>IF(Leads!BH840="","",Leads!BH840)</x:f>
      </x:c>
      <x:c r="K840" s="12" t="str">
        <x:f>IF(A840="","","مرحبًا "&amp;C840&amp;CHAR(10)&amp;CHAR(10)&amp;"شكرًا لإتمام تقييم DBD الخاص بعيادة "&amp;B840&amp;"."&amp;CHAR(10)&amp;"نتيجتكم الحالية: "&amp;E840&amp;"%."&amp;CHAR(10)&amp;"أولوية التحسين الأولى: "&amp;F840&amp;"."&amp;IF(J840&lt;&gt;"",CHAR(10)&amp;CHAR(10)&amp;"رابط التقرير: "&amp;J840,"")&amp;CHAR(10)&amp;CHAR(10)&amp;"إذا أحببت، يمكننا مساعدتك في فهم التقرير وتحديد أفضل خطوة تالية لعيادتكم.")</x:f>
      </x:c>
      <x:c r="L840" s="12" t="str">
        <x:f>IF(D840="","",HYPERLINK("https://wa.me/"&amp;REGEXREPLACE(D840,"[^\d]","")&amp;"?text="&amp;ENCODEURL(K840),"واتساب 1"))</x:f>
      </x:c>
      <x:c r="M840" s="12" t="str">
        <x:f>IF(A840="","","مرحبًا "&amp;C840&amp;CHAR(10)&amp;CHAR(10)&amp;"بناءً على نتيجة تقييم عيادة "&amp;B840&amp;"، فإن الترشيح الأقوى لكم الآن هو: "&amp;G840&amp;"."&amp;CHAR(10)&amp;"هذا الخيار يساعدكم في معالجة أكبر فجوة حالية بشكل عملي ومباشر."&amp;IF(J840&lt;&gt;"",CHAR(10)&amp;CHAR(10)&amp;"رابط التقرير: "&amp;J840,"")&amp;CHAR(10)&amp;CHAR(10)&amp;"إذا رغبت، يمكننا توضيح لماذا هذا الكورس هو الأنسب لكم الآن.")</x:f>
      </x:c>
      <x:c r="N840" s="12" t="str">
        <x:f>IF(D840="","",HYPERLINK("https://wa.me/"&amp;REGEXREPLACE(D840,"[^\d]","")&amp;"?text="&amp;ENCODEURL(M840),"واتساب 2"))</x:f>
      </x:c>
      <x:c r="O840" s="12" t="str">
        <x:f>IF(A840="","","مرحبًا "&amp;C840&amp;CHAR(10)&amp;CHAR(10)&amp;"إذا كانت التحديات لديكم تحتاج حلًا أشمل، فالبرنامج الكامل المناسب لكم هو: "&amp;H840&amp;"."&amp;IF(I840&lt;&gt;"",CHAR(10)&amp;"كما يمكنكم أيضًا حجز: "&amp;I840&amp;".","")&amp;IF(J840&lt;&gt;"",CHAR(10)&amp;CHAR(10)&amp;"رابط التقرير: "&amp;J840,"")&amp;CHAR(10)&amp;CHAR(10)&amp;"يسعدنا مساعدتكم في اختيار المسار الأنسب حسب وضع العيادة الحالي.")</x:f>
      </x:c>
      <x:c r="P840" s="12" t="str">
        <x:f>IF(D840="","",HYPERLINK("https://wa.me/"&amp;REGEXREPLACE(D840,"[^\d]","")&amp;"?text="&amp;ENCODEURL(O840),"واتساب 3"))</x:f>
      </x:c>
    </x:row>
    <x:row r="841" ht="15" hidden="0" customHeight="1">
      <x:c r="A841" s="12" t="str">
        <x:f>IF(Leads!A841="","",Leads!A841)</x:f>
      </x:c>
      <x:c r="B841" s="12" t="str">
        <x:f>IF(Leads!F841="","",Leads!F841)</x:f>
      </x:c>
      <x:c r="C841" s="12" t="str">
        <x:f>IF(Leads!G841="","",Leads!G841)</x:f>
      </x:c>
      <x:c r="D841" s="12" t="str">
        <x:f>IF(Leads!O841="","",Leads!O841)</x:f>
      </x:c>
      <x:c r="E841" s="12" t="str">
        <x:f>IF(Leads!AV841="","",Leads!AV841)</x:f>
      </x:c>
      <x:c r="F841" s="12" t="str">
        <x:f>IF(Leads!AX841="","",Leads!AX841)</x:f>
      </x:c>
      <x:c r="G841" s="12" t="str">
        <x:f>IF(Leads!BC841="","",Leads!BC841)</x:f>
      </x:c>
      <x:c r="H841" s="12" t="str">
        <x:f>IF(Leads!BE841="","",Leads!BE841)</x:f>
      </x:c>
      <x:c r="I841" s="12" t="str">
        <x:f>IF(Leads!BG841="","",Leads!BG841)</x:f>
      </x:c>
      <x:c r="J841" s="12" t="str">
        <x:f>IF(Leads!BH841="","",Leads!BH841)</x:f>
      </x:c>
      <x:c r="K841" s="12" t="str">
        <x:f>IF(A841="","","مرحبًا "&amp;C841&amp;CHAR(10)&amp;CHAR(10)&amp;"شكرًا لإتمام تقييم DBD الخاص بعيادة "&amp;B841&amp;"."&amp;CHAR(10)&amp;"نتيجتكم الحالية: "&amp;E841&amp;"%."&amp;CHAR(10)&amp;"أولوية التحسين الأولى: "&amp;F841&amp;"."&amp;IF(J841&lt;&gt;"",CHAR(10)&amp;CHAR(10)&amp;"رابط التقرير: "&amp;J841,"")&amp;CHAR(10)&amp;CHAR(10)&amp;"إذا أحببت، يمكننا مساعدتك في فهم التقرير وتحديد أفضل خطوة تالية لعيادتكم.")</x:f>
      </x:c>
      <x:c r="L841" s="12" t="str">
        <x:f>IF(D841="","",HYPERLINK("https://wa.me/"&amp;REGEXREPLACE(D841,"[^\d]","")&amp;"?text="&amp;ENCODEURL(K841),"واتساب 1"))</x:f>
      </x:c>
      <x:c r="M841" s="12" t="str">
        <x:f>IF(A841="","","مرحبًا "&amp;C841&amp;CHAR(10)&amp;CHAR(10)&amp;"بناءً على نتيجة تقييم عيادة "&amp;B841&amp;"، فإن الترشيح الأقوى لكم الآن هو: "&amp;G841&amp;"."&amp;CHAR(10)&amp;"هذا الخيار يساعدكم في معالجة أكبر فجوة حالية بشكل عملي ومباشر."&amp;IF(J841&lt;&gt;"",CHAR(10)&amp;CHAR(10)&amp;"رابط التقرير: "&amp;J841,"")&amp;CHAR(10)&amp;CHAR(10)&amp;"إذا رغبت، يمكننا توضيح لماذا هذا الكورس هو الأنسب لكم الآن.")</x:f>
      </x:c>
      <x:c r="N841" s="12" t="str">
        <x:f>IF(D841="","",HYPERLINK("https://wa.me/"&amp;REGEXREPLACE(D841,"[^\d]","")&amp;"?text="&amp;ENCODEURL(M841),"واتساب 2"))</x:f>
      </x:c>
      <x:c r="O841" s="12" t="str">
        <x:f>IF(A841="","","مرحبًا "&amp;C841&amp;CHAR(10)&amp;CHAR(10)&amp;"إذا كانت التحديات لديكم تحتاج حلًا أشمل، فالبرنامج الكامل المناسب لكم هو: "&amp;H841&amp;"."&amp;IF(I841&lt;&gt;"",CHAR(10)&amp;"كما يمكنكم أيضًا حجز: "&amp;I841&amp;".","")&amp;IF(J841&lt;&gt;"",CHAR(10)&amp;CHAR(10)&amp;"رابط التقرير: "&amp;J841,"")&amp;CHAR(10)&amp;CHAR(10)&amp;"يسعدنا مساعدتكم في اختيار المسار الأنسب حسب وضع العيادة الحالي.")</x:f>
      </x:c>
      <x:c r="P841" s="12" t="str">
        <x:f>IF(D841="","",HYPERLINK("https://wa.me/"&amp;REGEXREPLACE(D841,"[^\d]","")&amp;"?text="&amp;ENCODEURL(O841),"واتساب 3"))</x:f>
      </x:c>
    </x:row>
    <x:row r="842" ht="15" hidden="0" customHeight="1">
      <x:c r="A842" s="12" t="str">
        <x:f>IF(Leads!A842="","",Leads!A842)</x:f>
      </x:c>
      <x:c r="B842" s="12" t="str">
        <x:f>IF(Leads!F842="","",Leads!F842)</x:f>
      </x:c>
      <x:c r="C842" s="12" t="str">
        <x:f>IF(Leads!G842="","",Leads!G842)</x:f>
      </x:c>
      <x:c r="D842" s="12" t="str">
        <x:f>IF(Leads!O842="","",Leads!O842)</x:f>
      </x:c>
      <x:c r="E842" s="12" t="str">
        <x:f>IF(Leads!AV842="","",Leads!AV842)</x:f>
      </x:c>
      <x:c r="F842" s="12" t="str">
        <x:f>IF(Leads!AX842="","",Leads!AX842)</x:f>
      </x:c>
      <x:c r="G842" s="12" t="str">
        <x:f>IF(Leads!BC842="","",Leads!BC842)</x:f>
      </x:c>
      <x:c r="H842" s="12" t="str">
        <x:f>IF(Leads!BE842="","",Leads!BE842)</x:f>
      </x:c>
      <x:c r="I842" s="12" t="str">
        <x:f>IF(Leads!BG842="","",Leads!BG842)</x:f>
      </x:c>
      <x:c r="J842" s="12" t="str">
        <x:f>IF(Leads!BH842="","",Leads!BH842)</x:f>
      </x:c>
      <x:c r="K842" s="12" t="str">
        <x:f>IF(A842="","","مرحبًا "&amp;C842&amp;CHAR(10)&amp;CHAR(10)&amp;"شكرًا لإتمام تقييم DBD الخاص بعيادة "&amp;B842&amp;"."&amp;CHAR(10)&amp;"نتيجتكم الحالية: "&amp;E842&amp;"%."&amp;CHAR(10)&amp;"أولوية التحسين الأولى: "&amp;F842&amp;"."&amp;IF(J842&lt;&gt;"",CHAR(10)&amp;CHAR(10)&amp;"رابط التقرير: "&amp;J842,"")&amp;CHAR(10)&amp;CHAR(10)&amp;"إذا أحببت، يمكننا مساعدتك في فهم التقرير وتحديد أفضل خطوة تالية لعيادتكم.")</x:f>
      </x:c>
      <x:c r="L842" s="12" t="str">
        <x:f>IF(D842="","",HYPERLINK("https://wa.me/"&amp;REGEXREPLACE(D842,"[^\d]","")&amp;"?text="&amp;ENCODEURL(K842),"واتساب 1"))</x:f>
      </x:c>
      <x:c r="M842" s="12" t="str">
        <x:f>IF(A842="","","مرحبًا "&amp;C842&amp;CHAR(10)&amp;CHAR(10)&amp;"بناءً على نتيجة تقييم عيادة "&amp;B842&amp;"، فإن الترشيح الأقوى لكم الآن هو: "&amp;G842&amp;"."&amp;CHAR(10)&amp;"هذا الخيار يساعدكم في معالجة أكبر فجوة حالية بشكل عملي ومباشر."&amp;IF(J842&lt;&gt;"",CHAR(10)&amp;CHAR(10)&amp;"رابط التقرير: "&amp;J842,"")&amp;CHAR(10)&amp;CHAR(10)&amp;"إذا رغبت، يمكننا توضيح لماذا هذا الكورس هو الأنسب لكم الآن.")</x:f>
      </x:c>
      <x:c r="N842" s="12" t="str">
        <x:f>IF(D842="","",HYPERLINK("https://wa.me/"&amp;REGEXREPLACE(D842,"[^\d]","")&amp;"?text="&amp;ENCODEURL(M842),"واتساب 2"))</x:f>
      </x:c>
      <x:c r="O842" s="12" t="str">
        <x:f>IF(A842="","","مرحبًا "&amp;C842&amp;CHAR(10)&amp;CHAR(10)&amp;"إذا كانت التحديات لديكم تحتاج حلًا أشمل، فالبرنامج الكامل المناسب لكم هو: "&amp;H842&amp;"."&amp;IF(I842&lt;&gt;"",CHAR(10)&amp;"كما يمكنكم أيضًا حجز: "&amp;I842&amp;".","")&amp;IF(J842&lt;&gt;"",CHAR(10)&amp;CHAR(10)&amp;"رابط التقرير: "&amp;J842,"")&amp;CHAR(10)&amp;CHAR(10)&amp;"يسعدنا مساعدتكم في اختيار المسار الأنسب حسب وضع العيادة الحالي.")</x:f>
      </x:c>
      <x:c r="P842" s="12" t="str">
        <x:f>IF(D842="","",HYPERLINK("https://wa.me/"&amp;REGEXREPLACE(D842,"[^\d]","")&amp;"?text="&amp;ENCODEURL(O842),"واتساب 3"))</x:f>
      </x:c>
    </x:row>
    <x:row r="843" ht="15" hidden="0" customHeight="1">
      <x:c r="A843" s="12" t="str">
        <x:f>IF(Leads!A843="","",Leads!A843)</x:f>
      </x:c>
      <x:c r="B843" s="12" t="str">
        <x:f>IF(Leads!F843="","",Leads!F843)</x:f>
      </x:c>
      <x:c r="C843" s="12" t="str">
        <x:f>IF(Leads!G843="","",Leads!G843)</x:f>
      </x:c>
      <x:c r="D843" s="12" t="str">
        <x:f>IF(Leads!O843="","",Leads!O843)</x:f>
      </x:c>
      <x:c r="E843" s="12" t="str">
        <x:f>IF(Leads!AV843="","",Leads!AV843)</x:f>
      </x:c>
      <x:c r="F843" s="12" t="str">
        <x:f>IF(Leads!AX843="","",Leads!AX843)</x:f>
      </x:c>
      <x:c r="G843" s="12" t="str">
        <x:f>IF(Leads!BC843="","",Leads!BC843)</x:f>
      </x:c>
      <x:c r="H843" s="12" t="str">
        <x:f>IF(Leads!BE843="","",Leads!BE843)</x:f>
      </x:c>
      <x:c r="I843" s="12" t="str">
        <x:f>IF(Leads!BG843="","",Leads!BG843)</x:f>
      </x:c>
      <x:c r="J843" s="12" t="str">
        <x:f>IF(Leads!BH843="","",Leads!BH843)</x:f>
      </x:c>
      <x:c r="K843" s="12" t="str">
        <x:f>IF(A843="","","مرحبًا "&amp;C843&amp;CHAR(10)&amp;CHAR(10)&amp;"شكرًا لإتمام تقييم DBD الخاص بعيادة "&amp;B843&amp;"."&amp;CHAR(10)&amp;"نتيجتكم الحالية: "&amp;E843&amp;"%."&amp;CHAR(10)&amp;"أولوية التحسين الأولى: "&amp;F843&amp;"."&amp;IF(J843&lt;&gt;"",CHAR(10)&amp;CHAR(10)&amp;"رابط التقرير: "&amp;J843,"")&amp;CHAR(10)&amp;CHAR(10)&amp;"إذا أحببت، يمكننا مساعدتك في فهم التقرير وتحديد أفضل خطوة تالية لعيادتكم.")</x:f>
      </x:c>
      <x:c r="L843" s="12" t="str">
        <x:f>IF(D843="","",HYPERLINK("https://wa.me/"&amp;REGEXREPLACE(D843,"[^\d]","")&amp;"?text="&amp;ENCODEURL(K843),"واتساب 1"))</x:f>
      </x:c>
      <x:c r="M843" s="12" t="str">
        <x:f>IF(A843="","","مرحبًا "&amp;C843&amp;CHAR(10)&amp;CHAR(10)&amp;"بناءً على نتيجة تقييم عيادة "&amp;B843&amp;"، فإن الترشيح الأقوى لكم الآن هو: "&amp;G843&amp;"."&amp;CHAR(10)&amp;"هذا الخيار يساعدكم في معالجة أكبر فجوة حالية بشكل عملي ومباشر."&amp;IF(J843&lt;&gt;"",CHAR(10)&amp;CHAR(10)&amp;"رابط التقرير: "&amp;J843,"")&amp;CHAR(10)&amp;CHAR(10)&amp;"إذا رغبت، يمكننا توضيح لماذا هذا الكورس هو الأنسب لكم الآن.")</x:f>
      </x:c>
      <x:c r="N843" s="12" t="str">
        <x:f>IF(D843="","",HYPERLINK("https://wa.me/"&amp;REGEXREPLACE(D843,"[^\d]","")&amp;"?text="&amp;ENCODEURL(M843),"واتساب 2"))</x:f>
      </x:c>
      <x:c r="O843" s="12" t="str">
        <x:f>IF(A843="","","مرحبًا "&amp;C843&amp;CHAR(10)&amp;CHAR(10)&amp;"إذا كانت التحديات لديكم تحتاج حلًا أشمل، فالبرنامج الكامل المناسب لكم هو: "&amp;H843&amp;"."&amp;IF(I843&lt;&gt;"",CHAR(10)&amp;"كما يمكنكم أيضًا حجز: "&amp;I843&amp;".","")&amp;IF(J843&lt;&gt;"",CHAR(10)&amp;CHAR(10)&amp;"رابط التقرير: "&amp;J843,"")&amp;CHAR(10)&amp;CHAR(10)&amp;"يسعدنا مساعدتكم في اختيار المسار الأنسب حسب وضع العيادة الحالي.")</x:f>
      </x:c>
      <x:c r="P843" s="12" t="str">
        <x:f>IF(D843="","",HYPERLINK("https://wa.me/"&amp;REGEXREPLACE(D843,"[^\d]","")&amp;"?text="&amp;ENCODEURL(O843),"واتساب 3"))</x:f>
      </x:c>
    </x:row>
    <x:row r="844" ht="15" hidden="0" customHeight="1">
      <x:c r="A844" s="12" t="str">
        <x:f>IF(Leads!A844="","",Leads!A844)</x:f>
      </x:c>
      <x:c r="B844" s="12" t="str">
        <x:f>IF(Leads!F844="","",Leads!F844)</x:f>
      </x:c>
      <x:c r="C844" s="12" t="str">
        <x:f>IF(Leads!G844="","",Leads!G844)</x:f>
      </x:c>
      <x:c r="D844" s="12" t="str">
        <x:f>IF(Leads!O844="","",Leads!O844)</x:f>
      </x:c>
      <x:c r="E844" s="12" t="str">
        <x:f>IF(Leads!AV844="","",Leads!AV844)</x:f>
      </x:c>
      <x:c r="F844" s="12" t="str">
        <x:f>IF(Leads!AX844="","",Leads!AX844)</x:f>
      </x:c>
      <x:c r="G844" s="12" t="str">
        <x:f>IF(Leads!BC844="","",Leads!BC844)</x:f>
      </x:c>
      <x:c r="H844" s="12" t="str">
        <x:f>IF(Leads!BE844="","",Leads!BE844)</x:f>
      </x:c>
      <x:c r="I844" s="12" t="str">
        <x:f>IF(Leads!BG844="","",Leads!BG844)</x:f>
      </x:c>
      <x:c r="J844" s="12" t="str">
        <x:f>IF(Leads!BH844="","",Leads!BH844)</x:f>
      </x:c>
      <x:c r="K844" s="12" t="str">
        <x:f>IF(A844="","","مرحبًا "&amp;C844&amp;CHAR(10)&amp;CHAR(10)&amp;"شكرًا لإتمام تقييم DBD الخاص بعيادة "&amp;B844&amp;"."&amp;CHAR(10)&amp;"نتيجتكم الحالية: "&amp;E844&amp;"%."&amp;CHAR(10)&amp;"أولوية التحسين الأولى: "&amp;F844&amp;"."&amp;IF(J844&lt;&gt;"",CHAR(10)&amp;CHAR(10)&amp;"رابط التقرير: "&amp;J844,"")&amp;CHAR(10)&amp;CHAR(10)&amp;"إذا أحببت، يمكننا مساعدتك في فهم التقرير وتحديد أفضل خطوة تالية لعيادتكم.")</x:f>
      </x:c>
      <x:c r="L844" s="12" t="str">
        <x:f>IF(D844="","",HYPERLINK("https://wa.me/"&amp;REGEXREPLACE(D844,"[^\d]","")&amp;"?text="&amp;ENCODEURL(K844),"واتساب 1"))</x:f>
      </x:c>
      <x:c r="M844" s="12" t="str">
        <x:f>IF(A844="","","مرحبًا "&amp;C844&amp;CHAR(10)&amp;CHAR(10)&amp;"بناءً على نتيجة تقييم عيادة "&amp;B844&amp;"، فإن الترشيح الأقوى لكم الآن هو: "&amp;G844&amp;"."&amp;CHAR(10)&amp;"هذا الخيار يساعدكم في معالجة أكبر فجوة حالية بشكل عملي ومباشر."&amp;IF(J844&lt;&gt;"",CHAR(10)&amp;CHAR(10)&amp;"رابط التقرير: "&amp;J844,"")&amp;CHAR(10)&amp;CHAR(10)&amp;"إذا رغبت، يمكننا توضيح لماذا هذا الكورس هو الأنسب لكم الآن.")</x:f>
      </x:c>
      <x:c r="N844" s="12" t="str">
        <x:f>IF(D844="","",HYPERLINK("https://wa.me/"&amp;REGEXREPLACE(D844,"[^\d]","")&amp;"?text="&amp;ENCODEURL(M844),"واتساب 2"))</x:f>
      </x:c>
      <x:c r="O844" s="12" t="str">
        <x:f>IF(A844="","","مرحبًا "&amp;C844&amp;CHAR(10)&amp;CHAR(10)&amp;"إذا كانت التحديات لديكم تحتاج حلًا أشمل، فالبرنامج الكامل المناسب لكم هو: "&amp;H844&amp;"."&amp;IF(I844&lt;&gt;"",CHAR(10)&amp;"كما يمكنكم أيضًا حجز: "&amp;I844&amp;".","")&amp;IF(J844&lt;&gt;"",CHAR(10)&amp;CHAR(10)&amp;"رابط التقرير: "&amp;J844,"")&amp;CHAR(10)&amp;CHAR(10)&amp;"يسعدنا مساعدتكم في اختيار المسار الأنسب حسب وضع العيادة الحالي.")</x:f>
      </x:c>
      <x:c r="P844" s="12" t="str">
        <x:f>IF(D844="","",HYPERLINK("https://wa.me/"&amp;REGEXREPLACE(D844,"[^\d]","")&amp;"?text="&amp;ENCODEURL(O844),"واتساب 3"))</x:f>
      </x:c>
    </x:row>
    <x:row r="845" ht="15" hidden="0" customHeight="1">
      <x:c r="A845" s="12" t="str">
        <x:f>IF(Leads!A845="","",Leads!A845)</x:f>
      </x:c>
      <x:c r="B845" s="12" t="str">
        <x:f>IF(Leads!F845="","",Leads!F845)</x:f>
      </x:c>
      <x:c r="C845" s="12" t="str">
        <x:f>IF(Leads!G845="","",Leads!G845)</x:f>
      </x:c>
      <x:c r="D845" s="12" t="str">
        <x:f>IF(Leads!O845="","",Leads!O845)</x:f>
      </x:c>
      <x:c r="E845" s="12" t="str">
        <x:f>IF(Leads!AV845="","",Leads!AV845)</x:f>
      </x:c>
      <x:c r="F845" s="12" t="str">
        <x:f>IF(Leads!AX845="","",Leads!AX845)</x:f>
      </x:c>
      <x:c r="G845" s="12" t="str">
        <x:f>IF(Leads!BC845="","",Leads!BC845)</x:f>
      </x:c>
      <x:c r="H845" s="12" t="str">
        <x:f>IF(Leads!BE845="","",Leads!BE845)</x:f>
      </x:c>
      <x:c r="I845" s="12" t="str">
        <x:f>IF(Leads!BG845="","",Leads!BG845)</x:f>
      </x:c>
      <x:c r="J845" s="12" t="str">
        <x:f>IF(Leads!BH845="","",Leads!BH845)</x:f>
      </x:c>
      <x:c r="K845" s="12" t="str">
        <x:f>IF(A845="","","مرحبًا "&amp;C845&amp;CHAR(10)&amp;CHAR(10)&amp;"شكرًا لإتمام تقييم DBD الخاص بعيادة "&amp;B845&amp;"."&amp;CHAR(10)&amp;"نتيجتكم الحالية: "&amp;E845&amp;"%."&amp;CHAR(10)&amp;"أولوية التحسين الأولى: "&amp;F845&amp;"."&amp;IF(J845&lt;&gt;"",CHAR(10)&amp;CHAR(10)&amp;"رابط التقرير: "&amp;J845,"")&amp;CHAR(10)&amp;CHAR(10)&amp;"إذا أحببت، يمكننا مساعدتك في فهم التقرير وتحديد أفضل خطوة تالية لعيادتكم.")</x:f>
      </x:c>
      <x:c r="L845" s="12" t="str">
        <x:f>IF(D845="","",HYPERLINK("https://wa.me/"&amp;REGEXREPLACE(D845,"[^\d]","")&amp;"?text="&amp;ENCODEURL(K845),"واتساب 1"))</x:f>
      </x:c>
      <x:c r="M845" s="12" t="str">
        <x:f>IF(A845="","","مرحبًا "&amp;C845&amp;CHAR(10)&amp;CHAR(10)&amp;"بناءً على نتيجة تقييم عيادة "&amp;B845&amp;"، فإن الترشيح الأقوى لكم الآن هو: "&amp;G845&amp;"."&amp;CHAR(10)&amp;"هذا الخيار يساعدكم في معالجة أكبر فجوة حالية بشكل عملي ومباشر."&amp;IF(J845&lt;&gt;"",CHAR(10)&amp;CHAR(10)&amp;"رابط التقرير: "&amp;J845,"")&amp;CHAR(10)&amp;CHAR(10)&amp;"إذا رغبت، يمكننا توضيح لماذا هذا الكورس هو الأنسب لكم الآن.")</x:f>
      </x:c>
      <x:c r="N845" s="12" t="str">
        <x:f>IF(D845="","",HYPERLINK("https://wa.me/"&amp;REGEXREPLACE(D845,"[^\d]","")&amp;"?text="&amp;ENCODEURL(M845),"واتساب 2"))</x:f>
      </x:c>
      <x:c r="O845" s="12" t="str">
        <x:f>IF(A845="","","مرحبًا "&amp;C845&amp;CHAR(10)&amp;CHAR(10)&amp;"إذا كانت التحديات لديكم تحتاج حلًا أشمل، فالبرنامج الكامل المناسب لكم هو: "&amp;H845&amp;"."&amp;IF(I845&lt;&gt;"",CHAR(10)&amp;"كما يمكنكم أيضًا حجز: "&amp;I845&amp;".","")&amp;IF(J845&lt;&gt;"",CHAR(10)&amp;CHAR(10)&amp;"رابط التقرير: "&amp;J845,"")&amp;CHAR(10)&amp;CHAR(10)&amp;"يسعدنا مساعدتكم في اختيار المسار الأنسب حسب وضع العيادة الحالي.")</x:f>
      </x:c>
      <x:c r="P845" s="12" t="str">
        <x:f>IF(D845="","",HYPERLINK("https://wa.me/"&amp;REGEXREPLACE(D845,"[^\d]","")&amp;"?text="&amp;ENCODEURL(O845),"واتساب 3"))</x:f>
      </x:c>
    </x:row>
    <x:row r="846" ht="15" hidden="0" customHeight="1">
      <x:c r="A846" s="12" t="str">
        <x:f>IF(Leads!A846="","",Leads!A846)</x:f>
      </x:c>
      <x:c r="B846" s="12" t="str">
        <x:f>IF(Leads!F846="","",Leads!F846)</x:f>
      </x:c>
      <x:c r="C846" s="12" t="str">
        <x:f>IF(Leads!G846="","",Leads!G846)</x:f>
      </x:c>
      <x:c r="D846" s="12" t="str">
        <x:f>IF(Leads!O846="","",Leads!O846)</x:f>
      </x:c>
      <x:c r="E846" s="12" t="str">
        <x:f>IF(Leads!AV846="","",Leads!AV846)</x:f>
      </x:c>
      <x:c r="F846" s="12" t="str">
        <x:f>IF(Leads!AX846="","",Leads!AX846)</x:f>
      </x:c>
      <x:c r="G846" s="12" t="str">
        <x:f>IF(Leads!BC846="","",Leads!BC846)</x:f>
      </x:c>
      <x:c r="H846" s="12" t="str">
        <x:f>IF(Leads!BE846="","",Leads!BE846)</x:f>
      </x:c>
      <x:c r="I846" s="12" t="str">
        <x:f>IF(Leads!BG846="","",Leads!BG846)</x:f>
      </x:c>
      <x:c r="J846" s="12" t="str">
        <x:f>IF(Leads!BH846="","",Leads!BH846)</x:f>
      </x:c>
      <x:c r="K846" s="12" t="str">
        <x:f>IF(A846="","","مرحبًا "&amp;C846&amp;CHAR(10)&amp;CHAR(10)&amp;"شكرًا لإتمام تقييم DBD الخاص بعيادة "&amp;B846&amp;"."&amp;CHAR(10)&amp;"نتيجتكم الحالية: "&amp;E846&amp;"%."&amp;CHAR(10)&amp;"أولوية التحسين الأولى: "&amp;F846&amp;"."&amp;IF(J846&lt;&gt;"",CHAR(10)&amp;CHAR(10)&amp;"رابط التقرير: "&amp;J846,"")&amp;CHAR(10)&amp;CHAR(10)&amp;"إذا أحببت، يمكننا مساعدتك في فهم التقرير وتحديد أفضل خطوة تالية لعيادتكم.")</x:f>
      </x:c>
      <x:c r="L846" s="12" t="str">
        <x:f>IF(D846="","",HYPERLINK("https://wa.me/"&amp;REGEXREPLACE(D846,"[^\d]","")&amp;"?text="&amp;ENCODEURL(K846),"واتساب 1"))</x:f>
      </x:c>
      <x:c r="M846" s="12" t="str">
        <x:f>IF(A846="","","مرحبًا "&amp;C846&amp;CHAR(10)&amp;CHAR(10)&amp;"بناءً على نتيجة تقييم عيادة "&amp;B846&amp;"، فإن الترشيح الأقوى لكم الآن هو: "&amp;G846&amp;"."&amp;CHAR(10)&amp;"هذا الخيار يساعدكم في معالجة أكبر فجوة حالية بشكل عملي ومباشر."&amp;IF(J846&lt;&gt;"",CHAR(10)&amp;CHAR(10)&amp;"رابط التقرير: "&amp;J846,"")&amp;CHAR(10)&amp;CHAR(10)&amp;"إذا رغبت، يمكننا توضيح لماذا هذا الكورس هو الأنسب لكم الآن.")</x:f>
      </x:c>
      <x:c r="N846" s="12" t="str">
        <x:f>IF(D846="","",HYPERLINK("https://wa.me/"&amp;REGEXREPLACE(D846,"[^\d]","")&amp;"?text="&amp;ENCODEURL(M846),"واتساب 2"))</x:f>
      </x:c>
      <x:c r="O846" s="12" t="str">
        <x:f>IF(A846="","","مرحبًا "&amp;C846&amp;CHAR(10)&amp;CHAR(10)&amp;"إذا كانت التحديات لديكم تحتاج حلًا أشمل، فالبرنامج الكامل المناسب لكم هو: "&amp;H846&amp;"."&amp;IF(I846&lt;&gt;"",CHAR(10)&amp;"كما يمكنكم أيضًا حجز: "&amp;I846&amp;".","")&amp;IF(J846&lt;&gt;"",CHAR(10)&amp;CHAR(10)&amp;"رابط التقرير: "&amp;J846,"")&amp;CHAR(10)&amp;CHAR(10)&amp;"يسعدنا مساعدتكم في اختيار المسار الأنسب حسب وضع العيادة الحالي.")</x:f>
      </x:c>
      <x:c r="P846" s="12" t="str">
        <x:f>IF(D846="","",HYPERLINK("https://wa.me/"&amp;REGEXREPLACE(D846,"[^\d]","")&amp;"?text="&amp;ENCODEURL(O846),"واتساب 3"))</x:f>
      </x:c>
    </x:row>
    <x:row r="847" ht="15" hidden="0" customHeight="1">
      <x:c r="A847" s="12" t="str">
        <x:f>IF(Leads!A847="","",Leads!A847)</x:f>
      </x:c>
      <x:c r="B847" s="12" t="str">
        <x:f>IF(Leads!F847="","",Leads!F847)</x:f>
      </x:c>
      <x:c r="C847" s="12" t="str">
        <x:f>IF(Leads!G847="","",Leads!G847)</x:f>
      </x:c>
      <x:c r="D847" s="12" t="str">
        <x:f>IF(Leads!O847="","",Leads!O847)</x:f>
      </x:c>
      <x:c r="E847" s="12" t="str">
        <x:f>IF(Leads!AV847="","",Leads!AV847)</x:f>
      </x:c>
      <x:c r="F847" s="12" t="str">
        <x:f>IF(Leads!AX847="","",Leads!AX847)</x:f>
      </x:c>
      <x:c r="G847" s="12" t="str">
        <x:f>IF(Leads!BC847="","",Leads!BC847)</x:f>
      </x:c>
      <x:c r="H847" s="12" t="str">
        <x:f>IF(Leads!BE847="","",Leads!BE847)</x:f>
      </x:c>
      <x:c r="I847" s="12" t="str">
        <x:f>IF(Leads!BG847="","",Leads!BG847)</x:f>
      </x:c>
      <x:c r="J847" s="12" t="str">
        <x:f>IF(Leads!BH847="","",Leads!BH847)</x:f>
      </x:c>
      <x:c r="K847" s="12" t="str">
        <x:f>IF(A847="","","مرحبًا "&amp;C847&amp;CHAR(10)&amp;CHAR(10)&amp;"شكرًا لإتمام تقييم DBD الخاص بعيادة "&amp;B847&amp;"."&amp;CHAR(10)&amp;"نتيجتكم الحالية: "&amp;E847&amp;"%."&amp;CHAR(10)&amp;"أولوية التحسين الأولى: "&amp;F847&amp;"."&amp;IF(J847&lt;&gt;"",CHAR(10)&amp;CHAR(10)&amp;"رابط التقرير: "&amp;J847,"")&amp;CHAR(10)&amp;CHAR(10)&amp;"إذا أحببت، يمكننا مساعدتك في فهم التقرير وتحديد أفضل خطوة تالية لعيادتكم.")</x:f>
      </x:c>
      <x:c r="L847" s="12" t="str">
        <x:f>IF(D847="","",HYPERLINK("https://wa.me/"&amp;REGEXREPLACE(D847,"[^\d]","")&amp;"?text="&amp;ENCODEURL(K847),"واتساب 1"))</x:f>
      </x:c>
      <x:c r="M847" s="12" t="str">
        <x:f>IF(A847="","","مرحبًا "&amp;C847&amp;CHAR(10)&amp;CHAR(10)&amp;"بناءً على نتيجة تقييم عيادة "&amp;B847&amp;"، فإن الترشيح الأقوى لكم الآن هو: "&amp;G847&amp;"."&amp;CHAR(10)&amp;"هذا الخيار يساعدكم في معالجة أكبر فجوة حالية بشكل عملي ومباشر."&amp;IF(J847&lt;&gt;"",CHAR(10)&amp;CHAR(10)&amp;"رابط التقرير: "&amp;J847,"")&amp;CHAR(10)&amp;CHAR(10)&amp;"إذا رغبت، يمكننا توضيح لماذا هذا الكورس هو الأنسب لكم الآن.")</x:f>
      </x:c>
      <x:c r="N847" s="12" t="str">
        <x:f>IF(D847="","",HYPERLINK("https://wa.me/"&amp;REGEXREPLACE(D847,"[^\d]","")&amp;"?text="&amp;ENCODEURL(M847),"واتساب 2"))</x:f>
      </x:c>
      <x:c r="O847" s="12" t="str">
        <x:f>IF(A847="","","مرحبًا "&amp;C847&amp;CHAR(10)&amp;CHAR(10)&amp;"إذا كانت التحديات لديكم تحتاج حلًا أشمل، فالبرنامج الكامل المناسب لكم هو: "&amp;H847&amp;"."&amp;IF(I847&lt;&gt;"",CHAR(10)&amp;"كما يمكنكم أيضًا حجز: "&amp;I847&amp;".","")&amp;IF(J847&lt;&gt;"",CHAR(10)&amp;CHAR(10)&amp;"رابط التقرير: "&amp;J847,"")&amp;CHAR(10)&amp;CHAR(10)&amp;"يسعدنا مساعدتكم في اختيار المسار الأنسب حسب وضع العيادة الحالي.")</x:f>
      </x:c>
      <x:c r="P847" s="12" t="str">
        <x:f>IF(D847="","",HYPERLINK("https://wa.me/"&amp;REGEXREPLACE(D847,"[^\d]","")&amp;"?text="&amp;ENCODEURL(O847),"واتساب 3"))</x:f>
      </x:c>
    </x:row>
    <x:row r="848" ht="15" hidden="0" customHeight="1">
      <x:c r="A848" s="12" t="str">
        <x:f>IF(Leads!A848="","",Leads!A848)</x:f>
      </x:c>
      <x:c r="B848" s="12" t="str">
        <x:f>IF(Leads!F848="","",Leads!F848)</x:f>
      </x:c>
      <x:c r="C848" s="12" t="str">
        <x:f>IF(Leads!G848="","",Leads!G848)</x:f>
      </x:c>
      <x:c r="D848" s="12" t="str">
        <x:f>IF(Leads!O848="","",Leads!O848)</x:f>
      </x:c>
      <x:c r="E848" s="12" t="str">
        <x:f>IF(Leads!AV848="","",Leads!AV848)</x:f>
      </x:c>
      <x:c r="F848" s="12" t="str">
        <x:f>IF(Leads!AX848="","",Leads!AX848)</x:f>
      </x:c>
      <x:c r="G848" s="12" t="str">
        <x:f>IF(Leads!BC848="","",Leads!BC848)</x:f>
      </x:c>
      <x:c r="H848" s="12" t="str">
        <x:f>IF(Leads!BE848="","",Leads!BE848)</x:f>
      </x:c>
      <x:c r="I848" s="12" t="str">
        <x:f>IF(Leads!BG848="","",Leads!BG848)</x:f>
      </x:c>
      <x:c r="J848" s="12" t="str">
        <x:f>IF(Leads!BH848="","",Leads!BH848)</x:f>
      </x:c>
      <x:c r="K848" s="12" t="str">
        <x:f>IF(A848="","","مرحبًا "&amp;C848&amp;CHAR(10)&amp;CHAR(10)&amp;"شكرًا لإتمام تقييم DBD الخاص بعيادة "&amp;B848&amp;"."&amp;CHAR(10)&amp;"نتيجتكم الحالية: "&amp;E848&amp;"%."&amp;CHAR(10)&amp;"أولوية التحسين الأولى: "&amp;F848&amp;"."&amp;IF(J848&lt;&gt;"",CHAR(10)&amp;CHAR(10)&amp;"رابط التقرير: "&amp;J848,"")&amp;CHAR(10)&amp;CHAR(10)&amp;"إذا أحببت، يمكننا مساعدتك في فهم التقرير وتحديد أفضل خطوة تالية لعيادتكم.")</x:f>
      </x:c>
      <x:c r="L848" s="12" t="str">
        <x:f>IF(D848="","",HYPERLINK("https://wa.me/"&amp;REGEXREPLACE(D848,"[^\d]","")&amp;"?text="&amp;ENCODEURL(K848),"واتساب 1"))</x:f>
      </x:c>
      <x:c r="M848" s="12" t="str">
        <x:f>IF(A848="","","مرحبًا "&amp;C848&amp;CHAR(10)&amp;CHAR(10)&amp;"بناءً على نتيجة تقييم عيادة "&amp;B848&amp;"، فإن الترشيح الأقوى لكم الآن هو: "&amp;G848&amp;"."&amp;CHAR(10)&amp;"هذا الخيار يساعدكم في معالجة أكبر فجوة حالية بشكل عملي ومباشر."&amp;IF(J848&lt;&gt;"",CHAR(10)&amp;CHAR(10)&amp;"رابط التقرير: "&amp;J848,"")&amp;CHAR(10)&amp;CHAR(10)&amp;"إذا رغبت، يمكننا توضيح لماذا هذا الكورس هو الأنسب لكم الآن.")</x:f>
      </x:c>
      <x:c r="N848" s="12" t="str">
        <x:f>IF(D848="","",HYPERLINK("https://wa.me/"&amp;REGEXREPLACE(D848,"[^\d]","")&amp;"?text="&amp;ENCODEURL(M848),"واتساب 2"))</x:f>
      </x:c>
      <x:c r="O848" s="12" t="str">
        <x:f>IF(A848="","","مرحبًا "&amp;C848&amp;CHAR(10)&amp;CHAR(10)&amp;"إذا كانت التحديات لديكم تحتاج حلًا أشمل، فالبرنامج الكامل المناسب لكم هو: "&amp;H848&amp;"."&amp;IF(I848&lt;&gt;"",CHAR(10)&amp;"كما يمكنكم أيضًا حجز: "&amp;I848&amp;".","")&amp;IF(J848&lt;&gt;"",CHAR(10)&amp;CHAR(10)&amp;"رابط التقرير: "&amp;J848,"")&amp;CHAR(10)&amp;CHAR(10)&amp;"يسعدنا مساعدتكم في اختيار المسار الأنسب حسب وضع العيادة الحالي.")</x:f>
      </x:c>
      <x:c r="P848" s="12" t="str">
        <x:f>IF(D848="","",HYPERLINK("https://wa.me/"&amp;REGEXREPLACE(D848,"[^\d]","")&amp;"?text="&amp;ENCODEURL(O848),"واتساب 3"))</x:f>
      </x:c>
    </x:row>
    <x:row r="849" ht="15" hidden="0" customHeight="1">
      <x:c r="A849" s="12" t="str">
        <x:f>IF(Leads!A849="","",Leads!A849)</x:f>
      </x:c>
      <x:c r="B849" s="12" t="str">
        <x:f>IF(Leads!F849="","",Leads!F849)</x:f>
      </x:c>
      <x:c r="C849" s="12" t="str">
        <x:f>IF(Leads!G849="","",Leads!G849)</x:f>
      </x:c>
      <x:c r="D849" s="12" t="str">
        <x:f>IF(Leads!O849="","",Leads!O849)</x:f>
      </x:c>
      <x:c r="E849" s="12" t="str">
        <x:f>IF(Leads!AV849="","",Leads!AV849)</x:f>
      </x:c>
      <x:c r="F849" s="12" t="str">
        <x:f>IF(Leads!AX849="","",Leads!AX849)</x:f>
      </x:c>
      <x:c r="G849" s="12" t="str">
        <x:f>IF(Leads!BC849="","",Leads!BC849)</x:f>
      </x:c>
      <x:c r="H849" s="12" t="str">
        <x:f>IF(Leads!BE849="","",Leads!BE849)</x:f>
      </x:c>
      <x:c r="I849" s="12" t="str">
        <x:f>IF(Leads!BG849="","",Leads!BG849)</x:f>
      </x:c>
      <x:c r="J849" s="12" t="str">
        <x:f>IF(Leads!BH849="","",Leads!BH849)</x:f>
      </x:c>
      <x:c r="K849" s="12" t="str">
        <x:f>IF(A849="","","مرحبًا "&amp;C849&amp;CHAR(10)&amp;CHAR(10)&amp;"شكرًا لإتمام تقييم DBD الخاص بعيادة "&amp;B849&amp;"."&amp;CHAR(10)&amp;"نتيجتكم الحالية: "&amp;E849&amp;"%."&amp;CHAR(10)&amp;"أولوية التحسين الأولى: "&amp;F849&amp;"."&amp;IF(J849&lt;&gt;"",CHAR(10)&amp;CHAR(10)&amp;"رابط التقرير: "&amp;J849,"")&amp;CHAR(10)&amp;CHAR(10)&amp;"إذا أحببت، يمكننا مساعدتك في فهم التقرير وتحديد أفضل خطوة تالية لعيادتكم.")</x:f>
      </x:c>
      <x:c r="L849" s="12" t="str">
        <x:f>IF(D849="","",HYPERLINK("https://wa.me/"&amp;REGEXREPLACE(D849,"[^\d]","")&amp;"?text="&amp;ENCODEURL(K849),"واتساب 1"))</x:f>
      </x:c>
      <x:c r="M849" s="12" t="str">
        <x:f>IF(A849="","","مرحبًا "&amp;C849&amp;CHAR(10)&amp;CHAR(10)&amp;"بناءً على نتيجة تقييم عيادة "&amp;B849&amp;"، فإن الترشيح الأقوى لكم الآن هو: "&amp;G849&amp;"."&amp;CHAR(10)&amp;"هذا الخيار يساعدكم في معالجة أكبر فجوة حالية بشكل عملي ومباشر."&amp;IF(J849&lt;&gt;"",CHAR(10)&amp;CHAR(10)&amp;"رابط التقرير: "&amp;J849,"")&amp;CHAR(10)&amp;CHAR(10)&amp;"إذا رغبت، يمكننا توضيح لماذا هذا الكورس هو الأنسب لكم الآن.")</x:f>
      </x:c>
      <x:c r="N849" s="12" t="str">
        <x:f>IF(D849="","",HYPERLINK("https://wa.me/"&amp;REGEXREPLACE(D849,"[^\d]","")&amp;"?text="&amp;ENCODEURL(M849),"واتساب 2"))</x:f>
      </x:c>
      <x:c r="O849" s="12" t="str">
        <x:f>IF(A849="","","مرحبًا "&amp;C849&amp;CHAR(10)&amp;CHAR(10)&amp;"إذا كانت التحديات لديكم تحتاج حلًا أشمل، فالبرنامج الكامل المناسب لكم هو: "&amp;H849&amp;"."&amp;IF(I849&lt;&gt;"",CHAR(10)&amp;"كما يمكنكم أيضًا حجز: "&amp;I849&amp;".","")&amp;IF(J849&lt;&gt;"",CHAR(10)&amp;CHAR(10)&amp;"رابط التقرير: "&amp;J849,"")&amp;CHAR(10)&amp;CHAR(10)&amp;"يسعدنا مساعدتكم في اختيار المسار الأنسب حسب وضع العيادة الحالي.")</x:f>
      </x:c>
      <x:c r="P849" s="12" t="str">
        <x:f>IF(D849="","",HYPERLINK("https://wa.me/"&amp;REGEXREPLACE(D849,"[^\d]","")&amp;"?text="&amp;ENCODEURL(O849),"واتساب 3"))</x:f>
      </x:c>
    </x:row>
    <x:row r="850" ht="15" hidden="0" customHeight="1">
      <x:c r="A850" s="12" t="str">
        <x:f>IF(Leads!A850="","",Leads!A850)</x:f>
      </x:c>
      <x:c r="B850" s="12" t="str">
        <x:f>IF(Leads!F850="","",Leads!F850)</x:f>
      </x:c>
      <x:c r="C850" s="12" t="str">
        <x:f>IF(Leads!G850="","",Leads!G850)</x:f>
      </x:c>
      <x:c r="D850" s="12" t="str">
        <x:f>IF(Leads!O850="","",Leads!O850)</x:f>
      </x:c>
      <x:c r="E850" s="12" t="str">
        <x:f>IF(Leads!AV850="","",Leads!AV850)</x:f>
      </x:c>
      <x:c r="F850" s="12" t="str">
        <x:f>IF(Leads!AX850="","",Leads!AX850)</x:f>
      </x:c>
      <x:c r="G850" s="12" t="str">
        <x:f>IF(Leads!BC850="","",Leads!BC850)</x:f>
      </x:c>
      <x:c r="H850" s="12" t="str">
        <x:f>IF(Leads!BE850="","",Leads!BE850)</x:f>
      </x:c>
      <x:c r="I850" s="12" t="str">
        <x:f>IF(Leads!BG850="","",Leads!BG850)</x:f>
      </x:c>
      <x:c r="J850" s="12" t="str">
        <x:f>IF(Leads!BH850="","",Leads!BH850)</x:f>
      </x:c>
      <x:c r="K850" s="12" t="str">
        <x:f>IF(A850="","","مرحبًا "&amp;C850&amp;CHAR(10)&amp;CHAR(10)&amp;"شكرًا لإتمام تقييم DBD الخاص بعيادة "&amp;B850&amp;"."&amp;CHAR(10)&amp;"نتيجتكم الحالية: "&amp;E850&amp;"%."&amp;CHAR(10)&amp;"أولوية التحسين الأولى: "&amp;F850&amp;"."&amp;IF(J850&lt;&gt;"",CHAR(10)&amp;CHAR(10)&amp;"رابط التقرير: "&amp;J850,"")&amp;CHAR(10)&amp;CHAR(10)&amp;"إذا أحببت، يمكننا مساعدتك في فهم التقرير وتحديد أفضل خطوة تالية لعيادتكم.")</x:f>
      </x:c>
      <x:c r="L850" s="12" t="str">
        <x:f>IF(D850="","",HYPERLINK("https://wa.me/"&amp;REGEXREPLACE(D850,"[^\d]","")&amp;"?text="&amp;ENCODEURL(K850),"واتساب 1"))</x:f>
      </x:c>
      <x:c r="M850" s="12" t="str">
        <x:f>IF(A850="","","مرحبًا "&amp;C850&amp;CHAR(10)&amp;CHAR(10)&amp;"بناءً على نتيجة تقييم عيادة "&amp;B850&amp;"، فإن الترشيح الأقوى لكم الآن هو: "&amp;G850&amp;"."&amp;CHAR(10)&amp;"هذا الخيار يساعدكم في معالجة أكبر فجوة حالية بشكل عملي ومباشر."&amp;IF(J850&lt;&gt;"",CHAR(10)&amp;CHAR(10)&amp;"رابط التقرير: "&amp;J850,"")&amp;CHAR(10)&amp;CHAR(10)&amp;"إذا رغبت، يمكننا توضيح لماذا هذا الكورس هو الأنسب لكم الآن.")</x:f>
      </x:c>
      <x:c r="N850" s="12" t="str">
        <x:f>IF(D850="","",HYPERLINK("https://wa.me/"&amp;REGEXREPLACE(D850,"[^\d]","")&amp;"?text="&amp;ENCODEURL(M850),"واتساب 2"))</x:f>
      </x:c>
      <x:c r="O850" s="12" t="str">
        <x:f>IF(A850="","","مرحبًا "&amp;C850&amp;CHAR(10)&amp;CHAR(10)&amp;"إذا كانت التحديات لديكم تحتاج حلًا أشمل، فالبرنامج الكامل المناسب لكم هو: "&amp;H850&amp;"."&amp;IF(I850&lt;&gt;"",CHAR(10)&amp;"كما يمكنكم أيضًا حجز: "&amp;I850&amp;".","")&amp;IF(J850&lt;&gt;"",CHAR(10)&amp;CHAR(10)&amp;"رابط التقرير: "&amp;J850,"")&amp;CHAR(10)&amp;CHAR(10)&amp;"يسعدنا مساعدتكم في اختيار المسار الأنسب حسب وضع العيادة الحالي.")</x:f>
      </x:c>
      <x:c r="P850" s="12" t="str">
        <x:f>IF(D850="","",HYPERLINK("https://wa.me/"&amp;REGEXREPLACE(D850,"[^\d]","")&amp;"?text="&amp;ENCODEURL(O850),"واتساب 3"))</x:f>
      </x:c>
    </x:row>
    <x:row r="851" ht="15" hidden="0" customHeight="1">
      <x:c r="A851" s="12" t="str">
        <x:f>IF(Leads!A851="","",Leads!A851)</x:f>
      </x:c>
      <x:c r="B851" s="12" t="str">
        <x:f>IF(Leads!F851="","",Leads!F851)</x:f>
      </x:c>
      <x:c r="C851" s="12" t="str">
        <x:f>IF(Leads!G851="","",Leads!G851)</x:f>
      </x:c>
      <x:c r="D851" s="12" t="str">
        <x:f>IF(Leads!O851="","",Leads!O851)</x:f>
      </x:c>
      <x:c r="E851" s="12" t="str">
        <x:f>IF(Leads!AV851="","",Leads!AV851)</x:f>
      </x:c>
      <x:c r="F851" s="12" t="str">
        <x:f>IF(Leads!AX851="","",Leads!AX851)</x:f>
      </x:c>
      <x:c r="G851" s="12" t="str">
        <x:f>IF(Leads!BC851="","",Leads!BC851)</x:f>
      </x:c>
      <x:c r="H851" s="12" t="str">
        <x:f>IF(Leads!BE851="","",Leads!BE851)</x:f>
      </x:c>
      <x:c r="I851" s="12" t="str">
        <x:f>IF(Leads!BG851="","",Leads!BG851)</x:f>
      </x:c>
      <x:c r="J851" s="12" t="str">
        <x:f>IF(Leads!BH851="","",Leads!BH851)</x:f>
      </x:c>
      <x:c r="K851" s="12" t="str">
        <x:f>IF(A851="","","مرحبًا "&amp;C851&amp;CHAR(10)&amp;CHAR(10)&amp;"شكرًا لإتمام تقييم DBD الخاص بعيادة "&amp;B851&amp;"."&amp;CHAR(10)&amp;"نتيجتكم الحالية: "&amp;E851&amp;"%."&amp;CHAR(10)&amp;"أولوية التحسين الأولى: "&amp;F851&amp;"."&amp;IF(J851&lt;&gt;"",CHAR(10)&amp;CHAR(10)&amp;"رابط التقرير: "&amp;J851,"")&amp;CHAR(10)&amp;CHAR(10)&amp;"إذا أحببت، يمكننا مساعدتك في فهم التقرير وتحديد أفضل خطوة تالية لعيادتكم.")</x:f>
      </x:c>
      <x:c r="L851" s="12" t="str">
        <x:f>IF(D851="","",HYPERLINK("https://wa.me/"&amp;REGEXREPLACE(D851,"[^\d]","")&amp;"?text="&amp;ENCODEURL(K851),"واتساب 1"))</x:f>
      </x:c>
      <x:c r="M851" s="12" t="str">
        <x:f>IF(A851="","","مرحبًا "&amp;C851&amp;CHAR(10)&amp;CHAR(10)&amp;"بناءً على نتيجة تقييم عيادة "&amp;B851&amp;"، فإن الترشيح الأقوى لكم الآن هو: "&amp;G851&amp;"."&amp;CHAR(10)&amp;"هذا الخيار يساعدكم في معالجة أكبر فجوة حالية بشكل عملي ومباشر."&amp;IF(J851&lt;&gt;"",CHAR(10)&amp;CHAR(10)&amp;"رابط التقرير: "&amp;J851,"")&amp;CHAR(10)&amp;CHAR(10)&amp;"إذا رغبت، يمكننا توضيح لماذا هذا الكورس هو الأنسب لكم الآن.")</x:f>
      </x:c>
      <x:c r="N851" s="12" t="str">
        <x:f>IF(D851="","",HYPERLINK("https://wa.me/"&amp;REGEXREPLACE(D851,"[^\d]","")&amp;"?text="&amp;ENCODEURL(M851),"واتساب 2"))</x:f>
      </x:c>
      <x:c r="O851" s="12" t="str">
        <x:f>IF(A851="","","مرحبًا "&amp;C851&amp;CHAR(10)&amp;CHAR(10)&amp;"إذا كانت التحديات لديكم تحتاج حلًا أشمل، فالبرنامج الكامل المناسب لكم هو: "&amp;H851&amp;"."&amp;IF(I851&lt;&gt;"",CHAR(10)&amp;"كما يمكنكم أيضًا حجز: "&amp;I851&amp;".","")&amp;IF(J851&lt;&gt;"",CHAR(10)&amp;CHAR(10)&amp;"رابط التقرير: "&amp;J851,"")&amp;CHAR(10)&amp;CHAR(10)&amp;"يسعدنا مساعدتكم في اختيار المسار الأنسب حسب وضع العيادة الحالي.")</x:f>
      </x:c>
      <x:c r="P851" s="12" t="str">
        <x:f>IF(D851="","",HYPERLINK("https://wa.me/"&amp;REGEXREPLACE(D851,"[^\d]","")&amp;"?text="&amp;ENCODEURL(O851),"واتساب 3"))</x:f>
      </x:c>
    </x:row>
    <x:row r="852" ht="15" hidden="0" customHeight="1">
      <x:c r="A852" s="12" t="str">
        <x:f>IF(Leads!A852="","",Leads!A852)</x:f>
      </x:c>
      <x:c r="B852" s="12" t="str">
        <x:f>IF(Leads!F852="","",Leads!F852)</x:f>
      </x:c>
      <x:c r="C852" s="12" t="str">
        <x:f>IF(Leads!G852="","",Leads!G852)</x:f>
      </x:c>
      <x:c r="D852" s="12" t="str">
        <x:f>IF(Leads!O852="","",Leads!O852)</x:f>
      </x:c>
      <x:c r="E852" s="12" t="str">
        <x:f>IF(Leads!AV852="","",Leads!AV852)</x:f>
      </x:c>
      <x:c r="F852" s="12" t="str">
        <x:f>IF(Leads!AX852="","",Leads!AX852)</x:f>
      </x:c>
      <x:c r="G852" s="12" t="str">
        <x:f>IF(Leads!BC852="","",Leads!BC852)</x:f>
      </x:c>
      <x:c r="H852" s="12" t="str">
        <x:f>IF(Leads!BE852="","",Leads!BE852)</x:f>
      </x:c>
      <x:c r="I852" s="12" t="str">
        <x:f>IF(Leads!BG852="","",Leads!BG852)</x:f>
      </x:c>
      <x:c r="J852" s="12" t="str">
        <x:f>IF(Leads!BH852="","",Leads!BH852)</x:f>
      </x:c>
      <x:c r="K852" s="12" t="str">
        <x:f>IF(A852="","","مرحبًا "&amp;C852&amp;CHAR(10)&amp;CHAR(10)&amp;"شكرًا لإتمام تقييم DBD الخاص بعيادة "&amp;B852&amp;"."&amp;CHAR(10)&amp;"نتيجتكم الحالية: "&amp;E852&amp;"%."&amp;CHAR(10)&amp;"أولوية التحسين الأولى: "&amp;F852&amp;"."&amp;IF(J852&lt;&gt;"",CHAR(10)&amp;CHAR(10)&amp;"رابط التقرير: "&amp;J852,"")&amp;CHAR(10)&amp;CHAR(10)&amp;"إذا أحببت، يمكننا مساعدتك في فهم التقرير وتحديد أفضل خطوة تالية لعيادتكم.")</x:f>
      </x:c>
      <x:c r="L852" s="12" t="str">
        <x:f>IF(D852="","",HYPERLINK("https://wa.me/"&amp;REGEXREPLACE(D852,"[^\d]","")&amp;"?text="&amp;ENCODEURL(K852),"واتساب 1"))</x:f>
      </x:c>
      <x:c r="M852" s="12" t="str">
        <x:f>IF(A852="","","مرحبًا "&amp;C852&amp;CHAR(10)&amp;CHAR(10)&amp;"بناءً على نتيجة تقييم عيادة "&amp;B852&amp;"، فإن الترشيح الأقوى لكم الآن هو: "&amp;G852&amp;"."&amp;CHAR(10)&amp;"هذا الخيار يساعدكم في معالجة أكبر فجوة حالية بشكل عملي ومباشر."&amp;IF(J852&lt;&gt;"",CHAR(10)&amp;CHAR(10)&amp;"رابط التقرير: "&amp;J852,"")&amp;CHAR(10)&amp;CHAR(10)&amp;"إذا رغبت، يمكننا توضيح لماذا هذا الكورس هو الأنسب لكم الآن.")</x:f>
      </x:c>
      <x:c r="N852" s="12" t="str">
        <x:f>IF(D852="","",HYPERLINK("https://wa.me/"&amp;REGEXREPLACE(D852,"[^\d]","")&amp;"?text="&amp;ENCODEURL(M852),"واتساب 2"))</x:f>
      </x:c>
      <x:c r="O852" s="12" t="str">
        <x:f>IF(A852="","","مرحبًا "&amp;C852&amp;CHAR(10)&amp;CHAR(10)&amp;"إذا كانت التحديات لديكم تحتاج حلًا أشمل، فالبرنامج الكامل المناسب لكم هو: "&amp;H852&amp;"."&amp;IF(I852&lt;&gt;"",CHAR(10)&amp;"كما يمكنكم أيضًا حجز: "&amp;I852&amp;".","")&amp;IF(J852&lt;&gt;"",CHAR(10)&amp;CHAR(10)&amp;"رابط التقرير: "&amp;J852,"")&amp;CHAR(10)&amp;CHAR(10)&amp;"يسعدنا مساعدتكم في اختيار المسار الأنسب حسب وضع العيادة الحالي.")</x:f>
      </x:c>
      <x:c r="P852" s="12" t="str">
        <x:f>IF(D852="","",HYPERLINK("https://wa.me/"&amp;REGEXREPLACE(D852,"[^\d]","")&amp;"?text="&amp;ENCODEURL(O852),"واتساب 3"))</x:f>
      </x:c>
    </x:row>
    <x:row r="853" ht="15" hidden="0" customHeight="1">
      <x:c r="A853" s="12" t="str">
        <x:f>IF(Leads!A853="","",Leads!A853)</x:f>
      </x:c>
      <x:c r="B853" s="12" t="str">
        <x:f>IF(Leads!F853="","",Leads!F853)</x:f>
      </x:c>
      <x:c r="C853" s="12" t="str">
        <x:f>IF(Leads!G853="","",Leads!G853)</x:f>
      </x:c>
      <x:c r="D853" s="12" t="str">
        <x:f>IF(Leads!O853="","",Leads!O853)</x:f>
      </x:c>
      <x:c r="E853" s="12" t="str">
        <x:f>IF(Leads!AV853="","",Leads!AV853)</x:f>
      </x:c>
      <x:c r="F853" s="12" t="str">
        <x:f>IF(Leads!AX853="","",Leads!AX853)</x:f>
      </x:c>
      <x:c r="G853" s="12" t="str">
        <x:f>IF(Leads!BC853="","",Leads!BC853)</x:f>
      </x:c>
      <x:c r="H853" s="12" t="str">
        <x:f>IF(Leads!BE853="","",Leads!BE853)</x:f>
      </x:c>
      <x:c r="I853" s="12" t="str">
        <x:f>IF(Leads!BG853="","",Leads!BG853)</x:f>
      </x:c>
      <x:c r="J853" s="12" t="str">
        <x:f>IF(Leads!BH853="","",Leads!BH853)</x:f>
      </x:c>
      <x:c r="K853" s="12" t="str">
        <x:f>IF(A853="","","مرحبًا "&amp;C853&amp;CHAR(10)&amp;CHAR(10)&amp;"شكرًا لإتمام تقييم DBD الخاص بعيادة "&amp;B853&amp;"."&amp;CHAR(10)&amp;"نتيجتكم الحالية: "&amp;E853&amp;"%."&amp;CHAR(10)&amp;"أولوية التحسين الأولى: "&amp;F853&amp;"."&amp;IF(J853&lt;&gt;"",CHAR(10)&amp;CHAR(10)&amp;"رابط التقرير: "&amp;J853,"")&amp;CHAR(10)&amp;CHAR(10)&amp;"إذا أحببت، يمكننا مساعدتك في فهم التقرير وتحديد أفضل خطوة تالية لعيادتكم.")</x:f>
      </x:c>
      <x:c r="L853" s="12" t="str">
        <x:f>IF(D853="","",HYPERLINK("https://wa.me/"&amp;REGEXREPLACE(D853,"[^\d]","")&amp;"?text="&amp;ENCODEURL(K853),"واتساب 1"))</x:f>
      </x:c>
      <x:c r="M853" s="12" t="str">
        <x:f>IF(A853="","","مرحبًا "&amp;C853&amp;CHAR(10)&amp;CHAR(10)&amp;"بناءً على نتيجة تقييم عيادة "&amp;B853&amp;"، فإن الترشيح الأقوى لكم الآن هو: "&amp;G853&amp;"."&amp;CHAR(10)&amp;"هذا الخيار يساعدكم في معالجة أكبر فجوة حالية بشكل عملي ومباشر."&amp;IF(J853&lt;&gt;"",CHAR(10)&amp;CHAR(10)&amp;"رابط التقرير: "&amp;J853,"")&amp;CHAR(10)&amp;CHAR(10)&amp;"إذا رغبت، يمكننا توضيح لماذا هذا الكورس هو الأنسب لكم الآن.")</x:f>
      </x:c>
      <x:c r="N853" s="12" t="str">
        <x:f>IF(D853="","",HYPERLINK("https://wa.me/"&amp;REGEXREPLACE(D853,"[^\d]","")&amp;"?text="&amp;ENCODEURL(M853),"واتساب 2"))</x:f>
      </x:c>
      <x:c r="O853" s="12" t="str">
        <x:f>IF(A853="","","مرحبًا "&amp;C853&amp;CHAR(10)&amp;CHAR(10)&amp;"إذا كانت التحديات لديكم تحتاج حلًا أشمل، فالبرنامج الكامل المناسب لكم هو: "&amp;H853&amp;"."&amp;IF(I853&lt;&gt;"",CHAR(10)&amp;"كما يمكنكم أيضًا حجز: "&amp;I853&amp;".","")&amp;IF(J853&lt;&gt;"",CHAR(10)&amp;CHAR(10)&amp;"رابط التقرير: "&amp;J853,"")&amp;CHAR(10)&amp;CHAR(10)&amp;"يسعدنا مساعدتكم في اختيار المسار الأنسب حسب وضع العيادة الحالي.")</x:f>
      </x:c>
      <x:c r="P853" s="12" t="str">
        <x:f>IF(D853="","",HYPERLINK("https://wa.me/"&amp;REGEXREPLACE(D853,"[^\d]","")&amp;"?text="&amp;ENCODEURL(O853),"واتساب 3"))</x:f>
      </x:c>
    </x:row>
    <x:row r="854" ht="15" hidden="0" customHeight="1">
      <x:c r="A854" s="12" t="str">
        <x:f>IF(Leads!A854="","",Leads!A854)</x:f>
      </x:c>
      <x:c r="B854" s="12" t="str">
        <x:f>IF(Leads!F854="","",Leads!F854)</x:f>
      </x:c>
      <x:c r="C854" s="12" t="str">
        <x:f>IF(Leads!G854="","",Leads!G854)</x:f>
      </x:c>
      <x:c r="D854" s="12" t="str">
        <x:f>IF(Leads!O854="","",Leads!O854)</x:f>
      </x:c>
      <x:c r="E854" s="12" t="str">
        <x:f>IF(Leads!AV854="","",Leads!AV854)</x:f>
      </x:c>
      <x:c r="F854" s="12" t="str">
        <x:f>IF(Leads!AX854="","",Leads!AX854)</x:f>
      </x:c>
      <x:c r="G854" s="12" t="str">
        <x:f>IF(Leads!BC854="","",Leads!BC854)</x:f>
      </x:c>
      <x:c r="H854" s="12" t="str">
        <x:f>IF(Leads!BE854="","",Leads!BE854)</x:f>
      </x:c>
      <x:c r="I854" s="12" t="str">
        <x:f>IF(Leads!BG854="","",Leads!BG854)</x:f>
      </x:c>
      <x:c r="J854" s="12" t="str">
        <x:f>IF(Leads!BH854="","",Leads!BH854)</x:f>
      </x:c>
      <x:c r="K854" s="12" t="str">
        <x:f>IF(A854="","","مرحبًا "&amp;C854&amp;CHAR(10)&amp;CHAR(10)&amp;"شكرًا لإتمام تقييم DBD الخاص بعيادة "&amp;B854&amp;"."&amp;CHAR(10)&amp;"نتيجتكم الحالية: "&amp;E854&amp;"%."&amp;CHAR(10)&amp;"أولوية التحسين الأولى: "&amp;F854&amp;"."&amp;IF(J854&lt;&gt;"",CHAR(10)&amp;CHAR(10)&amp;"رابط التقرير: "&amp;J854,"")&amp;CHAR(10)&amp;CHAR(10)&amp;"إذا أحببت، يمكننا مساعدتك في فهم التقرير وتحديد أفضل خطوة تالية لعيادتكم.")</x:f>
      </x:c>
      <x:c r="L854" s="12" t="str">
        <x:f>IF(D854="","",HYPERLINK("https://wa.me/"&amp;REGEXREPLACE(D854,"[^\d]","")&amp;"?text="&amp;ENCODEURL(K854),"واتساب 1"))</x:f>
      </x:c>
      <x:c r="M854" s="12" t="str">
        <x:f>IF(A854="","","مرحبًا "&amp;C854&amp;CHAR(10)&amp;CHAR(10)&amp;"بناءً على نتيجة تقييم عيادة "&amp;B854&amp;"، فإن الترشيح الأقوى لكم الآن هو: "&amp;G854&amp;"."&amp;CHAR(10)&amp;"هذا الخيار يساعدكم في معالجة أكبر فجوة حالية بشكل عملي ومباشر."&amp;IF(J854&lt;&gt;"",CHAR(10)&amp;CHAR(10)&amp;"رابط التقرير: "&amp;J854,"")&amp;CHAR(10)&amp;CHAR(10)&amp;"إذا رغبت، يمكننا توضيح لماذا هذا الكورس هو الأنسب لكم الآن.")</x:f>
      </x:c>
      <x:c r="N854" s="12" t="str">
        <x:f>IF(D854="","",HYPERLINK("https://wa.me/"&amp;REGEXREPLACE(D854,"[^\d]","")&amp;"?text="&amp;ENCODEURL(M854),"واتساب 2"))</x:f>
      </x:c>
      <x:c r="O854" s="12" t="str">
        <x:f>IF(A854="","","مرحبًا "&amp;C854&amp;CHAR(10)&amp;CHAR(10)&amp;"إذا كانت التحديات لديكم تحتاج حلًا أشمل، فالبرنامج الكامل المناسب لكم هو: "&amp;H854&amp;"."&amp;IF(I854&lt;&gt;"",CHAR(10)&amp;"كما يمكنكم أيضًا حجز: "&amp;I854&amp;".","")&amp;IF(J854&lt;&gt;"",CHAR(10)&amp;CHAR(10)&amp;"رابط التقرير: "&amp;J854,"")&amp;CHAR(10)&amp;CHAR(10)&amp;"يسعدنا مساعدتكم في اختيار المسار الأنسب حسب وضع العيادة الحالي.")</x:f>
      </x:c>
      <x:c r="P854" s="12" t="str">
        <x:f>IF(D854="","",HYPERLINK("https://wa.me/"&amp;REGEXREPLACE(D854,"[^\d]","")&amp;"?text="&amp;ENCODEURL(O854),"واتساب 3"))</x:f>
      </x:c>
    </x:row>
    <x:row r="855" ht="15" hidden="0" customHeight="1">
      <x:c r="A855" s="12" t="str">
        <x:f>IF(Leads!A855="","",Leads!A855)</x:f>
      </x:c>
      <x:c r="B855" s="12" t="str">
        <x:f>IF(Leads!F855="","",Leads!F855)</x:f>
      </x:c>
      <x:c r="C855" s="12" t="str">
        <x:f>IF(Leads!G855="","",Leads!G855)</x:f>
      </x:c>
      <x:c r="D855" s="12" t="str">
        <x:f>IF(Leads!O855="","",Leads!O855)</x:f>
      </x:c>
      <x:c r="E855" s="12" t="str">
        <x:f>IF(Leads!AV855="","",Leads!AV855)</x:f>
      </x:c>
      <x:c r="F855" s="12" t="str">
        <x:f>IF(Leads!AX855="","",Leads!AX855)</x:f>
      </x:c>
      <x:c r="G855" s="12" t="str">
        <x:f>IF(Leads!BC855="","",Leads!BC855)</x:f>
      </x:c>
      <x:c r="H855" s="12" t="str">
        <x:f>IF(Leads!BE855="","",Leads!BE855)</x:f>
      </x:c>
      <x:c r="I855" s="12" t="str">
        <x:f>IF(Leads!BG855="","",Leads!BG855)</x:f>
      </x:c>
      <x:c r="J855" s="12" t="str">
        <x:f>IF(Leads!BH855="","",Leads!BH855)</x:f>
      </x:c>
      <x:c r="K855" s="12" t="str">
        <x:f>IF(A855="","","مرحبًا "&amp;C855&amp;CHAR(10)&amp;CHAR(10)&amp;"شكرًا لإتمام تقييم DBD الخاص بعيادة "&amp;B855&amp;"."&amp;CHAR(10)&amp;"نتيجتكم الحالية: "&amp;E855&amp;"%."&amp;CHAR(10)&amp;"أولوية التحسين الأولى: "&amp;F855&amp;"."&amp;IF(J855&lt;&gt;"",CHAR(10)&amp;CHAR(10)&amp;"رابط التقرير: "&amp;J855,"")&amp;CHAR(10)&amp;CHAR(10)&amp;"إذا أحببت، يمكننا مساعدتك في فهم التقرير وتحديد أفضل خطوة تالية لعيادتكم.")</x:f>
      </x:c>
      <x:c r="L855" s="12" t="str">
        <x:f>IF(D855="","",HYPERLINK("https://wa.me/"&amp;REGEXREPLACE(D855,"[^\d]","")&amp;"?text="&amp;ENCODEURL(K855),"واتساب 1"))</x:f>
      </x:c>
      <x:c r="M855" s="12" t="str">
        <x:f>IF(A855="","","مرحبًا "&amp;C855&amp;CHAR(10)&amp;CHAR(10)&amp;"بناءً على نتيجة تقييم عيادة "&amp;B855&amp;"، فإن الترشيح الأقوى لكم الآن هو: "&amp;G855&amp;"."&amp;CHAR(10)&amp;"هذا الخيار يساعدكم في معالجة أكبر فجوة حالية بشكل عملي ومباشر."&amp;IF(J855&lt;&gt;"",CHAR(10)&amp;CHAR(10)&amp;"رابط التقرير: "&amp;J855,"")&amp;CHAR(10)&amp;CHAR(10)&amp;"إذا رغبت، يمكننا توضيح لماذا هذا الكورس هو الأنسب لكم الآن.")</x:f>
      </x:c>
      <x:c r="N855" s="12" t="str">
        <x:f>IF(D855="","",HYPERLINK("https://wa.me/"&amp;REGEXREPLACE(D855,"[^\d]","")&amp;"?text="&amp;ENCODEURL(M855),"واتساب 2"))</x:f>
      </x:c>
      <x:c r="O855" s="12" t="str">
        <x:f>IF(A855="","","مرحبًا "&amp;C855&amp;CHAR(10)&amp;CHAR(10)&amp;"إذا كانت التحديات لديكم تحتاج حلًا أشمل، فالبرنامج الكامل المناسب لكم هو: "&amp;H855&amp;"."&amp;IF(I855&lt;&gt;"",CHAR(10)&amp;"كما يمكنكم أيضًا حجز: "&amp;I855&amp;".","")&amp;IF(J855&lt;&gt;"",CHAR(10)&amp;CHAR(10)&amp;"رابط التقرير: "&amp;J855,"")&amp;CHAR(10)&amp;CHAR(10)&amp;"يسعدنا مساعدتكم في اختيار المسار الأنسب حسب وضع العيادة الحالي.")</x:f>
      </x:c>
      <x:c r="P855" s="12" t="str">
        <x:f>IF(D855="","",HYPERLINK("https://wa.me/"&amp;REGEXREPLACE(D855,"[^\d]","")&amp;"?text="&amp;ENCODEURL(O855),"واتساب 3"))</x:f>
      </x:c>
    </x:row>
    <x:row r="856" ht="15" hidden="0" customHeight="1">
      <x:c r="A856" s="12" t="str">
        <x:f>IF(Leads!A856="","",Leads!A856)</x:f>
      </x:c>
      <x:c r="B856" s="12" t="str">
        <x:f>IF(Leads!F856="","",Leads!F856)</x:f>
      </x:c>
      <x:c r="C856" s="12" t="str">
        <x:f>IF(Leads!G856="","",Leads!G856)</x:f>
      </x:c>
      <x:c r="D856" s="12" t="str">
        <x:f>IF(Leads!O856="","",Leads!O856)</x:f>
      </x:c>
      <x:c r="E856" s="12" t="str">
        <x:f>IF(Leads!AV856="","",Leads!AV856)</x:f>
      </x:c>
      <x:c r="F856" s="12" t="str">
        <x:f>IF(Leads!AX856="","",Leads!AX856)</x:f>
      </x:c>
      <x:c r="G856" s="12" t="str">
        <x:f>IF(Leads!BC856="","",Leads!BC856)</x:f>
      </x:c>
      <x:c r="H856" s="12" t="str">
        <x:f>IF(Leads!BE856="","",Leads!BE856)</x:f>
      </x:c>
      <x:c r="I856" s="12" t="str">
        <x:f>IF(Leads!BG856="","",Leads!BG856)</x:f>
      </x:c>
      <x:c r="J856" s="12" t="str">
        <x:f>IF(Leads!BH856="","",Leads!BH856)</x:f>
      </x:c>
      <x:c r="K856" s="12" t="str">
        <x:f>IF(A856="","","مرحبًا "&amp;C856&amp;CHAR(10)&amp;CHAR(10)&amp;"شكرًا لإتمام تقييم DBD الخاص بعيادة "&amp;B856&amp;"."&amp;CHAR(10)&amp;"نتيجتكم الحالية: "&amp;E856&amp;"%."&amp;CHAR(10)&amp;"أولوية التحسين الأولى: "&amp;F856&amp;"."&amp;IF(J856&lt;&gt;"",CHAR(10)&amp;CHAR(10)&amp;"رابط التقرير: "&amp;J856,"")&amp;CHAR(10)&amp;CHAR(10)&amp;"إذا أحببت، يمكننا مساعدتك في فهم التقرير وتحديد أفضل خطوة تالية لعيادتكم.")</x:f>
      </x:c>
      <x:c r="L856" s="12" t="str">
        <x:f>IF(D856="","",HYPERLINK("https://wa.me/"&amp;REGEXREPLACE(D856,"[^\d]","")&amp;"?text="&amp;ENCODEURL(K856),"واتساب 1"))</x:f>
      </x:c>
      <x:c r="M856" s="12" t="str">
        <x:f>IF(A856="","","مرحبًا "&amp;C856&amp;CHAR(10)&amp;CHAR(10)&amp;"بناءً على نتيجة تقييم عيادة "&amp;B856&amp;"، فإن الترشيح الأقوى لكم الآن هو: "&amp;G856&amp;"."&amp;CHAR(10)&amp;"هذا الخيار يساعدكم في معالجة أكبر فجوة حالية بشكل عملي ومباشر."&amp;IF(J856&lt;&gt;"",CHAR(10)&amp;CHAR(10)&amp;"رابط التقرير: "&amp;J856,"")&amp;CHAR(10)&amp;CHAR(10)&amp;"إذا رغبت، يمكننا توضيح لماذا هذا الكورس هو الأنسب لكم الآن.")</x:f>
      </x:c>
      <x:c r="N856" s="12" t="str">
        <x:f>IF(D856="","",HYPERLINK("https://wa.me/"&amp;REGEXREPLACE(D856,"[^\d]","")&amp;"?text="&amp;ENCODEURL(M856),"واتساب 2"))</x:f>
      </x:c>
      <x:c r="O856" s="12" t="str">
        <x:f>IF(A856="","","مرحبًا "&amp;C856&amp;CHAR(10)&amp;CHAR(10)&amp;"إذا كانت التحديات لديكم تحتاج حلًا أشمل، فالبرنامج الكامل المناسب لكم هو: "&amp;H856&amp;"."&amp;IF(I856&lt;&gt;"",CHAR(10)&amp;"كما يمكنكم أيضًا حجز: "&amp;I856&amp;".","")&amp;IF(J856&lt;&gt;"",CHAR(10)&amp;CHAR(10)&amp;"رابط التقرير: "&amp;J856,"")&amp;CHAR(10)&amp;CHAR(10)&amp;"يسعدنا مساعدتكم في اختيار المسار الأنسب حسب وضع العيادة الحالي.")</x:f>
      </x:c>
      <x:c r="P856" s="12" t="str">
        <x:f>IF(D856="","",HYPERLINK("https://wa.me/"&amp;REGEXREPLACE(D856,"[^\d]","")&amp;"?text="&amp;ENCODEURL(O856),"واتساب 3"))</x:f>
      </x:c>
    </x:row>
    <x:row r="857" ht="15" hidden="0" customHeight="1">
      <x:c r="A857" s="12" t="str">
        <x:f>IF(Leads!A857="","",Leads!A857)</x:f>
      </x:c>
      <x:c r="B857" s="12" t="str">
        <x:f>IF(Leads!F857="","",Leads!F857)</x:f>
      </x:c>
      <x:c r="C857" s="12" t="str">
        <x:f>IF(Leads!G857="","",Leads!G857)</x:f>
      </x:c>
      <x:c r="D857" s="12" t="str">
        <x:f>IF(Leads!O857="","",Leads!O857)</x:f>
      </x:c>
      <x:c r="E857" s="12" t="str">
        <x:f>IF(Leads!AV857="","",Leads!AV857)</x:f>
      </x:c>
      <x:c r="F857" s="12" t="str">
        <x:f>IF(Leads!AX857="","",Leads!AX857)</x:f>
      </x:c>
      <x:c r="G857" s="12" t="str">
        <x:f>IF(Leads!BC857="","",Leads!BC857)</x:f>
      </x:c>
      <x:c r="H857" s="12" t="str">
        <x:f>IF(Leads!BE857="","",Leads!BE857)</x:f>
      </x:c>
      <x:c r="I857" s="12" t="str">
        <x:f>IF(Leads!BG857="","",Leads!BG857)</x:f>
      </x:c>
      <x:c r="J857" s="12" t="str">
        <x:f>IF(Leads!BH857="","",Leads!BH857)</x:f>
      </x:c>
      <x:c r="K857" s="12" t="str">
        <x:f>IF(A857="","","مرحبًا "&amp;C857&amp;CHAR(10)&amp;CHAR(10)&amp;"شكرًا لإتمام تقييم DBD الخاص بعيادة "&amp;B857&amp;"."&amp;CHAR(10)&amp;"نتيجتكم الحالية: "&amp;E857&amp;"%."&amp;CHAR(10)&amp;"أولوية التحسين الأولى: "&amp;F857&amp;"."&amp;IF(J857&lt;&gt;"",CHAR(10)&amp;CHAR(10)&amp;"رابط التقرير: "&amp;J857,"")&amp;CHAR(10)&amp;CHAR(10)&amp;"إذا أحببت، يمكننا مساعدتك في فهم التقرير وتحديد أفضل خطوة تالية لعيادتكم.")</x:f>
      </x:c>
      <x:c r="L857" s="12" t="str">
        <x:f>IF(D857="","",HYPERLINK("https://wa.me/"&amp;REGEXREPLACE(D857,"[^\d]","")&amp;"?text="&amp;ENCODEURL(K857),"واتساب 1"))</x:f>
      </x:c>
      <x:c r="M857" s="12" t="str">
        <x:f>IF(A857="","","مرحبًا "&amp;C857&amp;CHAR(10)&amp;CHAR(10)&amp;"بناءً على نتيجة تقييم عيادة "&amp;B857&amp;"، فإن الترشيح الأقوى لكم الآن هو: "&amp;G857&amp;"."&amp;CHAR(10)&amp;"هذا الخيار يساعدكم في معالجة أكبر فجوة حالية بشكل عملي ومباشر."&amp;IF(J857&lt;&gt;"",CHAR(10)&amp;CHAR(10)&amp;"رابط التقرير: "&amp;J857,"")&amp;CHAR(10)&amp;CHAR(10)&amp;"إذا رغبت، يمكننا توضيح لماذا هذا الكورس هو الأنسب لكم الآن.")</x:f>
      </x:c>
      <x:c r="N857" s="12" t="str">
        <x:f>IF(D857="","",HYPERLINK("https://wa.me/"&amp;REGEXREPLACE(D857,"[^\d]","")&amp;"?text="&amp;ENCODEURL(M857),"واتساب 2"))</x:f>
      </x:c>
      <x:c r="O857" s="12" t="str">
        <x:f>IF(A857="","","مرحبًا "&amp;C857&amp;CHAR(10)&amp;CHAR(10)&amp;"إذا كانت التحديات لديكم تحتاج حلًا أشمل، فالبرنامج الكامل المناسب لكم هو: "&amp;H857&amp;"."&amp;IF(I857&lt;&gt;"",CHAR(10)&amp;"كما يمكنكم أيضًا حجز: "&amp;I857&amp;".","")&amp;IF(J857&lt;&gt;"",CHAR(10)&amp;CHAR(10)&amp;"رابط التقرير: "&amp;J857,"")&amp;CHAR(10)&amp;CHAR(10)&amp;"يسعدنا مساعدتكم في اختيار المسار الأنسب حسب وضع العيادة الحالي.")</x:f>
      </x:c>
      <x:c r="P857" s="12" t="str">
        <x:f>IF(D857="","",HYPERLINK("https://wa.me/"&amp;REGEXREPLACE(D857,"[^\d]","")&amp;"?text="&amp;ENCODEURL(O857),"واتساب 3"))</x:f>
      </x:c>
    </x:row>
    <x:row r="858" ht="15" hidden="0" customHeight="1">
      <x:c r="A858" s="12" t="str">
        <x:f>IF(Leads!A858="","",Leads!A858)</x:f>
      </x:c>
      <x:c r="B858" s="12" t="str">
        <x:f>IF(Leads!F858="","",Leads!F858)</x:f>
      </x:c>
      <x:c r="C858" s="12" t="str">
        <x:f>IF(Leads!G858="","",Leads!G858)</x:f>
      </x:c>
      <x:c r="D858" s="12" t="str">
        <x:f>IF(Leads!O858="","",Leads!O858)</x:f>
      </x:c>
      <x:c r="E858" s="12" t="str">
        <x:f>IF(Leads!AV858="","",Leads!AV858)</x:f>
      </x:c>
      <x:c r="F858" s="12" t="str">
        <x:f>IF(Leads!AX858="","",Leads!AX858)</x:f>
      </x:c>
      <x:c r="G858" s="12" t="str">
        <x:f>IF(Leads!BC858="","",Leads!BC858)</x:f>
      </x:c>
      <x:c r="H858" s="12" t="str">
        <x:f>IF(Leads!BE858="","",Leads!BE858)</x:f>
      </x:c>
      <x:c r="I858" s="12" t="str">
        <x:f>IF(Leads!BG858="","",Leads!BG858)</x:f>
      </x:c>
      <x:c r="J858" s="12" t="str">
        <x:f>IF(Leads!BH858="","",Leads!BH858)</x:f>
      </x:c>
      <x:c r="K858" s="12" t="str">
        <x:f>IF(A858="","","مرحبًا "&amp;C858&amp;CHAR(10)&amp;CHAR(10)&amp;"شكرًا لإتمام تقييم DBD الخاص بعيادة "&amp;B858&amp;"."&amp;CHAR(10)&amp;"نتيجتكم الحالية: "&amp;E858&amp;"%."&amp;CHAR(10)&amp;"أولوية التحسين الأولى: "&amp;F858&amp;"."&amp;IF(J858&lt;&gt;"",CHAR(10)&amp;CHAR(10)&amp;"رابط التقرير: "&amp;J858,"")&amp;CHAR(10)&amp;CHAR(10)&amp;"إذا أحببت، يمكننا مساعدتك في فهم التقرير وتحديد أفضل خطوة تالية لعيادتكم.")</x:f>
      </x:c>
      <x:c r="L858" s="12" t="str">
        <x:f>IF(D858="","",HYPERLINK("https://wa.me/"&amp;REGEXREPLACE(D858,"[^\d]","")&amp;"?text="&amp;ENCODEURL(K858),"واتساب 1"))</x:f>
      </x:c>
      <x:c r="M858" s="12" t="str">
        <x:f>IF(A858="","","مرحبًا "&amp;C858&amp;CHAR(10)&amp;CHAR(10)&amp;"بناءً على نتيجة تقييم عيادة "&amp;B858&amp;"، فإن الترشيح الأقوى لكم الآن هو: "&amp;G858&amp;"."&amp;CHAR(10)&amp;"هذا الخيار يساعدكم في معالجة أكبر فجوة حالية بشكل عملي ومباشر."&amp;IF(J858&lt;&gt;"",CHAR(10)&amp;CHAR(10)&amp;"رابط التقرير: "&amp;J858,"")&amp;CHAR(10)&amp;CHAR(10)&amp;"إذا رغبت، يمكننا توضيح لماذا هذا الكورس هو الأنسب لكم الآن.")</x:f>
      </x:c>
      <x:c r="N858" s="12" t="str">
        <x:f>IF(D858="","",HYPERLINK("https://wa.me/"&amp;REGEXREPLACE(D858,"[^\d]","")&amp;"?text="&amp;ENCODEURL(M858),"واتساب 2"))</x:f>
      </x:c>
      <x:c r="O858" s="12" t="str">
        <x:f>IF(A858="","","مرحبًا "&amp;C858&amp;CHAR(10)&amp;CHAR(10)&amp;"إذا كانت التحديات لديكم تحتاج حلًا أشمل، فالبرنامج الكامل المناسب لكم هو: "&amp;H858&amp;"."&amp;IF(I858&lt;&gt;"",CHAR(10)&amp;"كما يمكنكم أيضًا حجز: "&amp;I858&amp;".","")&amp;IF(J858&lt;&gt;"",CHAR(10)&amp;CHAR(10)&amp;"رابط التقرير: "&amp;J858,"")&amp;CHAR(10)&amp;CHAR(10)&amp;"يسعدنا مساعدتكم في اختيار المسار الأنسب حسب وضع العيادة الحالي.")</x:f>
      </x:c>
      <x:c r="P858" s="12" t="str">
        <x:f>IF(D858="","",HYPERLINK("https://wa.me/"&amp;REGEXREPLACE(D858,"[^\d]","")&amp;"?text="&amp;ENCODEURL(O858),"واتساب 3"))</x:f>
      </x:c>
    </x:row>
    <x:row r="859" ht="15" hidden="0" customHeight="1">
      <x:c r="A859" s="12" t="str">
        <x:f>IF(Leads!A859="","",Leads!A859)</x:f>
      </x:c>
      <x:c r="B859" s="12" t="str">
        <x:f>IF(Leads!F859="","",Leads!F859)</x:f>
      </x:c>
      <x:c r="C859" s="12" t="str">
        <x:f>IF(Leads!G859="","",Leads!G859)</x:f>
      </x:c>
      <x:c r="D859" s="12" t="str">
        <x:f>IF(Leads!O859="","",Leads!O859)</x:f>
      </x:c>
      <x:c r="E859" s="12" t="str">
        <x:f>IF(Leads!AV859="","",Leads!AV859)</x:f>
      </x:c>
      <x:c r="F859" s="12" t="str">
        <x:f>IF(Leads!AX859="","",Leads!AX859)</x:f>
      </x:c>
      <x:c r="G859" s="12" t="str">
        <x:f>IF(Leads!BC859="","",Leads!BC859)</x:f>
      </x:c>
      <x:c r="H859" s="12" t="str">
        <x:f>IF(Leads!BE859="","",Leads!BE859)</x:f>
      </x:c>
      <x:c r="I859" s="12" t="str">
        <x:f>IF(Leads!BG859="","",Leads!BG859)</x:f>
      </x:c>
      <x:c r="J859" s="12" t="str">
        <x:f>IF(Leads!BH859="","",Leads!BH859)</x:f>
      </x:c>
      <x:c r="K859" s="12" t="str">
        <x:f>IF(A859="","","مرحبًا "&amp;C859&amp;CHAR(10)&amp;CHAR(10)&amp;"شكرًا لإتمام تقييم DBD الخاص بعيادة "&amp;B859&amp;"."&amp;CHAR(10)&amp;"نتيجتكم الحالية: "&amp;E859&amp;"%."&amp;CHAR(10)&amp;"أولوية التحسين الأولى: "&amp;F859&amp;"."&amp;IF(J859&lt;&gt;"",CHAR(10)&amp;CHAR(10)&amp;"رابط التقرير: "&amp;J859,"")&amp;CHAR(10)&amp;CHAR(10)&amp;"إذا أحببت، يمكننا مساعدتك في فهم التقرير وتحديد أفضل خطوة تالية لعيادتكم.")</x:f>
      </x:c>
      <x:c r="L859" s="12" t="str">
        <x:f>IF(D859="","",HYPERLINK("https://wa.me/"&amp;REGEXREPLACE(D859,"[^\d]","")&amp;"?text="&amp;ENCODEURL(K859),"واتساب 1"))</x:f>
      </x:c>
      <x:c r="M859" s="12" t="str">
        <x:f>IF(A859="","","مرحبًا "&amp;C859&amp;CHAR(10)&amp;CHAR(10)&amp;"بناءً على نتيجة تقييم عيادة "&amp;B859&amp;"، فإن الترشيح الأقوى لكم الآن هو: "&amp;G859&amp;"."&amp;CHAR(10)&amp;"هذا الخيار يساعدكم في معالجة أكبر فجوة حالية بشكل عملي ومباشر."&amp;IF(J859&lt;&gt;"",CHAR(10)&amp;CHAR(10)&amp;"رابط التقرير: "&amp;J859,"")&amp;CHAR(10)&amp;CHAR(10)&amp;"إذا رغبت، يمكننا توضيح لماذا هذا الكورس هو الأنسب لكم الآن.")</x:f>
      </x:c>
      <x:c r="N859" s="12" t="str">
        <x:f>IF(D859="","",HYPERLINK("https://wa.me/"&amp;REGEXREPLACE(D859,"[^\d]","")&amp;"?text="&amp;ENCODEURL(M859),"واتساب 2"))</x:f>
      </x:c>
      <x:c r="O859" s="12" t="str">
        <x:f>IF(A859="","","مرحبًا "&amp;C859&amp;CHAR(10)&amp;CHAR(10)&amp;"إذا كانت التحديات لديكم تحتاج حلًا أشمل، فالبرنامج الكامل المناسب لكم هو: "&amp;H859&amp;"."&amp;IF(I859&lt;&gt;"",CHAR(10)&amp;"كما يمكنكم أيضًا حجز: "&amp;I859&amp;".","")&amp;IF(J859&lt;&gt;"",CHAR(10)&amp;CHAR(10)&amp;"رابط التقرير: "&amp;J859,"")&amp;CHAR(10)&amp;CHAR(10)&amp;"يسعدنا مساعدتكم في اختيار المسار الأنسب حسب وضع العيادة الحالي.")</x:f>
      </x:c>
      <x:c r="P859" s="12" t="str">
        <x:f>IF(D859="","",HYPERLINK("https://wa.me/"&amp;REGEXREPLACE(D859,"[^\d]","")&amp;"?text="&amp;ENCODEURL(O859),"واتساب 3"))</x:f>
      </x:c>
    </x:row>
    <x:row r="860" ht="15" hidden="0" customHeight="1">
      <x:c r="A860" s="12" t="str">
        <x:f>IF(Leads!A860="","",Leads!A860)</x:f>
      </x:c>
      <x:c r="B860" s="12" t="str">
        <x:f>IF(Leads!F860="","",Leads!F860)</x:f>
      </x:c>
      <x:c r="C860" s="12" t="str">
        <x:f>IF(Leads!G860="","",Leads!G860)</x:f>
      </x:c>
      <x:c r="D860" s="12" t="str">
        <x:f>IF(Leads!O860="","",Leads!O860)</x:f>
      </x:c>
      <x:c r="E860" s="12" t="str">
        <x:f>IF(Leads!AV860="","",Leads!AV860)</x:f>
      </x:c>
      <x:c r="F860" s="12" t="str">
        <x:f>IF(Leads!AX860="","",Leads!AX860)</x:f>
      </x:c>
      <x:c r="G860" s="12" t="str">
        <x:f>IF(Leads!BC860="","",Leads!BC860)</x:f>
      </x:c>
      <x:c r="H860" s="12" t="str">
        <x:f>IF(Leads!BE860="","",Leads!BE860)</x:f>
      </x:c>
      <x:c r="I860" s="12" t="str">
        <x:f>IF(Leads!BG860="","",Leads!BG860)</x:f>
      </x:c>
      <x:c r="J860" s="12" t="str">
        <x:f>IF(Leads!BH860="","",Leads!BH860)</x:f>
      </x:c>
      <x:c r="K860" s="12" t="str">
        <x:f>IF(A860="","","مرحبًا "&amp;C860&amp;CHAR(10)&amp;CHAR(10)&amp;"شكرًا لإتمام تقييم DBD الخاص بعيادة "&amp;B860&amp;"."&amp;CHAR(10)&amp;"نتيجتكم الحالية: "&amp;E860&amp;"%."&amp;CHAR(10)&amp;"أولوية التحسين الأولى: "&amp;F860&amp;"."&amp;IF(J860&lt;&gt;"",CHAR(10)&amp;CHAR(10)&amp;"رابط التقرير: "&amp;J860,"")&amp;CHAR(10)&amp;CHAR(10)&amp;"إذا أحببت، يمكننا مساعدتك في فهم التقرير وتحديد أفضل خطوة تالية لعيادتكم.")</x:f>
      </x:c>
      <x:c r="L860" s="12" t="str">
        <x:f>IF(D860="","",HYPERLINK("https://wa.me/"&amp;REGEXREPLACE(D860,"[^\d]","")&amp;"?text="&amp;ENCODEURL(K860),"واتساب 1"))</x:f>
      </x:c>
      <x:c r="M860" s="12" t="str">
        <x:f>IF(A860="","","مرحبًا "&amp;C860&amp;CHAR(10)&amp;CHAR(10)&amp;"بناءً على نتيجة تقييم عيادة "&amp;B860&amp;"، فإن الترشيح الأقوى لكم الآن هو: "&amp;G860&amp;"."&amp;CHAR(10)&amp;"هذا الخيار يساعدكم في معالجة أكبر فجوة حالية بشكل عملي ومباشر."&amp;IF(J860&lt;&gt;"",CHAR(10)&amp;CHAR(10)&amp;"رابط التقرير: "&amp;J860,"")&amp;CHAR(10)&amp;CHAR(10)&amp;"إذا رغبت، يمكننا توضيح لماذا هذا الكورس هو الأنسب لكم الآن.")</x:f>
      </x:c>
      <x:c r="N860" s="12" t="str">
        <x:f>IF(D860="","",HYPERLINK("https://wa.me/"&amp;REGEXREPLACE(D860,"[^\d]","")&amp;"?text="&amp;ENCODEURL(M860),"واتساب 2"))</x:f>
      </x:c>
      <x:c r="O860" s="12" t="str">
        <x:f>IF(A860="","","مرحبًا "&amp;C860&amp;CHAR(10)&amp;CHAR(10)&amp;"إذا كانت التحديات لديكم تحتاج حلًا أشمل، فالبرنامج الكامل المناسب لكم هو: "&amp;H860&amp;"."&amp;IF(I860&lt;&gt;"",CHAR(10)&amp;"كما يمكنكم أيضًا حجز: "&amp;I860&amp;".","")&amp;IF(J860&lt;&gt;"",CHAR(10)&amp;CHAR(10)&amp;"رابط التقرير: "&amp;J860,"")&amp;CHAR(10)&amp;CHAR(10)&amp;"يسعدنا مساعدتكم في اختيار المسار الأنسب حسب وضع العيادة الحالي.")</x:f>
      </x:c>
      <x:c r="P860" s="12" t="str">
        <x:f>IF(D860="","",HYPERLINK("https://wa.me/"&amp;REGEXREPLACE(D860,"[^\d]","")&amp;"?text="&amp;ENCODEURL(O860),"واتساب 3"))</x:f>
      </x:c>
    </x:row>
    <x:row r="861" ht="15" hidden="0" customHeight="1">
      <x:c r="A861" s="12" t="str">
        <x:f>IF(Leads!A861="","",Leads!A861)</x:f>
      </x:c>
      <x:c r="B861" s="12" t="str">
        <x:f>IF(Leads!F861="","",Leads!F861)</x:f>
      </x:c>
      <x:c r="C861" s="12" t="str">
        <x:f>IF(Leads!G861="","",Leads!G861)</x:f>
      </x:c>
      <x:c r="D861" s="12" t="str">
        <x:f>IF(Leads!O861="","",Leads!O861)</x:f>
      </x:c>
      <x:c r="E861" s="12" t="str">
        <x:f>IF(Leads!AV861="","",Leads!AV861)</x:f>
      </x:c>
      <x:c r="F861" s="12" t="str">
        <x:f>IF(Leads!AX861="","",Leads!AX861)</x:f>
      </x:c>
      <x:c r="G861" s="12" t="str">
        <x:f>IF(Leads!BC861="","",Leads!BC861)</x:f>
      </x:c>
      <x:c r="H861" s="12" t="str">
        <x:f>IF(Leads!BE861="","",Leads!BE861)</x:f>
      </x:c>
      <x:c r="I861" s="12" t="str">
        <x:f>IF(Leads!BG861="","",Leads!BG861)</x:f>
      </x:c>
      <x:c r="J861" s="12" t="str">
        <x:f>IF(Leads!BH861="","",Leads!BH861)</x:f>
      </x:c>
      <x:c r="K861" s="12" t="str">
        <x:f>IF(A861="","","مرحبًا "&amp;C861&amp;CHAR(10)&amp;CHAR(10)&amp;"شكرًا لإتمام تقييم DBD الخاص بعيادة "&amp;B861&amp;"."&amp;CHAR(10)&amp;"نتيجتكم الحالية: "&amp;E861&amp;"%."&amp;CHAR(10)&amp;"أولوية التحسين الأولى: "&amp;F861&amp;"."&amp;IF(J861&lt;&gt;"",CHAR(10)&amp;CHAR(10)&amp;"رابط التقرير: "&amp;J861,"")&amp;CHAR(10)&amp;CHAR(10)&amp;"إذا أحببت، يمكننا مساعدتك في فهم التقرير وتحديد أفضل خطوة تالية لعيادتكم.")</x:f>
      </x:c>
      <x:c r="L861" s="12" t="str">
        <x:f>IF(D861="","",HYPERLINK("https://wa.me/"&amp;REGEXREPLACE(D861,"[^\d]","")&amp;"?text="&amp;ENCODEURL(K861),"واتساب 1"))</x:f>
      </x:c>
      <x:c r="M861" s="12" t="str">
        <x:f>IF(A861="","","مرحبًا "&amp;C861&amp;CHAR(10)&amp;CHAR(10)&amp;"بناءً على نتيجة تقييم عيادة "&amp;B861&amp;"، فإن الترشيح الأقوى لكم الآن هو: "&amp;G861&amp;"."&amp;CHAR(10)&amp;"هذا الخيار يساعدكم في معالجة أكبر فجوة حالية بشكل عملي ومباشر."&amp;IF(J861&lt;&gt;"",CHAR(10)&amp;CHAR(10)&amp;"رابط التقرير: "&amp;J861,"")&amp;CHAR(10)&amp;CHAR(10)&amp;"إذا رغبت، يمكننا توضيح لماذا هذا الكورس هو الأنسب لكم الآن.")</x:f>
      </x:c>
      <x:c r="N861" s="12" t="str">
        <x:f>IF(D861="","",HYPERLINK("https://wa.me/"&amp;REGEXREPLACE(D861,"[^\d]","")&amp;"?text="&amp;ENCODEURL(M861),"واتساب 2"))</x:f>
      </x:c>
      <x:c r="O861" s="12" t="str">
        <x:f>IF(A861="","","مرحبًا "&amp;C861&amp;CHAR(10)&amp;CHAR(10)&amp;"إذا كانت التحديات لديكم تحتاج حلًا أشمل، فالبرنامج الكامل المناسب لكم هو: "&amp;H861&amp;"."&amp;IF(I861&lt;&gt;"",CHAR(10)&amp;"كما يمكنكم أيضًا حجز: "&amp;I861&amp;".","")&amp;IF(J861&lt;&gt;"",CHAR(10)&amp;CHAR(10)&amp;"رابط التقرير: "&amp;J861,"")&amp;CHAR(10)&amp;CHAR(10)&amp;"يسعدنا مساعدتكم في اختيار المسار الأنسب حسب وضع العيادة الحالي.")</x:f>
      </x:c>
      <x:c r="P861" s="12" t="str">
        <x:f>IF(D861="","",HYPERLINK("https://wa.me/"&amp;REGEXREPLACE(D861,"[^\d]","")&amp;"?text="&amp;ENCODEURL(O861),"واتساب 3"))</x:f>
      </x:c>
    </x:row>
    <x:row r="862" ht="15" hidden="0" customHeight="1">
      <x:c r="A862" s="12" t="str">
        <x:f>IF(Leads!A862="","",Leads!A862)</x:f>
      </x:c>
      <x:c r="B862" s="12" t="str">
        <x:f>IF(Leads!F862="","",Leads!F862)</x:f>
      </x:c>
      <x:c r="C862" s="12" t="str">
        <x:f>IF(Leads!G862="","",Leads!G862)</x:f>
      </x:c>
      <x:c r="D862" s="12" t="str">
        <x:f>IF(Leads!O862="","",Leads!O862)</x:f>
      </x:c>
      <x:c r="E862" s="12" t="str">
        <x:f>IF(Leads!AV862="","",Leads!AV862)</x:f>
      </x:c>
      <x:c r="F862" s="12" t="str">
        <x:f>IF(Leads!AX862="","",Leads!AX862)</x:f>
      </x:c>
      <x:c r="G862" s="12" t="str">
        <x:f>IF(Leads!BC862="","",Leads!BC862)</x:f>
      </x:c>
      <x:c r="H862" s="12" t="str">
        <x:f>IF(Leads!BE862="","",Leads!BE862)</x:f>
      </x:c>
      <x:c r="I862" s="12" t="str">
        <x:f>IF(Leads!BG862="","",Leads!BG862)</x:f>
      </x:c>
      <x:c r="J862" s="12" t="str">
        <x:f>IF(Leads!BH862="","",Leads!BH862)</x:f>
      </x:c>
      <x:c r="K862" s="12" t="str">
        <x:f>IF(A862="","","مرحبًا "&amp;C862&amp;CHAR(10)&amp;CHAR(10)&amp;"شكرًا لإتمام تقييم DBD الخاص بعيادة "&amp;B862&amp;"."&amp;CHAR(10)&amp;"نتيجتكم الحالية: "&amp;E862&amp;"%."&amp;CHAR(10)&amp;"أولوية التحسين الأولى: "&amp;F862&amp;"."&amp;IF(J862&lt;&gt;"",CHAR(10)&amp;CHAR(10)&amp;"رابط التقرير: "&amp;J862,"")&amp;CHAR(10)&amp;CHAR(10)&amp;"إذا أحببت، يمكننا مساعدتك في فهم التقرير وتحديد أفضل خطوة تالية لعيادتكم.")</x:f>
      </x:c>
      <x:c r="L862" s="12" t="str">
        <x:f>IF(D862="","",HYPERLINK("https://wa.me/"&amp;REGEXREPLACE(D862,"[^\d]","")&amp;"?text="&amp;ENCODEURL(K862),"واتساب 1"))</x:f>
      </x:c>
      <x:c r="M862" s="12" t="str">
        <x:f>IF(A862="","","مرحبًا "&amp;C862&amp;CHAR(10)&amp;CHAR(10)&amp;"بناءً على نتيجة تقييم عيادة "&amp;B862&amp;"، فإن الترشيح الأقوى لكم الآن هو: "&amp;G862&amp;"."&amp;CHAR(10)&amp;"هذا الخيار يساعدكم في معالجة أكبر فجوة حالية بشكل عملي ومباشر."&amp;IF(J862&lt;&gt;"",CHAR(10)&amp;CHAR(10)&amp;"رابط التقرير: "&amp;J862,"")&amp;CHAR(10)&amp;CHAR(10)&amp;"إذا رغبت، يمكننا توضيح لماذا هذا الكورس هو الأنسب لكم الآن.")</x:f>
      </x:c>
      <x:c r="N862" s="12" t="str">
        <x:f>IF(D862="","",HYPERLINK("https://wa.me/"&amp;REGEXREPLACE(D862,"[^\d]","")&amp;"?text="&amp;ENCODEURL(M862),"واتساب 2"))</x:f>
      </x:c>
      <x:c r="O862" s="12" t="str">
        <x:f>IF(A862="","","مرحبًا "&amp;C862&amp;CHAR(10)&amp;CHAR(10)&amp;"إذا كانت التحديات لديكم تحتاج حلًا أشمل، فالبرنامج الكامل المناسب لكم هو: "&amp;H862&amp;"."&amp;IF(I862&lt;&gt;"",CHAR(10)&amp;"كما يمكنكم أيضًا حجز: "&amp;I862&amp;".","")&amp;IF(J862&lt;&gt;"",CHAR(10)&amp;CHAR(10)&amp;"رابط التقرير: "&amp;J862,"")&amp;CHAR(10)&amp;CHAR(10)&amp;"يسعدنا مساعدتكم في اختيار المسار الأنسب حسب وضع العيادة الحالي.")</x:f>
      </x:c>
      <x:c r="P862" s="12" t="str">
        <x:f>IF(D862="","",HYPERLINK("https://wa.me/"&amp;REGEXREPLACE(D862,"[^\d]","")&amp;"?text="&amp;ENCODEURL(O862),"واتساب 3"))</x:f>
      </x:c>
    </x:row>
    <x:row r="863" ht="15" hidden="0" customHeight="1">
      <x:c r="A863" s="12" t="str">
        <x:f>IF(Leads!A863="","",Leads!A863)</x:f>
      </x:c>
      <x:c r="B863" s="12" t="str">
        <x:f>IF(Leads!F863="","",Leads!F863)</x:f>
      </x:c>
      <x:c r="C863" s="12" t="str">
        <x:f>IF(Leads!G863="","",Leads!G863)</x:f>
      </x:c>
      <x:c r="D863" s="12" t="str">
        <x:f>IF(Leads!O863="","",Leads!O863)</x:f>
      </x:c>
      <x:c r="E863" s="12" t="str">
        <x:f>IF(Leads!AV863="","",Leads!AV863)</x:f>
      </x:c>
      <x:c r="F863" s="12" t="str">
        <x:f>IF(Leads!AX863="","",Leads!AX863)</x:f>
      </x:c>
      <x:c r="G863" s="12" t="str">
        <x:f>IF(Leads!BC863="","",Leads!BC863)</x:f>
      </x:c>
      <x:c r="H863" s="12" t="str">
        <x:f>IF(Leads!BE863="","",Leads!BE863)</x:f>
      </x:c>
      <x:c r="I863" s="12" t="str">
        <x:f>IF(Leads!BG863="","",Leads!BG863)</x:f>
      </x:c>
      <x:c r="J863" s="12" t="str">
        <x:f>IF(Leads!BH863="","",Leads!BH863)</x:f>
      </x:c>
      <x:c r="K863" s="12" t="str">
        <x:f>IF(A863="","","مرحبًا "&amp;C863&amp;CHAR(10)&amp;CHAR(10)&amp;"شكرًا لإتمام تقييم DBD الخاص بعيادة "&amp;B863&amp;"."&amp;CHAR(10)&amp;"نتيجتكم الحالية: "&amp;E863&amp;"%."&amp;CHAR(10)&amp;"أولوية التحسين الأولى: "&amp;F863&amp;"."&amp;IF(J863&lt;&gt;"",CHAR(10)&amp;CHAR(10)&amp;"رابط التقرير: "&amp;J863,"")&amp;CHAR(10)&amp;CHAR(10)&amp;"إذا أحببت، يمكننا مساعدتك في فهم التقرير وتحديد أفضل خطوة تالية لعيادتكم.")</x:f>
      </x:c>
      <x:c r="L863" s="12" t="str">
        <x:f>IF(D863="","",HYPERLINK("https://wa.me/"&amp;REGEXREPLACE(D863,"[^\d]","")&amp;"?text="&amp;ENCODEURL(K863),"واتساب 1"))</x:f>
      </x:c>
      <x:c r="M863" s="12" t="str">
        <x:f>IF(A863="","","مرحبًا "&amp;C863&amp;CHAR(10)&amp;CHAR(10)&amp;"بناءً على نتيجة تقييم عيادة "&amp;B863&amp;"، فإن الترشيح الأقوى لكم الآن هو: "&amp;G863&amp;"."&amp;CHAR(10)&amp;"هذا الخيار يساعدكم في معالجة أكبر فجوة حالية بشكل عملي ومباشر."&amp;IF(J863&lt;&gt;"",CHAR(10)&amp;CHAR(10)&amp;"رابط التقرير: "&amp;J863,"")&amp;CHAR(10)&amp;CHAR(10)&amp;"إذا رغبت، يمكننا توضيح لماذا هذا الكورس هو الأنسب لكم الآن.")</x:f>
      </x:c>
      <x:c r="N863" s="12" t="str">
        <x:f>IF(D863="","",HYPERLINK("https://wa.me/"&amp;REGEXREPLACE(D863,"[^\d]","")&amp;"?text="&amp;ENCODEURL(M863),"واتساب 2"))</x:f>
      </x:c>
      <x:c r="O863" s="12" t="str">
        <x:f>IF(A863="","","مرحبًا "&amp;C863&amp;CHAR(10)&amp;CHAR(10)&amp;"إذا كانت التحديات لديكم تحتاج حلًا أشمل، فالبرنامج الكامل المناسب لكم هو: "&amp;H863&amp;"."&amp;IF(I863&lt;&gt;"",CHAR(10)&amp;"كما يمكنكم أيضًا حجز: "&amp;I863&amp;".","")&amp;IF(J863&lt;&gt;"",CHAR(10)&amp;CHAR(10)&amp;"رابط التقرير: "&amp;J863,"")&amp;CHAR(10)&amp;CHAR(10)&amp;"يسعدنا مساعدتكم في اختيار المسار الأنسب حسب وضع العيادة الحالي.")</x:f>
      </x:c>
      <x:c r="P863" s="12" t="str">
        <x:f>IF(D863="","",HYPERLINK("https://wa.me/"&amp;REGEXREPLACE(D863,"[^\d]","")&amp;"?text="&amp;ENCODEURL(O863),"واتساب 3"))</x:f>
      </x:c>
    </x:row>
    <x:row r="864" ht="15" hidden="0" customHeight="1">
      <x:c r="A864" s="12" t="str">
        <x:f>IF(Leads!A864="","",Leads!A864)</x:f>
      </x:c>
      <x:c r="B864" s="12" t="str">
        <x:f>IF(Leads!F864="","",Leads!F864)</x:f>
      </x:c>
      <x:c r="C864" s="12" t="str">
        <x:f>IF(Leads!G864="","",Leads!G864)</x:f>
      </x:c>
      <x:c r="D864" s="12" t="str">
        <x:f>IF(Leads!O864="","",Leads!O864)</x:f>
      </x:c>
      <x:c r="E864" s="12" t="str">
        <x:f>IF(Leads!AV864="","",Leads!AV864)</x:f>
      </x:c>
      <x:c r="F864" s="12" t="str">
        <x:f>IF(Leads!AX864="","",Leads!AX864)</x:f>
      </x:c>
      <x:c r="G864" s="12" t="str">
        <x:f>IF(Leads!BC864="","",Leads!BC864)</x:f>
      </x:c>
      <x:c r="H864" s="12" t="str">
        <x:f>IF(Leads!BE864="","",Leads!BE864)</x:f>
      </x:c>
      <x:c r="I864" s="12" t="str">
        <x:f>IF(Leads!BG864="","",Leads!BG864)</x:f>
      </x:c>
      <x:c r="J864" s="12" t="str">
        <x:f>IF(Leads!BH864="","",Leads!BH864)</x:f>
      </x:c>
      <x:c r="K864" s="12" t="str">
        <x:f>IF(A864="","","مرحبًا "&amp;C864&amp;CHAR(10)&amp;CHAR(10)&amp;"شكرًا لإتمام تقييم DBD الخاص بعيادة "&amp;B864&amp;"."&amp;CHAR(10)&amp;"نتيجتكم الحالية: "&amp;E864&amp;"%."&amp;CHAR(10)&amp;"أولوية التحسين الأولى: "&amp;F864&amp;"."&amp;IF(J864&lt;&gt;"",CHAR(10)&amp;CHAR(10)&amp;"رابط التقرير: "&amp;J864,"")&amp;CHAR(10)&amp;CHAR(10)&amp;"إذا أحببت، يمكننا مساعدتك في فهم التقرير وتحديد أفضل خطوة تالية لعيادتكم.")</x:f>
      </x:c>
      <x:c r="L864" s="12" t="str">
        <x:f>IF(D864="","",HYPERLINK("https://wa.me/"&amp;REGEXREPLACE(D864,"[^\d]","")&amp;"?text="&amp;ENCODEURL(K864),"واتساب 1"))</x:f>
      </x:c>
      <x:c r="M864" s="12" t="str">
        <x:f>IF(A864="","","مرحبًا "&amp;C864&amp;CHAR(10)&amp;CHAR(10)&amp;"بناءً على نتيجة تقييم عيادة "&amp;B864&amp;"، فإن الترشيح الأقوى لكم الآن هو: "&amp;G864&amp;"."&amp;CHAR(10)&amp;"هذا الخيار يساعدكم في معالجة أكبر فجوة حالية بشكل عملي ومباشر."&amp;IF(J864&lt;&gt;"",CHAR(10)&amp;CHAR(10)&amp;"رابط التقرير: "&amp;J864,"")&amp;CHAR(10)&amp;CHAR(10)&amp;"إذا رغبت، يمكننا توضيح لماذا هذا الكورس هو الأنسب لكم الآن.")</x:f>
      </x:c>
      <x:c r="N864" s="12" t="str">
        <x:f>IF(D864="","",HYPERLINK("https://wa.me/"&amp;REGEXREPLACE(D864,"[^\d]","")&amp;"?text="&amp;ENCODEURL(M864),"واتساب 2"))</x:f>
      </x:c>
      <x:c r="O864" s="12" t="str">
        <x:f>IF(A864="","","مرحبًا "&amp;C864&amp;CHAR(10)&amp;CHAR(10)&amp;"إذا كانت التحديات لديكم تحتاج حلًا أشمل، فالبرنامج الكامل المناسب لكم هو: "&amp;H864&amp;"."&amp;IF(I864&lt;&gt;"",CHAR(10)&amp;"كما يمكنكم أيضًا حجز: "&amp;I864&amp;".","")&amp;IF(J864&lt;&gt;"",CHAR(10)&amp;CHAR(10)&amp;"رابط التقرير: "&amp;J864,"")&amp;CHAR(10)&amp;CHAR(10)&amp;"يسعدنا مساعدتكم في اختيار المسار الأنسب حسب وضع العيادة الحالي.")</x:f>
      </x:c>
      <x:c r="P864" s="12" t="str">
        <x:f>IF(D864="","",HYPERLINK("https://wa.me/"&amp;REGEXREPLACE(D864,"[^\d]","")&amp;"?text="&amp;ENCODEURL(O864),"واتساب 3"))</x:f>
      </x:c>
    </x:row>
    <x:row r="865" ht="15" hidden="0" customHeight="1">
      <x:c r="A865" s="12" t="str">
        <x:f>IF(Leads!A865="","",Leads!A865)</x:f>
      </x:c>
      <x:c r="B865" s="12" t="str">
        <x:f>IF(Leads!F865="","",Leads!F865)</x:f>
      </x:c>
      <x:c r="C865" s="12" t="str">
        <x:f>IF(Leads!G865="","",Leads!G865)</x:f>
      </x:c>
      <x:c r="D865" s="12" t="str">
        <x:f>IF(Leads!O865="","",Leads!O865)</x:f>
      </x:c>
      <x:c r="E865" s="12" t="str">
        <x:f>IF(Leads!AV865="","",Leads!AV865)</x:f>
      </x:c>
      <x:c r="F865" s="12" t="str">
        <x:f>IF(Leads!AX865="","",Leads!AX865)</x:f>
      </x:c>
      <x:c r="G865" s="12" t="str">
        <x:f>IF(Leads!BC865="","",Leads!BC865)</x:f>
      </x:c>
      <x:c r="H865" s="12" t="str">
        <x:f>IF(Leads!BE865="","",Leads!BE865)</x:f>
      </x:c>
      <x:c r="I865" s="12" t="str">
        <x:f>IF(Leads!BG865="","",Leads!BG865)</x:f>
      </x:c>
      <x:c r="J865" s="12" t="str">
        <x:f>IF(Leads!BH865="","",Leads!BH865)</x:f>
      </x:c>
      <x:c r="K865" s="12" t="str">
        <x:f>IF(A865="","","مرحبًا "&amp;C865&amp;CHAR(10)&amp;CHAR(10)&amp;"شكرًا لإتمام تقييم DBD الخاص بعيادة "&amp;B865&amp;"."&amp;CHAR(10)&amp;"نتيجتكم الحالية: "&amp;E865&amp;"%."&amp;CHAR(10)&amp;"أولوية التحسين الأولى: "&amp;F865&amp;"."&amp;IF(J865&lt;&gt;"",CHAR(10)&amp;CHAR(10)&amp;"رابط التقرير: "&amp;J865,"")&amp;CHAR(10)&amp;CHAR(10)&amp;"إذا أحببت، يمكننا مساعدتك في فهم التقرير وتحديد أفضل خطوة تالية لعيادتكم.")</x:f>
      </x:c>
      <x:c r="L865" s="12" t="str">
        <x:f>IF(D865="","",HYPERLINK("https://wa.me/"&amp;REGEXREPLACE(D865,"[^\d]","")&amp;"?text="&amp;ENCODEURL(K865),"واتساب 1"))</x:f>
      </x:c>
      <x:c r="M865" s="12" t="str">
        <x:f>IF(A865="","","مرحبًا "&amp;C865&amp;CHAR(10)&amp;CHAR(10)&amp;"بناءً على نتيجة تقييم عيادة "&amp;B865&amp;"، فإن الترشيح الأقوى لكم الآن هو: "&amp;G865&amp;"."&amp;CHAR(10)&amp;"هذا الخيار يساعدكم في معالجة أكبر فجوة حالية بشكل عملي ومباشر."&amp;IF(J865&lt;&gt;"",CHAR(10)&amp;CHAR(10)&amp;"رابط التقرير: "&amp;J865,"")&amp;CHAR(10)&amp;CHAR(10)&amp;"إذا رغبت، يمكننا توضيح لماذا هذا الكورس هو الأنسب لكم الآن.")</x:f>
      </x:c>
      <x:c r="N865" s="12" t="str">
        <x:f>IF(D865="","",HYPERLINK("https://wa.me/"&amp;REGEXREPLACE(D865,"[^\d]","")&amp;"?text="&amp;ENCODEURL(M865),"واتساب 2"))</x:f>
      </x:c>
      <x:c r="O865" s="12" t="str">
        <x:f>IF(A865="","","مرحبًا "&amp;C865&amp;CHAR(10)&amp;CHAR(10)&amp;"إذا كانت التحديات لديكم تحتاج حلًا أشمل، فالبرنامج الكامل المناسب لكم هو: "&amp;H865&amp;"."&amp;IF(I865&lt;&gt;"",CHAR(10)&amp;"كما يمكنكم أيضًا حجز: "&amp;I865&amp;".","")&amp;IF(J865&lt;&gt;"",CHAR(10)&amp;CHAR(10)&amp;"رابط التقرير: "&amp;J865,"")&amp;CHAR(10)&amp;CHAR(10)&amp;"يسعدنا مساعدتكم في اختيار المسار الأنسب حسب وضع العيادة الحالي.")</x:f>
      </x:c>
      <x:c r="P865" s="12" t="str">
        <x:f>IF(D865="","",HYPERLINK("https://wa.me/"&amp;REGEXREPLACE(D865,"[^\d]","")&amp;"?text="&amp;ENCODEURL(O865),"واتساب 3"))</x:f>
      </x:c>
    </x:row>
    <x:row r="866" ht="15" hidden="0" customHeight="1">
      <x:c r="A866" s="12" t="str">
        <x:f>IF(Leads!A866="","",Leads!A866)</x:f>
      </x:c>
      <x:c r="B866" s="12" t="str">
        <x:f>IF(Leads!F866="","",Leads!F866)</x:f>
      </x:c>
      <x:c r="C866" s="12" t="str">
        <x:f>IF(Leads!G866="","",Leads!G866)</x:f>
      </x:c>
      <x:c r="D866" s="12" t="str">
        <x:f>IF(Leads!O866="","",Leads!O866)</x:f>
      </x:c>
      <x:c r="E866" s="12" t="str">
        <x:f>IF(Leads!AV866="","",Leads!AV866)</x:f>
      </x:c>
      <x:c r="F866" s="12" t="str">
        <x:f>IF(Leads!AX866="","",Leads!AX866)</x:f>
      </x:c>
      <x:c r="G866" s="12" t="str">
        <x:f>IF(Leads!BC866="","",Leads!BC866)</x:f>
      </x:c>
      <x:c r="H866" s="12" t="str">
        <x:f>IF(Leads!BE866="","",Leads!BE866)</x:f>
      </x:c>
      <x:c r="I866" s="12" t="str">
        <x:f>IF(Leads!BG866="","",Leads!BG866)</x:f>
      </x:c>
      <x:c r="J866" s="12" t="str">
        <x:f>IF(Leads!BH866="","",Leads!BH866)</x:f>
      </x:c>
      <x:c r="K866" s="12" t="str">
        <x:f>IF(A866="","","مرحبًا "&amp;C866&amp;CHAR(10)&amp;CHAR(10)&amp;"شكرًا لإتمام تقييم DBD الخاص بعيادة "&amp;B866&amp;"."&amp;CHAR(10)&amp;"نتيجتكم الحالية: "&amp;E866&amp;"%."&amp;CHAR(10)&amp;"أولوية التحسين الأولى: "&amp;F866&amp;"."&amp;IF(J866&lt;&gt;"",CHAR(10)&amp;CHAR(10)&amp;"رابط التقرير: "&amp;J866,"")&amp;CHAR(10)&amp;CHAR(10)&amp;"إذا أحببت، يمكننا مساعدتك في فهم التقرير وتحديد أفضل خطوة تالية لعيادتكم.")</x:f>
      </x:c>
      <x:c r="L866" s="12" t="str">
        <x:f>IF(D866="","",HYPERLINK("https://wa.me/"&amp;REGEXREPLACE(D866,"[^\d]","")&amp;"?text="&amp;ENCODEURL(K866),"واتساب 1"))</x:f>
      </x:c>
      <x:c r="M866" s="12" t="str">
        <x:f>IF(A866="","","مرحبًا "&amp;C866&amp;CHAR(10)&amp;CHAR(10)&amp;"بناءً على نتيجة تقييم عيادة "&amp;B866&amp;"، فإن الترشيح الأقوى لكم الآن هو: "&amp;G866&amp;"."&amp;CHAR(10)&amp;"هذا الخيار يساعدكم في معالجة أكبر فجوة حالية بشكل عملي ومباشر."&amp;IF(J866&lt;&gt;"",CHAR(10)&amp;CHAR(10)&amp;"رابط التقرير: "&amp;J866,"")&amp;CHAR(10)&amp;CHAR(10)&amp;"إذا رغبت، يمكننا توضيح لماذا هذا الكورس هو الأنسب لكم الآن.")</x:f>
      </x:c>
      <x:c r="N866" s="12" t="str">
        <x:f>IF(D866="","",HYPERLINK("https://wa.me/"&amp;REGEXREPLACE(D866,"[^\d]","")&amp;"?text="&amp;ENCODEURL(M866),"واتساب 2"))</x:f>
      </x:c>
      <x:c r="O866" s="12" t="str">
        <x:f>IF(A866="","","مرحبًا "&amp;C866&amp;CHAR(10)&amp;CHAR(10)&amp;"إذا كانت التحديات لديكم تحتاج حلًا أشمل، فالبرنامج الكامل المناسب لكم هو: "&amp;H866&amp;"."&amp;IF(I866&lt;&gt;"",CHAR(10)&amp;"كما يمكنكم أيضًا حجز: "&amp;I866&amp;".","")&amp;IF(J866&lt;&gt;"",CHAR(10)&amp;CHAR(10)&amp;"رابط التقرير: "&amp;J866,"")&amp;CHAR(10)&amp;CHAR(10)&amp;"يسعدنا مساعدتكم في اختيار المسار الأنسب حسب وضع العيادة الحالي.")</x:f>
      </x:c>
      <x:c r="P866" s="12" t="str">
        <x:f>IF(D866="","",HYPERLINK("https://wa.me/"&amp;REGEXREPLACE(D866,"[^\d]","")&amp;"?text="&amp;ENCODEURL(O866),"واتساب 3"))</x:f>
      </x:c>
    </x:row>
    <x:row r="867" ht="15" hidden="0" customHeight="1">
      <x:c r="A867" s="12" t="str">
        <x:f>IF(Leads!A867="","",Leads!A867)</x:f>
      </x:c>
      <x:c r="B867" s="12" t="str">
        <x:f>IF(Leads!F867="","",Leads!F867)</x:f>
      </x:c>
      <x:c r="C867" s="12" t="str">
        <x:f>IF(Leads!G867="","",Leads!G867)</x:f>
      </x:c>
      <x:c r="D867" s="12" t="str">
        <x:f>IF(Leads!O867="","",Leads!O867)</x:f>
      </x:c>
      <x:c r="E867" s="12" t="str">
        <x:f>IF(Leads!AV867="","",Leads!AV867)</x:f>
      </x:c>
      <x:c r="F867" s="12" t="str">
        <x:f>IF(Leads!AX867="","",Leads!AX867)</x:f>
      </x:c>
      <x:c r="G867" s="12" t="str">
        <x:f>IF(Leads!BC867="","",Leads!BC867)</x:f>
      </x:c>
      <x:c r="H867" s="12" t="str">
        <x:f>IF(Leads!BE867="","",Leads!BE867)</x:f>
      </x:c>
      <x:c r="I867" s="12" t="str">
        <x:f>IF(Leads!BG867="","",Leads!BG867)</x:f>
      </x:c>
      <x:c r="J867" s="12" t="str">
        <x:f>IF(Leads!BH867="","",Leads!BH867)</x:f>
      </x:c>
      <x:c r="K867" s="12" t="str">
        <x:f>IF(A867="","","مرحبًا "&amp;C867&amp;CHAR(10)&amp;CHAR(10)&amp;"شكرًا لإتمام تقييم DBD الخاص بعيادة "&amp;B867&amp;"."&amp;CHAR(10)&amp;"نتيجتكم الحالية: "&amp;E867&amp;"%."&amp;CHAR(10)&amp;"أولوية التحسين الأولى: "&amp;F867&amp;"."&amp;IF(J867&lt;&gt;"",CHAR(10)&amp;CHAR(10)&amp;"رابط التقرير: "&amp;J867,"")&amp;CHAR(10)&amp;CHAR(10)&amp;"إذا أحببت، يمكننا مساعدتك في فهم التقرير وتحديد أفضل خطوة تالية لعيادتكم.")</x:f>
      </x:c>
      <x:c r="L867" s="12" t="str">
        <x:f>IF(D867="","",HYPERLINK("https://wa.me/"&amp;REGEXREPLACE(D867,"[^\d]","")&amp;"?text="&amp;ENCODEURL(K867),"واتساب 1"))</x:f>
      </x:c>
      <x:c r="M867" s="12" t="str">
        <x:f>IF(A867="","","مرحبًا "&amp;C867&amp;CHAR(10)&amp;CHAR(10)&amp;"بناءً على نتيجة تقييم عيادة "&amp;B867&amp;"، فإن الترشيح الأقوى لكم الآن هو: "&amp;G867&amp;"."&amp;CHAR(10)&amp;"هذا الخيار يساعدكم في معالجة أكبر فجوة حالية بشكل عملي ومباشر."&amp;IF(J867&lt;&gt;"",CHAR(10)&amp;CHAR(10)&amp;"رابط التقرير: "&amp;J867,"")&amp;CHAR(10)&amp;CHAR(10)&amp;"إذا رغبت، يمكننا توضيح لماذا هذا الكورس هو الأنسب لكم الآن.")</x:f>
      </x:c>
      <x:c r="N867" s="12" t="str">
        <x:f>IF(D867="","",HYPERLINK("https://wa.me/"&amp;REGEXREPLACE(D867,"[^\d]","")&amp;"?text="&amp;ENCODEURL(M867),"واتساب 2"))</x:f>
      </x:c>
      <x:c r="O867" s="12" t="str">
        <x:f>IF(A867="","","مرحبًا "&amp;C867&amp;CHAR(10)&amp;CHAR(10)&amp;"إذا كانت التحديات لديكم تحتاج حلًا أشمل، فالبرنامج الكامل المناسب لكم هو: "&amp;H867&amp;"."&amp;IF(I867&lt;&gt;"",CHAR(10)&amp;"كما يمكنكم أيضًا حجز: "&amp;I867&amp;".","")&amp;IF(J867&lt;&gt;"",CHAR(10)&amp;CHAR(10)&amp;"رابط التقرير: "&amp;J867,"")&amp;CHAR(10)&amp;CHAR(10)&amp;"يسعدنا مساعدتكم في اختيار المسار الأنسب حسب وضع العيادة الحالي.")</x:f>
      </x:c>
      <x:c r="P867" s="12" t="str">
        <x:f>IF(D867="","",HYPERLINK("https://wa.me/"&amp;REGEXREPLACE(D867,"[^\d]","")&amp;"?text="&amp;ENCODEURL(O867),"واتساب 3"))</x:f>
      </x:c>
    </x:row>
    <x:row r="868" ht="15" hidden="0" customHeight="1">
      <x:c r="A868" s="12" t="str">
        <x:f>IF(Leads!A868="","",Leads!A868)</x:f>
      </x:c>
      <x:c r="B868" s="12" t="str">
        <x:f>IF(Leads!F868="","",Leads!F868)</x:f>
      </x:c>
      <x:c r="C868" s="12" t="str">
        <x:f>IF(Leads!G868="","",Leads!G868)</x:f>
      </x:c>
      <x:c r="D868" s="12" t="str">
        <x:f>IF(Leads!O868="","",Leads!O868)</x:f>
      </x:c>
      <x:c r="E868" s="12" t="str">
        <x:f>IF(Leads!AV868="","",Leads!AV868)</x:f>
      </x:c>
      <x:c r="F868" s="12" t="str">
        <x:f>IF(Leads!AX868="","",Leads!AX868)</x:f>
      </x:c>
      <x:c r="G868" s="12" t="str">
        <x:f>IF(Leads!BC868="","",Leads!BC868)</x:f>
      </x:c>
      <x:c r="H868" s="12" t="str">
        <x:f>IF(Leads!BE868="","",Leads!BE868)</x:f>
      </x:c>
      <x:c r="I868" s="12" t="str">
        <x:f>IF(Leads!BG868="","",Leads!BG868)</x:f>
      </x:c>
      <x:c r="J868" s="12" t="str">
        <x:f>IF(Leads!BH868="","",Leads!BH868)</x:f>
      </x:c>
      <x:c r="K868" s="12" t="str">
        <x:f>IF(A868="","","مرحبًا "&amp;C868&amp;CHAR(10)&amp;CHAR(10)&amp;"شكرًا لإتمام تقييم DBD الخاص بعيادة "&amp;B868&amp;"."&amp;CHAR(10)&amp;"نتيجتكم الحالية: "&amp;E868&amp;"%."&amp;CHAR(10)&amp;"أولوية التحسين الأولى: "&amp;F868&amp;"."&amp;IF(J868&lt;&gt;"",CHAR(10)&amp;CHAR(10)&amp;"رابط التقرير: "&amp;J868,"")&amp;CHAR(10)&amp;CHAR(10)&amp;"إذا أحببت، يمكننا مساعدتك في فهم التقرير وتحديد أفضل خطوة تالية لعيادتكم.")</x:f>
      </x:c>
      <x:c r="L868" s="12" t="str">
        <x:f>IF(D868="","",HYPERLINK("https://wa.me/"&amp;REGEXREPLACE(D868,"[^\d]","")&amp;"?text="&amp;ENCODEURL(K868),"واتساب 1"))</x:f>
      </x:c>
      <x:c r="M868" s="12" t="str">
        <x:f>IF(A868="","","مرحبًا "&amp;C868&amp;CHAR(10)&amp;CHAR(10)&amp;"بناءً على نتيجة تقييم عيادة "&amp;B868&amp;"، فإن الترشيح الأقوى لكم الآن هو: "&amp;G868&amp;"."&amp;CHAR(10)&amp;"هذا الخيار يساعدكم في معالجة أكبر فجوة حالية بشكل عملي ومباشر."&amp;IF(J868&lt;&gt;"",CHAR(10)&amp;CHAR(10)&amp;"رابط التقرير: "&amp;J868,"")&amp;CHAR(10)&amp;CHAR(10)&amp;"إذا رغبت، يمكننا توضيح لماذا هذا الكورس هو الأنسب لكم الآن.")</x:f>
      </x:c>
      <x:c r="N868" s="12" t="str">
        <x:f>IF(D868="","",HYPERLINK("https://wa.me/"&amp;REGEXREPLACE(D868,"[^\d]","")&amp;"?text="&amp;ENCODEURL(M868),"واتساب 2"))</x:f>
      </x:c>
      <x:c r="O868" s="12" t="str">
        <x:f>IF(A868="","","مرحبًا "&amp;C868&amp;CHAR(10)&amp;CHAR(10)&amp;"إذا كانت التحديات لديكم تحتاج حلًا أشمل، فالبرنامج الكامل المناسب لكم هو: "&amp;H868&amp;"."&amp;IF(I868&lt;&gt;"",CHAR(10)&amp;"كما يمكنكم أيضًا حجز: "&amp;I868&amp;".","")&amp;IF(J868&lt;&gt;"",CHAR(10)&amp;CHAR(10)&amp;"رابط التقرير: "&amp;J868,"")&amp;CHAR(10)&amp;CHAR(10)&amp;"يسعدنا مساعدتكم في اختيار المسار الأنسب حسب وضع العيادة الحالي.")</x:f>
      </x:c>
      <x:c r="P868" s="12" t="str">
        <x:f>IF(D868="","",HYPERLINK("https://wa.me/"&amp;REGEXREPLACE(D868,"[^\d]","")&amp;"?text="&amp;ENCODEURL(O868),"واتساب 3"))</x:f>
      </x:c>
    </x:row>
    <x:row r="869" ht="15" hidden="0" customHeight="1">
      <x:c r="A869" s="12" t="str">
        <x:f>IF(Leads!A869="","",Leads!A869)</x:f>
      </x:c>
      <x:c r="B869" s="12" t="str">
        <x:f>IF(Leads!F869="","",Leads!F869)</x:f>
      </x:c>
      <x:c r="C869" s="12" t="str">
        <x:f>IF(Leads!G869="","",Leads!G869)</x:f>
      </x:c>
      <x:c r="D869" s="12" t="str">
        <x:f>IF(Leads!O869="","",Leads!O869)</x:f>
      </x:c>
      <x:c r="E869" s="12" t="str">
        <x:f>IF(Leads!AV869="","",Leads!AV869)</x:f>
      </x:c>
      <x:c r="F869" s="12" t="str">
        <x:f>IF(Leads!AX869="","",Leads!AX869)</x:f>
      </x:c>
      <x:c r="G869" s="12" t="str">
        <x:f>IF(Leads!BC869="","",Leads!BC869)</x:f>
      </x:c>
      <x:c r="H869" s="12" t="str">
        <x:f>IF(Leads!BE869="","",Leads!BE869)</x:f>
      </x:c>
      <x:c r="I869" s="12" t="str">
        <x:f>IF(Leads!BG869="","",Leads!BG869)</x:f>
      </x:c>
      <x:c r="J869" s="12" t="str">
        <x:f>IF(Leads!BH869="","",Leads!BH869)</x:f>
      </x:c>
      <x:c r="K869" s="12" t="str">
        <x:f>IF(A869="","","مرحبًا "&amp;C869&amp;CHAR(10)&amp;CHAR(10)&amp;"شكرًا لإتمام تقييم DBD الخاص بعيادة "&amp;B869&amp;"."&amp;CHAR(10)&amp;"نتيجتكم الحالية: "&amp;E869&amp;"%."&amp;CHAR(10)&amp;"أولوية التحسين الأولى: "&amp;F869&amp;"."&amp;IF(J869&lt;&gt;"",CHAR(10)&amp;CHAR(10)&amp;"رابط التقرير: "&amp;J869,"")&amp;CHAR(10)&amp;CHAR(10)&amp;"إذا أحببت، يمكننا مساعدتك في فهم التقرير وتحديد أفضل خطوة تالية لعيادتكم.")</x:f>
      </x:c>
      <x:c r="L869" s="12" t="str">
        <x:f>IF(D869="","",HYPERLINK("https://wa.me/"&amp;REGEXREPLACE(D869,"[^\d]","")&amp;"?text="&amp;ENCODEURL(K869),"واتساب 1"))</x:f>
      </x:c>
      <x:c r="M869" s="12" t="str">
        <x:f>IF(A869="","","مرحبًا "&amp;C869&amp;CHAR(10)&amp;CHAR(10)&amp;"بناءً على نتيجة تقييم عيادة "&amp;B869&amp;"، فإن الترشيح الأقوى لكم الآن هو: "&amp;G869&amp;"."&amp;CHAR(10)&amp;"هذا الخيار يساعدكم في معالجة أكبر فجوة حالية بشكل عملي ومباشر."&amp;IF(J869&lt;&gt;"",CHAR(10)&amp;CHAR(10)&amp;"رابط التقرير: "&amp;J869,"")&amp;CHAR(10)&amp;CHAR(10)&amp;"إذا رغبت، يمكننا توضيح لماذا هذا الكورس هو الأنسب لكم الآن.")</x:f>
      </x:c>
      <x:c r="N869" s="12" t="str">
        <x:f>IF(D869="","",HYPERLINK("https://wa.me/"&amp;REGEXREPLACE(D869,"[^\d]","")&amp;"?text="&amp;ENCODEURL(M869),"واتساب 2"))</x:f>
      </x:c>
      <x:c r="O869" s="12" t="str">
        <x:f>IF(A869="","","مرحبًا "&amp;C869&amp;CHAR(10)&amp;CHAR(10)&amp;"إذا كانت التحديات لديكم تحتاج حلًا أشمل، فالبرنامج الكامل المناسب لكم هو: "&amp;H869&amp;"."&amp;IF(I869&lt;&gt;"",CHAR(10)&amp;"كما يمكنكم أيضًا حجز: "&amp;I869&amp;".","")&amp;IF(J869&lt;&gt;"",CHAR(10)&amp;CHAR(10)&amp;"رابط التقرير: "&amp;J869,"")&amp;CHAR(10)&amp;CHAR(10)&amp;"يسعدنا مساعدتكم في اختيار المسار الأنسب حسب وضع العيادة الحالي.")</x:f>
      </x:c>
      <x:c r="P869" s="12" t="str">
        <x:f>IF(D869="","",HYPERLINK("https://wa.me/"&amp;REGEXREPLACE(D869,"[^\d]","")&amp;"?text="&amp;ENCODEURL(O869),"واتساب 3"))</x:f>
      </x:c>
    </x:row>
    <x:row r="870" ht="15" hidden="0" customHeight="1">
      <x:c r="A870" s="12" t="str">
        <x:f>IF(Leads!A870="","",Leads!A870)</x:f>
      </x:c>
      <x:c r="B870" s="12" t="str">
        <x:f>IF(Leads!F870="","",Leads!F870)</x:f>
      </x:c>
      <x:c r="C870" s="12" t="str">
        <x:f>IF(Leads!G870="","",Leads!G870)</x:f>
      </x:c>
      <x:c r="D870" s="12" t="str">
        <x:f>IF(Leads!O870="","",Leads!O870)</x:f>
      </x:c>
      <x:c r="E870" s="12" t="str">
        <x:f>IF(Leads!AV870="","",Leads!AV870)</x:f>
      </x:c>
      <x:c r="F870" s="12" t="str">
        <x:f>IF(Leads!AX870="","",Leads!AX870)</x:f>
      </x:c>
      <x:c r="G870" s="12" t="str">
        <x:f>IF(Leads!BC870="","",Leads!BC870)</x:f>
      </x:c>
      <x:c r="H870" s="12" t="str">
        <x:f>IF(Leads!BE870="","",Leads!BE870)</x:f>
      </x:c>
      <x:c r="I870" s="12" t="str">
        <x:f>IF(Leads!BG870="","",Leads!BG870)</x:f>
      </x:c>
      <x:c r="J870" s="12" t="str">
        <x:f>IF(Leads!BH870="","",Leads!BH870)</x:f>
      </x:c>
      <x:c r="K870" s="12" t="str">
        <x:f>IF(A870="","","مرحبًا "&amp;C870&amp;CHAR(10)&amp;CHAR(10)&amp;"شكرًا لإتمام تقييم DBD الخاص بعيادة "&amp;B870&amp;"."&amp;CHAR(10)&amp;"نتيجتكم الحالية: "&amp;E870&amp;"%."&amp;CHAR(10)&amp;"أولوية التحسين الأولى: "&amp;F870&amp;"."&amp;IF(J870&lt;&gt;"",CHAR(10)&amp;CHAR(10)&amp;"رابط التقرير: "&amp;J870,"")&amp;CHAR(10)&amp;CHAR(10)&amp;"إذا أحببت، يمكننا مساعدتك في فهم التقرير وتحديد أفضل خطوة تالية لعيادتكم.")</x:f>
      </x:c>
      <x:c r="L870" s="12" t="str">
        <x:f>IF(D870="","",HYPERLINK("https://wa.me/"&amp;REGEXREPLACE(D870,"[^\d]","")&amp;"?text="&amp;ENCODEURL(K870),"واتساب 1"))</x:f>
      </x:c>
      <x:c r="M870" s="12" t="str">
        <x:f>IF(A870="","","مرحبًا "&amp;C870&amp;CHAR(10)&amp;CHAR(10)&amp;"بناءً على نتيجة تقييم عيادة "&amp;B870&amp;"، فإن الترشيح الأقوى لكم الآن هو: "&amp;G870&amp;"."&amp;CHAR(10)&amp;"هذا الخيار يساعدكم في معالجة أكبر فجوة حالية بشكل عملي ومباشر."&amp;IF(J870&lt;&gt;"",CHAR(10)&amp;CHAR(10)&amp;"رابط التقرير: "&amp;J870,"")&amp;CHAR(10)&amp;CHAR(10)&amp;"إذا رغبت، يمكننا توضيح لماذا هذا الكورس هو الأنسب لكم الآن.")</x:f>
      </x:c>
      <x:c r="N870" s="12" t="str">
        <x:f>IF(D870="","",HYPERLINK("https://wa.me/"&amp;REGEXREPLACE(D870,"[^\d]","")&amp;"?text="&amp;ENCODEURL(M870),"واتساب 2"))</x:f>
      </x:c>
      <x:c r="O870" s="12" t="str">
        <x:f>IF(A870="","","مرحبًا "&amp;C870&amp;CHAR(10)&amp;CHAR(10)&amp;"إذا كانت التحديات لديكم تحتاج حلًا أشمل، فالبرنامج الكامل المناسب لكم هو: "&amp;H870&amp;"."&amp;IF(I870&lt;&gt;"",CHAR(10)&amp;"كما يمكنكم أيضًا حجز: "&amp;I870&amp;".","")&amp;IF(J870&lt;&gt;"",CHAR(10)&amp;CHAR(10)&amp;"رابط التقرير: "&amp;J870,"")&amp;CHAR(10)&amp;CHAR(10)&amp;"يسعدنا مساعدتكم في اختيار المسار الأنسب حسب وضع العيادة الحالي.")</x:f>
      </x:c>
      <x:c r="P870" s="12" t="str">
        <x:f>IF(D870="","",HYPERLINK("https://wa.me/"&amp;REGEXREPLACE(D870,"[^\d]","")&amp;"?text="&amp;ENCODEURL(O870),"واتساب 3"))</x:f>
      </x:c>
    </x:row>
    <x:row r="871" ht="15" hidden="0" customHeight="1">
      <x:c r="A871" s="12" t="str">
        <x:f>IF(Leads!A871="","",Leads!A871)</x:f>
      </x:c>
      <x:c r="B871" s="12" t="str">
        <x:f>IF(Leads!F871="","",Leads!F871)</x:f>
      </x:c>
      <x:c r="C871" s="12" t="str">
        <x:f>IF(Leads!G871="","",Leads!G871)</x:f>
      </x:c>
      <x:c r="D871" s="12" t="str">
        <x:f>IF(Leads!O871="","",Leads!O871)</x:f>
      </x:c>
      <x:c r="E871" s="12" t="str">
        <x:f>IF(Leads!AV871="","",Leads!AV871)</x:f>
      </x:c>
      <x:c r="F871" s="12" t="str">
        <x:f>IF(Leads!AX871="","",Leads!AX871)</x:f>
      </x:c>
      <x:c r="G871" s="12" t="str">
        <x:f>IF(Leads!BC871="","",Leads!BC871)</x:f>
      </x:c>
      <x:c r="H871" s="12" t="str">
        <x:f>IF(Leads!BE871="","",Leads!BE871)</x:f>
      </x:c>
      <x:c r="I871" s="12" t="str">
        <x:f>IF(Leads!BG871="","",Leads!BG871)</x:f>
      </x:c>
      <x:c r="J871" s="12" t="str">
        <x:f>IF(Leads!BH871="","",Leads!BH871)</x:f>
      </x:c>
      <x:c r="K871" s="12" t="str">
        <x:f>IF(A871="","","مرحبًا "&amp;C871&amp;CHAR(10)&amp;CHAR(10)&amp;"شكرًا لإتمام تقييم DBD الخاص بعيادة "&amp;B871&amp;"."&amp;CHAR(10)&amp;"نتيجتكم الحالية: "&amp;E871&amp;"%."&amp;CHAR(10)&amp;"أولوية التحسين الأولى: "&amp;F871&amp;"."&amp;IF(J871&lt;&gt;"",CHAR(10)&amp;CHAR(10)&amp;"رابط التقرير: "&amp;J871,"")&amp;CHAR(10)&amp;CHAR(10)&amp;"إذا أحببت، يمكننا مساعدتك في فهم التقرير وتحديد أفضل خطوة تالية لعيادتكم.")</x:f>
      </x:c>
      <x:c r="L871" s="12" t="str">
        <x:f>IF(D871="","",HYPERLINK("https://wa.me/"&amp;REGEXREPLACE(D871,"[^\d]","")&amp;"?text="&amp;ENCODEURL(K871),"واتساب 1"))</x:f>
      </x:c>
      <x:c r="M871" s="12" t="str">
        <x:f>IF(A871="","","مرحبًا "&amp;C871&amp;CHAR(10)&amp;CHAR(10)&amp;"بناءً على نتيجة تقييم عيادة "&amp;B871&amp;"، فإن الترشيح الأقوى لكم الآن هو: "&amp;G871&amp;"."&amp;CHAR(10)&amp;"هذا الخيار يساعدكم في معالجة أكبر فجوة حالية بشكل عملي ومباشر."&amp;IF(J871&lt;&gt;"",CHAR(10)&amp;CHAR(10)&amp;"رابط التقرير: "&amp;J871,"")&amp;CHAR(10)&amp;CHAR(10)&amp;"إذا رغبت، يمكننا توضيح لماذا هذا الكورس هو الأنسب لكم الآن.")</x:f>
      </x:c>
      <x:c r="N871" s="12" t="str">
        <x:f>IF(D871="","",HYPERLINK("https://wa.me/"&amp;REGEXREPLACE(D871,"[^\d]","")&amp;"?text="&amp;ENCODEURL(M871),"واتساب 2"))</x:f>
      </x:c>
      <x:c r="O871" s="12" t="str">
        <x:f>IF(A871="","","مرحبًا "&amp;C871&amp;CHAR(10)&amp;CHAR(10)&amp;"إذا كانت التحديات لديكم تحتاج حلًا أشمل، فالبرنامج الكامل المناسب لكم هو: "&amp;H871&amp;"."&amp;IF(I871&lt;&gt;"",CHAR(10)&amp;"كما يمكنكم أيضًا حجز: "&amp;I871&amp;".","")&amp;IF(J871&lt;&gt;"",CHAR(10)&amp;CHAR(10)&amp;"رابط التقرير: "&amp;J871,"")&amp;CHAR(10)&amp;CHAR(10)&amp;"يسعدنا مساعدتكم في اختيار المسار الأنسب حسب وضع العيادة الحالي.")</x:f>
      </x:c>
      <x:c r="P871" s="12" t="str">
        <x:f>IF(D871="","",HYPERLINK("https://wa.me/"&amp;REGEXREPLACE(D871,"[^\d]","")&amp;"?text="&amp;ENCODEURL(O871),"واتساب 3"))</x:f>
      </x:c>
    </x:row>
    <x:row r="872" ht="15" hidden="0" customHeight="1">
      <x:c r="A872" s="12" t="str">
        <x:f>IF(Leads!A872="","",Leads!A872)</x:f>
      </x:c>
      <x:c r="B872" s="12" t="str">
        <x:f>IF(Leads!F872="","",Leads!F872)</x:f>
      </x:c>
      <x:c r="C872" s="12" t="str">
        <x:f>IF(Leads!G872="","",Leads!G872)</x:f>
      </x:c>
      <x:c r="D872" s="12" t="str">
        <x:f>IF(Leads!O872="","",Leads!O872)</x:f>
      </x:c>
      <x:c r="E872" s="12" t="str">
        <x:f>IF(Leads!AV872="","",Leads!AV872)</x:f>
      </x:c>
      <x:c r="F872" s="12" t="str">
        <x:f>IF(Leads!AX872="","",Leads!AX872)</x:f>
      </x:c>
      <x:c r="G872" s="12" t="str">
        <x:f>IF(Leads!BC872="","",Leads!BC872)</x:f>
      </x:c>
      <x:c r="H872" s="12" t="str">
        <x:f>IF(Leads!BE872="","",Leads!BE872)</x:f>
      </x:c>
      <x:c r="I872" s="12" t="str">
        <x:f>IF(Leads!BG872="","",Leads!BG872)</x:f>
      </x:c>
      <x:c r="J872" s="12" t="str">
        <x:f>IF(Leads!BH872="","",Leads!BH872)</x:f>
      </x:c>
      <x:c r="K872" s="12" t="str">
        <x:f>IF(A872="","","مرحبًا "&amp;C872&amp;CHAR(10)&amp;CHAR(10)&amp;"شكرًا لإتمام تقييم DBD الخاص بعيادة "&amp;B872&amp;"."&amp;CHAR(10)&amp;"نتيجتكم الحالية: "&amp;E872&amp;"%."&amp;CHAR(10)&amp;"أولوية التحسين الأولى: "&amp;F872&amp;"."&amp;IF(J872&lt;&gt;"",CHAR(10)&amp;CHAR(10)&amp;"رابط التقرير: "&amp;J872,"")&amp;CHAR(10)&amp;CHAR(10)&amp;"إذا أحببت، يمكننا مساعدتك في فهم التقرير وتحديد أفضل خطوة تالية لعيادتكم.")</x:f>
      </x:c>
      <x:c r="L872" s="12" t="str">
        <x:f>IF(D872="","",HYPERLINK("https://wa.me/"&amp;REGEXREPLACE(D872,"[^\d]","")&amp;"?text="&amp;ENCODEURL(K872),"واتساب 1"))</x:f>
      </x:c>
      <x:c r="M872" s="12" t="str">
        <x:f>IF(A872="","","مرحبًا "&amp;C872&amp;CHAR(10)&amp;CHAR(10)&amp;"بناءً على نتيجة تقييم عيادة "&amp;B872&amp;"، فإن الترشيح الأقوى لكم الآن هو: "&amp;G872&amp;"."&amp;CHAR(10)&amp;"هذا الخيار يساعدكم في معالجة أكبر فجوة حالية بشكل عملي ومباشر."&amp;IF(J872&lt;&gt;"",CHAR(10)&amp;CHAR(10)&amp;"رابط التقرير: "&amp;J872,"")&amp;CHAR(10)&amp;CHAR(10)&amp;"إذا رغبت، يمكننا توضيح لماذا هذا الكورس هو الأنسب لكم الآن.")</x:f>
      </x:c>
      <x:c r="N872" s="12" t="str">
        <x:f>IF(D872="","",HYPERLINK("https://wa.me/"&amp;REGEXREPLACE(D872,"[^\d]","")&amp;"?text="&amp;ENCODEURL(M872),"واتساب 2"))</x:f>
      </x:c>
      <x:c r="O872" s="12" t="str">
        <x:f>IF(A872="","","مرحبًا "&amp;C872&amp;CHAR(10)&amp;CHAR(10)&amp;"إذا كانت التحديات لديكم تحتاج حلًا أشمل، فالبرنامج الكامل المناسب لكم هو: "&amp;H872&amp;"."&amp;IF(I872&lt;&gt;"",CHAR(10)&amp;"كما يمكنكم أيضًا حجز: "&amp;I872&amp;".","")&amp;IF(J872&lt;&gt;"",CHAR(10)&amp;CHAR(10)&amp;"رابط التقرير: "&amp;J872,"")&amp;CHAR(10)&amp;CHAR(10)&amp;"يسعدنا مساعدتكم في اختيار المسار الأنسب حسب وضع العيادة الحالي.")</x:f>
      </x:c>
      <x:c r="P872" s="12" t="str">
        <x:f>IF(D872="","",HYPERLINK("https://wa.me/"&amp;REGEXREPLACE(D872,"[^\d]","")&amp;"?text="&amp;ENCODEURL(O872),"واتساب 3"))</x:f>
      </x:c>
    </x:row>
    <x:row r="873" ht="15" hidden="0" customHeight="1">
      <x:c r="A873" s="12" t="str">
        <x:f>IF(Leads!A873="","",Leads!A873)</x:f>
      </x:c>
      <x:c r="B873" s="12" t="str">
        <x:f>IF(Leads!F873="","",Leads!F873)</x:f>
      </x:c>
      <x:c r="C873" s="12" t="str">
        <x:f>IF(Leads!G873="","",Leads!G873)</x:f>
      </x:c>
      <x:c r="D873" s="12" t="str">
        <x:f>IF(Leads!O873="","",Leads!O873)</x:f>
      </x:c>
      <x:c r="E873" s="12" t="str">
        <x:f>IF(Leads!AV873="","",Leads!AV873)</x:f>
      </x:c>
      <x:c r="F873" s="12" t="str">
        <x:f>IF(Leads!AX873="","",Leads!AX873)</x:f>
      </x:c>
      <x:c r="G873" s="12" t="str">
        <x:f>IF(Leads!BC873="","",Leads!BC873)</x:f>
      </x:c>
      <x:c r="H873" s="12" t="str">
        <x:f>IF(Leads!BE873="","",Leads!BE873)</x:f>
      </x:c>
      <x:c r="I873" s="12" t="str">
        <x:f>IF(Leads!BG873="","",Leads!BG873)</x:f>
      </x:c>
      <x:c r="J873" s="12" t="str">
        <x:f>IF(Leads!BH873="","",Leads!BH873)</x:f>
      </x:c>
      <x:c r="K873" s="12" t="str">
        <x:f>IF(A873="","","مرحبًا "&amp;C873&amp;CHAR(10)&amp;CHAR(10)&amp;"شكرًا لإتمام تقييم DBD الخاص بعيادة "&amp;B873&amp;"."&amp;CHAR(10)&amp;"نتيجتكم الحالية: "&amp;E873&amp;"%."&amp;CHAR(10)&amp;"أولوية التحسين الأولى: "&amp;F873&amp;"."&amp;IF(J873&lt;&gt;"",CHAR(10)&amp;CHAR(10)&amp;"رابط التقرير: "&amp;J873,"")&amp;CHAR(10)&amp;CHAR(10)&amp;"إذا أحببت، يمكننا مساعدتك في فهم التقرير وتحديد أفضل خطوة تالية لعيادتكم.")</x:f>
      </x:c>
      <x:c r="L873" s="12" t="str">
        <x:f>IF(D873="","",HYPERLINK("https://wa.me/"&amp;REGEXREPLACE(D873,"[^\d]","")&amp;"?text="&amp;ENCODEURL(K873),"واتساب 1"))</x:f>
      </x:c>
      <x:c r="M873" s="12" t="str">
        <x:f>IF(A873="","","مرحبًا "&amp;C873&amp;CHAR(10)&amp;CHAR(10)&amp;"بناءً على نتيجة تقييم عيادة "&amp;B873&amp;"، فإن الترشيح الأقوى لكم الآن هو: "&amp;G873&amp;"."&amp;CHAR(10)&amp;"هذا الخيار يساعدكم في معالجة أكبر فجوة حالية بشكل عملي ومباشر."&amp;IF(J873&lt;&gt;"",CHAR(10)&amp;CHAR(10)&amp;"رابط التقرير: "&amp;J873,"")&amp;CHAR(10)&amp;CHAR(10)&amp;"إذا رغبت، يمكننا توضيح لماذا هذا الكورس هو الأنسب لكم الآن.")</x:f>
      </x:c>
      <x:c r="N873" s="12" t="str">
        <x:f>IF(D873="","",HYPERLINK("https://wa.me/"&amp;REGEXREPLACE(D873,"[^\d]","")&amp;"?text="&amp;ENCODEURL(M873),"واتساب 2"))</x:f>
      </x:c>
      <x:c r="O873" s="12" t="str">
        <x:f>IF(A873="","","مرحبًا "&amp;C873&amp;CHAR(10)&amp;CHAR(10)&amp;"إذا كانت التحديات لديكم تحتاج حلًا أشمل، فالبرنامج الكامل المناسب لكم هو: "&amp;H873&amp;"."&amp;IF(I873&lt;&gt;"",CHAR(10)&amp;"كما يمكنكم أيضًا حجز: "&amp;I873&amp;".","")&amp;IF(J873&lt;&gt;"",CHAR(10)&amp;CHAR(10)&amp;"رابط التقرير: "&amp;J873,"")&amp;CHAR(10)&amp;CHAR(10)&amp;"يسعدنا مساعدتكم في اختيار المسار الأنسب حسب وضع العيادة الحالي.")</x:f>
      </x:c>
      <x:c r="P873" s="12" t="str">
        <x:f>IF(D873="","",HYPERLINK("https://wa.me/"&amp;REGEXREPLACE(D873,"[^\d]","")&amp;"?text="&amp;ENCODEURL(O873),"واتساب 3"))</x:f>
      </x:c>
    </x:row>
    <x:row r="874" ht="15" hidden="0" customHeight="1">
      <x:c r="A874" s="12" t="str">
        <x:f>IF(Leads!A874="","",Leads!A874)</x:f>
      </x:c>
      <x:c r="B874" s="12" t="str">
        <x:f>IF(Leads!F874="","",Leads!F874)</x:f>
      </x:c>
      <x:c r="C874" s="12" t="str">
        <x:f>IF(Leads!G874="","",Leads!G874)</x:f>
      </x:c>
      <x:c r="D874" s="12" t="str">
        <x:f>IF(Leads!O874="","",Leads!O874)</x:f>
      </x:c>
      <x:c r="E874" s="12" t="str">
        <x:f>IF(Leads!AV874="","",Leads!AV874)</x:f>
      </x:c>
      <x:c r="F874" s="12" t="str">
        <x:f>IF(Leads!AX874="","",Leads!AX874)</x:f>
      </x:c>
      <x:c r="G874" s="12" t="str">
        <x:f>IF(Leads!BC874="","",Leads!BC874)</x:f>
      </x:c>
      <x:c r="H874" s="12" t="str">
        <x:f>IF(Leads!BE874="","",Leads!BE874)</x:f>
      </x:c>
      <x:c r="I874" s="12" t="str">
        <x:f>IF(Leads!BG874="","",Leads!BG874)</x:f>
      </x:c>
      <x:c r="J874" s="12" t="str">
        <x:f>IF(Leads!BH874="","",Leads!BH874)</x:f>
      </x:c>
      <x:c r="K874" s="12" t="str">
        <x:f>IF(A874="","","مرحبًا "&amp;C874&amp;CHAR(10)&amp;CHAR(10)&amp;"شكرًا لإتمام تقييم DBD الخاص بعيادة "&amp;B874&amp;"."&amp;CHAR(10)&amp;"نتيجتكم الحالية: "&amp;E874&amp;"%."&amp;CHAR(10)&amp;"أولوية التحسين الأولى: "&amp;F874&amp;"."&amp;IF(J874&lt;&gt;"",CHAR(10)&amp;CHAR(10)&amp;"رابط التقرير: "&amp;J874,"")&amp;CHAR(10)&amp;CHAR(10)&amp;"إذا أحببت، يمكننا مساعدتك في فهم التقرير وتحديد أفضل خطوة تالية لعيادتكم.")</x:f>
      </x:c>
      <x:c r="L874" s="12" t="str">
        <x:f>IF(D874="","",HYPERLINK("https://wa.me/"&amp;REGEXREPLACE(D874,"[^\d]","")&amp;"?text="&amp;ENCODEURL(K874),"واتساب 1"))</x:f>
      </x:c>
      <x:c r="M874" s="12" t="str">
        <x:f>IF(A874="","","مرحبًا "&amp;C874&amp;CHAR(10)&amp;CHAR(10)&amp;"بناءً على نتيجة تقييم عيادة "&amp;B874&amp;"، فإن الترشيح الأقوى لكم الآن هو: "&amp;G874&amp;"."&amp;CHAR(10)&amp;"هذا الخيار يساعدكم في معالجة أكبر فجوة حالية بشكل عملي ومباشر."&amp;IF(J874&lt;&gt;"",CHAR(10)&amp;CHAR(10)&amp;"رابط التقرير: "&amp;J874,"")&amp;CHAR(10)&amp;CHAR(10)&amp;"إذا رغبت، يمكننا توضيح لماذا هذا الكورس هو الأنسب لكم الآن.")</x:f>
      </x:c>
      <x:c r="N874" s="12" t="str">
        <x:f>IF(D874="","",HYPERLINK("https://wa.me/"&amp;REGEXREPLACE(D874,"[^\d]","")&amp;"?text="&amp;ENCODEURL(M874),"واتساب 2"))</x:f>
      </x:c>
      <x:c r="O874" s="12" t="str">
        <x:f>IF(A874="","","مرحبًا "&amp;C874&amp;CHAR(10)&amp;CHAR(10)&amp;"إذا كانت التحديات لديكم تحتاج حلًا أشمل، فالبرنامج الكامل المناسب لكم هو: "&amp;H874&amp;"."&amp;IF(I874&lt;&gt;"",CHAR(10)&amp;"كما يمكنكم أيضًا حجز: "&amp;I874&amp;".","")&amp;IF(J874&lt;&gt;"",CHAR(10)&amp;CHAR(10)&amp;"رابط التقرير: "&amp;J874,"")&amp;CHAR(10)&amp;CHAR(10)&amp;"يسعدنا مساعدتكم في اختيار المسار الأنسب حسب وضع العيادة الحالي.")</x:f>
      </x:c>
      <x:c r="P874" s="12" t="str">
        <x:f>IF(D874="","",HYPERLINK("https://wa.me/"&amp;REGEXREPLACE(D874,"[^\d]","")&amp;"?text="&amp;ENCODEURL(O874),"واتساب 3"))</x:f>
      </x:c>
    </x:row>
    <x:row r="875" ht="15" hidden="0" customHeight="1">
      <x:c r="A875" s="12" t="str">
        <x:f>IF(Leads!A875="","",Leads!A875)</x:f>
      </x:c>
      <x:c r="B875" s="12" t="str">
        <x:f>IF(Leads!F875="","",Leads!F875)</x:f>
      </x:c>
      <x:c r="C875" s="12" t="str">
        <x:f>IF(Leads!G875="","",Leads!G875)</x:f>
      </x:c>
      <x:c r="D875" s="12" t="str">
        <x:f>IF(Leads!O875="","",Leads!O875)</x:f>
      </x:c>
      <x:c r="E875" s="12" t="str">
        <x:f>IF(Leads!AV875="","",Leads!AV875)</x:f>
      </x:c>
      <x:c r="F875" s="12" t="str">
        <x:f>IF(Leads!AX875="","",Leads!AX875)</x:f>
      </x:c>
      <x:c r="G875" s="12" t="str">
        <x:f>IF(Leads!BC875="","",Leads!BC875)</x:f>
      </x:c>
      <x:c r="H875" s="12" t="str">
        <x:f>IF(Leads!BE875="","",Leads!BE875)</x:f>
      </x:c>
      <x:c r="I875" s="12" t="str">
        <x:f>IF(Leads!BG875="","",Leads!BG875)</x:f>
      </x:c>
      <x:c r="J875" s="12" t="str">
        <x:f>IF(Leads!BH875="","",Leads!BH875)</x:f>
      </x:c>
      <x:c r="K875" s="12" t="str">
        <x:f>IF(A875="","","مرحبًا "&amp;C875&amp;CHAR(10)&amp;CHAR(10)&amp;"شكرًا لإتمام تقييم DBD الخاص بعيادة "&amp;B875&amp;"."&amp;CHAR(10)&amp;"نتيجتكم الحالية: "&amp;E875&amp;"%."&amp;CHAR(10)&amp;"أولوية التحسين الأولى: "&amp;F875&amp;"."&amp;IF(J875&lt;&gt;"",CHAR(10)&amp;CHAR(10)&amp;"رابط التقرير: "&amp;J875,"")&amp;CHAR(10)&amp;CHAR(10)&amp;"إذا أحببت، يمكننا مساعدتك في فهم التقرير وتحديد أفضل خطوة تالية لعيادتكم.")</x:f>
      </x:c>
      <x:c r="L875" s="12" t="str">
        <x:f>IF(D875="","",HYPERLINK("https://wa.me/"&amp;REGEXREPLACE(D875,"[^\d]","")&amp;"?text="&amp;ENCODEURL(K875),"واتساب 1"))</x:f>
      </x:c>
      <x:c r="M875" s="12" t="str">
        <x:f>IF(A875="","","مرحبًا "&amp;C875&amp;CHAR(10)&amp;CHAR(10)&amp;"بناءً على نتيجة تقييم عيادة "&amp;B875&amp;"، فإن الترشيح الأقوى لكم الآن هو: "&amp;G875&amp;"."&amp;CHAR(10)&amp;"هذا الخيار يساعدكم في معالجة أكبر فجوة حالية بشكل عملي ومباشر."&amp;IF(J875&lt;&gt;"",CHAR(10)&amp;CHAR(10)&amp;"رابط التقرير: "&amp;J875,"")&amp;CHAR(10)&amp;CHAR(10)&amp;"إذا رغبت، يمكننا توضيح لماذا هذا الكورس هو الأنسب لكم الآن.")</x:f>
      </x:c>
      <x:c r="N875" s="12" t="str">
        <x:f>IF(D875="","",HYPERLINK("https://wa.me/"&amp;REGEXREPLACE(D875,"[^\d]","")&amp;"?text="&amp;ENCODEURL(M875),"واتساب 2"))</x:f>
      </x:c>
      <x:c r="O875" s="12" t="str">
        <x:f>IF(A875="","","مرحبًا "&amp;C875&amp;CHAR(10)&amp;CHAR(10)&amp;"إذا كانت التحديات لديكم تحتاج حلًا أشمل، فالبرنامج الكامل المناسب لكم هو: "&amp;H875&amp;"."&amp;IF(I875&lt;&gt;"",CHAR(10)&amp;"كما يمكنكم أيضًا حجز: "&amp;I875&amp;".","")&amp;IF(J875&lt;&gt;"",CHAR(10)&amp;CHAR(10)&amp;"رابط التقرير: "&amp;J875,"")&amp;CHAR(10)&amp;CHAR(10)&amp;"يسعدنا مساعدتكم في اختيار المسار الأنسب حسب وضع العيادة الحالي.")</x:f>
      </x:c>
      <x:c r="P875" s="12" t="str">
        <x:f>IF(D875="","",HYPERLINK("https://wa.me/"&amp;REGEXREPLACE(D875,"[^\d]","")&amp;"?text="&amp;ENCODEURL(O875),"واتساب 3"))</x:f>
      </x:c>
    </x:row>
    <x:row r="876" ht="15" hidden="0" customHeight="1">
      <x:c r="A876" s="12" t="str">
        <x:f>IF(Leads!A876="","",Leads!A876)</x:f>
      </x:c>
      <x:c r="B876" s="12" t="str">
        <x:f>IF(Leads!F876="","",Leads!F876)</x:f>
      </x:c>
      <x:c r="C876" s="12" t="str">
        <x:f>IF(Leads!G876="","",Leads!G876)</x:f>
      </x:c>
      <x:c r="D876" s="12" t="str">
        <x:f>IF(Leads!O876="","",Leads!O876)</x:f>
      </x:c>
      <x:c r="E876" s="12" t="str">
        <x:f>IF(Leads!AV876="","",Leads!AV876)</x:f>
      </x:c>
      <x:c r="F876" s="12" t="str">
        <x:f>IF(Leads!AX876="","",Leads!AX876)</x:f>
      </x:c>
      <x:c r="G876" s="12" t="str">
        <x:f>IF(Leads!BC876="","",Leads!BC876)</x:f>
      </x:c>
      <x:c r="H876" s="12" t="str">
        <x:f>IF(Leads!BE876="","",Leads!BE876)</x:f>
      </x:c>
      <x:c r="I876" s="12" t="str">
        <x:f>IF(Leads!BG876="","",Leads!BG876)</x:f>
      </x:c>
      <x:c r="J876" s="12" t="str">
        <x:f>IF(Leads!BH876="","",Leads!BH876)</x:f>
      </x:c>
      <x:c r="K876" s="12" t="str">
        <x:f>IF(A876="","","مرحبًا "&amp;C876&amp;CHAR(10)&amp;CHAR(10)&amp;"شكرًا لإتمام تقييم DBD الخاص بعيادة "&amp;B876&amp;"."&amp;CHAR(10)&amp;"نتيجتكم الحالية: "&amp;E876&amp;"%."&amp;CHAR(10)&amp;"أولوية التحسين الأولى: "&amp;F876&amp;"."&amp;IF(J876&lt;&gt;"",CHAR(10)&amp;CHAR(10)&amp;"رابط التقرير: "&amp;J876,"")&amp;CHAR(10)&amp;CHAR(10)&amp;"إذا أحببت، يمكننا مساعدتك في فهم التقرير وتحديد أفضل خطوة تالية لعيادتكم.")</x:f>
      </x:c>
      <x:c r="L876" s="12" t="str">
        <x:f>IF(D876="","",HYPERLINK("https://wa.me/"&amp;REGEXREPLACE(D876,"[^\d]","")&amp;"?text="&amp;ENCODEURL(K876),"واتساب 1"))</x:f>
      </x:c>
      <x:c r="M876" s="12" t="str">
        <x:f>IF(A876="","","مرحبًا "&amp;C876&amp;CHAR(10)&amp;CHAR(10)&amp;"بناءً على نتيجة تقييم عيادة "&amp;B876&amp;"، فإن الترشيح الأقوى لكم الآن هو: "&amp;G876&amp;"."&amp;CHAR(10)&amp;"هذا الخيار يساعدكم في معالجة أكبر فجوة حالية بشكل عملي ومباشر."&amp;IF(J876&lt;&gt;"",CHAR(10)&amp;CHAR(10)&amp;"رابط التقرير: "&amp;J876,"")&amp;CHAR(10)&amp;CHAR(10)&amp;"إذا رغبت، يمكننا توضيح لماذا هذا الكورس هو الأنسب لكم الآن.")</x:f>
      </x:c>
      <x:c r="N876" s="12" t="str">
        <x:f>IF(D876="","",HYPERLINK("https://wa.me/"&amp;REGEXREPLACE(D876,"[^\d]","")&amp;"?text="&amp;ENCODEURL(M876),"واتساب 2"))</x:f>
      </x:c>
      <x:c r="O876" s="12" t="str">
        <x:f>IF(A876="","","مرحبًا "&amp;C876&amp;CHAR(10)&amp;CHAR(10)&amp;"إذا كانت التحديات لديكم تحتاج حلًا أشمل، فالبرنامج الكامل المناسب لكم هو: "&amp;H876&amp;"."&amp;IF(I876&lt;&gt;"",CHAR(10)&amp;"كما يمكنكم أيضًا حجز: "&amp;I876&amp;".","")&amp;IF(J876&lt;&gt;"",CHAR(10)&amp;CHAR(10)&amp;"رابط التقرير: "&amp;J876,"")&amp;CHAR(10)&amp;CHAR(10)&amp;"يسعدنا مساعدتكم في اختيار المسار الأنسب حسب وضع العيادة الحالي.")</x:f>
      </x:c>
      <x:c r="P876" s="12" t="str">
        <x:f>IF(D876="","",HYPERLINK("https://wa.me/"&amp;REGEXREPLACE(D876,"[^\d]","")&amp;"?text="&amp;ENCODEURL(O876),"واتساب 3"))</x:f>
      </x:c>
    </x:row>
    <x:row r="877" ht="15" hidden="0" customHeight="1">
      <x:c r="A877" s="12" t="str">
        <x:f>IF(Leads!A877="","",Leads!A877)</x:f>
      </x:c>
      <x:c r="B877" s="12" t="str">
        <x:f>IF(Leads!F877="","",Leads!F877)</x:f>
      </x:c>
      <x:c r="C877" s="12" t="str">
        <x:f>IF(Leads!G877="","",Leads!G877)</x:f>
      </x:c>
      <x:c r="D877" s="12" t="str">
        <x:f>IF(Leads!O877="","",Leads!O877)</x:f>
      </x:c>
      <x:c r="E877" s="12" t="str">
        <x:f>IF(Leads!AV877="","",Leads!AV877)</x:f>
      </x:c>
      <x:c r="F877" s="12" t="str">
        <x:f>IF(Leads!AX877="","",Leads!AX877)</x:f>
      </x:c>
      <x:c r="G877" s="12" t="str">
        <x:f>IF(Leads!BC877="","",Leads!BC877)</x:f>
      </x:c>
      <x:c r="H877" s="12" t="str">
        <x:f>IF(Leads!BE877="","",Leads!BE877)</x:f>
      </x:c>
      <x:c r="I877" s="12" t="str">
        <x:f>IF(Leads!BG877="","",Leads!BG877)</x:f>
      </x:c>
      <x:c r="J877" s="12" t="str">
        <x:f>IF(Leads!BH877="","",Leads!BH877)</x:f>
      </x:c>
      <x:c r="K877" s="12" t="str">
        <x:f>IF(A877="","","مرحبًا "&amp;C877&amp;CHAR(10)&amp;CHAR(10)&amp;"شكرًا لإتمام تقييم DBD الخاص بعيادة "&amp;B877&amp;"."&amp;CHAR(10)&amp;"نتيجتكم الحالية: "&amp;E877&amp;"%."&amp;CHAR(10)&amp;"أولوية التحسين الأولى: "&amp;F877&amp;"."&amp;IF(J877&lt;&gt;"",CHAR(10)&amp;CHAR(10)&amp;"رابط التقرير: "&amp;J877,"")&amp;CHAR(10)&amp;CHAR(10)&amp;"إذا أحببت، يمكننا مساعدتك في فهم التقرير وتحديد أفضل خطوة تالية لعيادتكم.")</x:f>
      </x:c>
      <x:c r="L877" s="12" t="str">
        <x:f>IF(D877="","",HYPERLINK("https://wa.me/"&amp;REGEXREPLACE(D877,"[^\d]","")&amp;"?text="&amp;ENCODEURL(K877),"واتساب 1"))</x:f>
      </x:c>
      <x:c r="M877" s="12" t="str">
        <x:f>IF(A877="","","مرحبًا "&amp;C877&amp;CHAR(10)&amp;CHAR(10)&amp;"بناءً على نتيجة تقييم عيادة "&amp;B877&amp;"، فإن الترشيح الأقوى لكم الآن هو: "&amp;G877&amp;"."&amp;CHAR(10)&amp;"هذا الخيار يساعدكم في معالجة أكبر فجوة حالية بشكل عملي ومباشر."&amp;IF(J877&lt;&gt;"",CHAR(10)&amp;CHAR(10)&amp;"رابط التقرير: "&amp;J877,"")&amp;CHAR(10)&amp;CHAR(10)&amp;"إذا رغبت، يمكننا توضيح لماذا هذا الكورس هو الأنسب لكم الآن.")</x:f>
      </x:c>
      <x:c r="N877" s="12" t="str">
        <x:f>IF(D877="","",HYPERLINK("https://wa.me/"&amp;REGEXREPLACE(D877,"[^\d]","")&amp;"?text="&amp;ENCODEURL(M877),"واتساب 2"))</x:f>
      </x:c>
      <x:c r="O877" s="12" t="str">
        <x:f>IF(A877="","","مرحبًا "&amp;C877&amp;CHAR(10)&amp;CHAR(10)&amp;"إذا كانت التحديات لديكم تحتاج حلًا أشمل، فالبرنامج الكامل المناسب لكم هو: "&amp;H877&amp;"."&amp;IF(I877&lt;&gt;"",CHAR(10)&amp;"كما يمكنكم أيضًا حجز: "&amp;I877&amp;".","")&amp;IF(J877&lt;&gt;"",CHAR(10)&amp;CHAR(10)&amp;"رابط التقرير: "&amp;J877,"")&amp;CHAR(10)&amp;CHAR(10)&amp;"يسعدنا مساعدتكم في اختيار المسار الأنسب حسب وضع العيادة الحالي.")</x:f>
      </x:c>
      <x:c r="P877" s="12" t="str">
        <x:f>IF(D877="","",HYPERLINK("https://wa.me/"&amp;REGEXREPLACE(D877,"[^\d]","")&amp;"?text="&amp;ENCODEURL(O877),"واتساب 3"))</x:f>
      </x:c>
    </x:row>
    <x:row r="878" ht="15" hidden="0" customHeight="1">
      <x:c r="A878" s="12" t="str">
        <x:f>IF(Leads!A878="","",Leads!A878)</x:f>
      </x:c>
      <x:c r="B878" s="12" t="str">
        <x:f>IF(Leads!F878="","",Leads!F878)</x:f>
      </x:c>
      <x:c r="C878" s="12" t="str">
        <x:f>IF(Leads!G878="","",Leads!G878)</x:f>
      </x:c>
      <x:c r="D878" s="12" t="str">
        <x:f>IF(Leads!O878="","",Leads!O878)</x:f>
      </x:c>
      <x:c r="E878" s="12" t="str">
        <x:f>IF(Leads!AV878="","",Leads!AV878)</x:f>
      </x:c>
      <x:c r="F878" s="12" t="str">
        <x:f>IF(Leads!AX878="","",Leads!AX878)</x:f>
      </x:c>
      <x:c r="G878" s="12" t="str">
        <x:f>IF(Leads!BC878="","",Leads!BC878)</x:f>
      </x:c>
      <x:c r="H878" s="12" t="str">
        <x:f>IF(Leads!BE878="","",Leads!BE878)</x:f>
      </x:c>
      <x:c r="I878" s="12" t="str">
        <x:f>IF(Leads!BG878="","",Leads!BG878)</x:f>
      </x:c>
      <x:c r="J878" s="12" t="str">
        <x:f>IF(Leads!BH878="","",Leads!BH878)</x:f>
      </x:c>
      <x:c r="K878" s="12" t="str">
        <x:f>IF(A878="","","مرحبًا "&amp;C878&amp;CHAR(10)&amp;CHAR(10)&amp;"شكرًا لإتمام تقييم DBD الخاص بعيادة "&amp;B878&amp;"."&amp;CHAR(10)&amp;"نتيجتكم الحالية: "&amp;E878&amp;"%."&amp;CHAR(10)&amp;"أولوية التحسين الأولى: "&amp;F878&amp;"."&amp;IF(J878&lt;&gt;"",CHAR(10)&amp;CHAR(10)&amp;"رابط التقرير: "&amp;J878,"")&amp;CHAR(10)&amp;CHAR(10)&amp;"إذا أحببت، يمكننا مساعدتك في فهم التقرير وتحديد أفضل خطوة تالية لعيادتكم.")</x:f>
      </x:c>
      <x:c r="L878" s="12" t="str">
        <x:f>IF(D878="","",HYPERLINK("https://wa.me/"&amp;REGEXREPLACE(D878,"[^\d]","")&amp;"?text="&amp;ENCODEURL(K878),"واتساب 1"))</x:f>
      </x:c>
      <x:c r="M878" s="12" t="str">
        <x:f>IF(A878="","","مرحبًا "&amp;C878&amp;CHAR(10)&amp;CHAR(10)&amp;"بناءً على نتيجة تقييم عيادة "&amp;B878&amp;"، فإن الترشيح الأقوى لكم الآن هو: "&amp;G878&amp;"."&amp;CHAR(10)&amp;"هذا الخيار يساعدكم في معالجة أكبر فجوة حالية بشكل عملي ومباشر."&amp;IF(J878&lt;&gt;"",CHAR(10)&amp;CHAR(10)&amp;"رابط التقرير: "&amp;J878,"")&amp;CHAR(10)&amp;CHAR(10)&amp;"إذا رغبت، يمكننا توضيح لماذا هذا الكورس هو الأنسب لكم الآن.")</x:f>
      </x:c>
      <x:c r="N878" s="12" t="str">
        <x:f>IF(D878="","",HYPERLINK("https://wa.me/"&amp;REGEXREPLACE(D878,"[^\d]","")&amp;"?text="&amp;ENCODEURL(M878),"واتساب 2"))</x:f>
      </x:c>
      <x:c r="O878" s="12" t="str">
        <x:f>IF(A878="","","مرحبًا "&amp;C878&amp;CHAR(10)&amp;CHAR(10)&amp;"إذا كانت التحديات لديكم تحتاج حلًا أشمل، فالبرنامج الكامل المناسب لكم هو: "&amp;H878&amp;"."&amp;IF(I878&lt;&gt;"",CHAR(10)&amp;"كما يمكنكم أيضًا حجز: "&amp;I878&amp;".","")&amp;IF(J878&lt;&gt;"",CHAR(10)&amp;CHAR(10)&amp;"رابط التقرير: "&amp;J878,"")&amp;CHAR(10)&amp;CHAR(10)&amp;"يسعدنا مساعدتكم في اختيار المسار الأنسب حسب وضع العيادة الحالي.")</x:f>
      </x:c>
      <x:c r="P878" s="12" t="str">
        <x:f>IF(D878="","",HYPERLINK("https://wa.me/"&amp;REGEXREPLACE(D878,"[^\d]","")&amp;"?text="&amp;ENCODEURL(O878),"واتساب 3"))</x:f>
      </x:c>
    </x:row>
    <x:row r="879" ht="15" hidden="0" customHeight="1">
      <x:c r="A879" s="12" t="str">
        <x:f>IF(Leads!A879="","",Leads!A879)</x:f>
      </x:c>
      <x:c r="B879" s="12" t="str">
        <x:f>IF(Leads!F879="","",Leads!F879)</x:f>
      </x:c>
      <x:c r="C879" s="12" t="str">
        <x:f>IF(Leads!G879="","",Leads!G879)</x:f>
      </x:c>
      <x:c r="D879" s="12" t="str">
        <x:f>IF(Leads!O879="","",Leads!O879)</x:f>
      </x:c>
      <x:c r="E879" s="12" t="str">
        <x:f>IF(Leads!AV879="","",Leads!AV879)</x:f>
      </x:c>
      <x:c r="F879" s="12" t="str">
        <x:f>IF(Leads!AX879="","",Leads!AX879)</x:f>
      </x:c>
      <x:c r="G879" s="12" t="str">
        <x:f>IF(Leads!BC879="","",Leads!BC879)</x:f>
      </x:c>
      <x:c r="H879" s="12" t="str">
        <x:f>IF(Leads!BE879="","",Leads!BE879)</x:f>
      </x:c>
      <x:c r="I879" s="12" t="str">
        <x:f>IF(Leads!BG879="","",Leads!BG879)</x:f>
      </x:c>
      <x:c r="J879" s="12" t="str">
        <x:f>IF(Leads!BH879="","",Leads!BH879)</x:f>
      </x:c>
      <x:c r="K879" s="12" t="str">
        <x:f>IF(A879="","","مرحبًا "&amp;C879&amp;CHAR(10)&amp;CHAR(10)&amp;"شكرًا لإتمام تقييم DBD الخاص بعيادة "&amp;B879&amp;"."&amp;CHAR(10)&amp;"نتيجتكم الحالية: "&amp;E879&amp;"%."&amp;CHAR(10)&amp;"أولوية التحسين الأولى: "&amp;F879&amp;"."&amp;IF(J879&lt;&gt;"",CHAR(10)&amp;CHAR(10)&amp;"رابط التقرير: "&amp;J879,"")&amp;CHAR(10)&amp;CHAR(10)&amp;"إذا أحببت، يمكننا مساعدتك في فهم التقرير وتحديد أفضل خطوة تالية لعيادتكم.")</x:f>
      </x:c>
      <x:c r="L879" s="12" t="str">
        <x:f>IF(D879="","",HYPERLINK("https://wa.me/"&amp;REGEXREPLACE(D879,"[^\d]","")&amp;"?text="&amp;ENCODEURL(K879),"واتساب 1"))</x:f>
      </x:c>
      <x:c r="M879" s="12" t="str">
        <x:f>IF(A879="","","مرحبًا "&amp;C879&amp;CHAR(10)&amp;CHAR(10)&amp;"بناءً على نتيجة تقييم عيادة "&amp;B879&amp;"، فإن الترشيح الأقوى لكم الآن هو: "&amp;G879&amp;"."&amp;CHAR(10)&amp;"هذا الخيار يساعدكم في معالجة أكبر فجوة حالية بشكل عملي ومباشر."&amp;IF(J879&lt;&gt;"",CHAR(10)&amp;CHAR(10)&amp;"رابط التقرير: "&amp;J879,"")&amp;CHAR(10)&amp;CHAR(10)&amp;"إذا رغبت، يمكننا توضيح لماذا هذا الكورس هو الأنسب لكم الآن.")</x:f>
      </x:c>
      <x:c r="N879" s="12" t="str">
        <x:f>IF(D879="","",HYPERLINK("https://wa.me/"&amp;REGEXREPLACE(D879,"[^\d]","")&amp;"?text="&amp;ENCODEURL(M879),"واتساب 2"))</x:f>
      </x:c>
      <x:c r="O879" s="12" t="str">
        <x:f>IF(A879="","","مرحبًا "&amp;C879&amp;CHAR(10)&amp;CHAR(10)&amp;"إذا كانت التحديات لديكم تحتاج حلًا أشمل، فالبرنامج الكامل المناسب لكم هو: "&amp;H879&amp;"."&amp;IF(I879&lt;&gt;"",CHAR(10)&amp;"كما يمكنكم أيضًا حجز: "&amp;I879&amp;".","")&amp;IF(J879&lt;&gt;"",CHAR(10)&amp;CHAR(10)&amp;"رابط التقرير: "&amp;J879,"")&amp;CHAR(10)&amp;CHAR(10)&amp;"يسعدنا مساعدتكم في اختيار المسار الأنسب حسب وضع العيادة الحالي.")</x:f>
      </x:c>
      <x:c r="P879" s="12" t="str">
        <x:f>IF(D879="","",HYPERLINK("https://wa.me/"&amp;REGEXREPLACE(D879,"[^\d]","")&amp;"?text="&amp;ENCODEURL(O879),"واتساب 3"))</x:f>
      </x:c>
    </x:row>
    <x:row r="880" ht="15" hidden="0" customHeight="1">
      <x:c r="A880" s="12" t="str">
        <x:f>IF(Leads!A880="","",Leads!A880)</x:f>
      </x:c>
      <x:c r="B880" s="12" t="str">
        <x:f>IF(Leads!F880="","",Leads!F880)</x:f>
      </x:c>
      <x:c r="C880" s="12" t="str">
        <x:f>IF(Leads!G880="","",Leads!G880)</x:f>
      </x:c>
      <x:c r="D880" s="12" t="str">
        <x:f>IF(Leads!O880="","",Leads!O880)</x:f>
      </x:c>
      <x:c r="E880" s="12" t="str">
        <x:f>IF(Leads!AV880="","",Leads!AV880)</x:f>
      </x:c>
      <x:c r="F880" s="12" t="str">
        <x:f>IF(Leads!AX880="","",Leads!AX880)</x:f>
      </x:c>
      <x:c r="G880" s="12" t="str">
        <x:f>IF(Leads!BC880="","",Leads!BC880)</x:f>
      </x:c>
      <x:c r="H880" s="12" t="str">
        <x:f>IF(Leads!BE880="","",Leads!BE880)</x:f>
      </x:c>
      <x:c r="I880" s="12" t="str">
        <x:f>IF(Leads!BG880="","",Leads!BG880)</x:f>
      </x:c>
      <x:c r="J880" s="12" t="str">
        <x:f>IF(Leads!BH880="","",Leads!BH880)</x:f>
      </x:c>
      <x:c r="K880" s="12" t="str">
        <x:f>IF(A880="","","مرحبًا "&amp;C880&amp;CHAR(10)&amp;CHAR(10)&amp;"شكرًا لإتمام تقييم DBD الخاص بعيادة "&amp;B880&amp;"."&amp;CHAR(10)&amp;"نتيجتكم الحالية: "&amp;E880&amp;"%."&amp;CHAR(10)&amp;"أولوية التحسين الأولى: "&amp;F880&amp;"."&amp;IF(J880&lt;&gt;"",CHAR(10)&amp;CHAR(10)&amp;"رابط التقرير: "&amp;J880,"")&amp;CHAR(10)&amp;CHAR(10)&amp;"إذا أحببت، يمكننا مساعدتك في فهم التقرير وتحديد أفضل خطوة تالية لعيادتكم.")</x:f>
      </x:c>
      <x:c r="L880" s="12" t="str">
        <x:f>IF(D880="","",HYPERLINK("https://wa.me/"&amp;REGEXREPLACE(D880,"[^\d]","")&amp;"?text="&amp;ENCODEURL(K880),"واتساب 1"))</x:f>
      </x:c>
      <x:c r="M880" s="12" t="str">
        <x:f>IF(A880="","","مرحبًا "&amp;C880&amp;CHAR(10)&amp;CHAR(10)&amp;"بناءً على نتيجة تقييم عيادة "&amp;B880&amp;"، فإن الترشيح الأقوى لكم الآن هو: "&amp;G880&amp;"."&amp;CHAR(10)&amp;"هذا الخيار يساعدكم في معالجة أكبر فجوة حالية بشكل عملي ومباشر."&amp;IF(J880&lt;&gt;"",CHAR(10)&amp;CHAR(10)&amp;"رابط التقرير: "&amp;J880,"")&amp;CHAR(10)&amp;CHAR(10)&amp;"إذا رغبت، يمكننا توضيح لماذا هذا الكورس هو الأنسب لكم الآن.")</x:f>
      </x:c>
      <x:c r="N880" s="12" t="str">
        <x:f>IF(D880="","",HYPERLINK("https://wa.me/"&amp;REGEXREPLACE(D880,"[^\d]","")&amp;"?text="&amp;ENCODEURL(M880),"واتساب 2"))</x:f>
      </x:c>
      <x:c r="O880" s="12" t="str">
        <x:f>IF(A880="","","مرحبًا "&amp;C880&amp;CHAR(10)&amp;CHAR(10)&amp;"إذا كانت التحديات لديكم تحتاج حلًا أشمل، فالبرنامج الكامل المناسب لكم هو: "&amp;H880&amp;"."&amp;IF(I880&lt;&gt;"",CHAR(10)&amp;"كما يمكنكم أيضًا حجز: "&amp;I880&amp;".","")&amp;IF(J880&lt;&gt;"",CHAR(10)&amp;CHAR(10)&amp;"رابط التقرير: "&amp;J880,"")&amp;CHAR(10)&amp;CHAR(10)&amp;"يسعدنا مساعدتكم في اختيار المسار الأنسب حسب وضع العيادة الحالي.")</x:f>
      </x:c>
      <x:c r="P880" s="12" t="str">
        <x:f>IF(D880="","",HYPERLINK("https://wa.me/"&amp;REGEXREPLACE(D880,"[^\d]","")&amp;"?text="&amp;ENCODEURL(O880),"واتساب 3"))</x:f>
      </x:c>
    </x:row>
    <x:row r="881" ht="15" hidden="0" customHeight="1">
      <x:c r="A881" s="12" t="str">
        <x:f>IF(Leads!A881="","",Leads!A881)</x:f>
      </x:c>
      <x:c r="B881" s="12" t="str">
        <x:f>IF(Leads!F881="","",Leads!F881)</x:f>
      </x:c>
      <x:c r="C881" s="12" t="str">
        <x:f>IF(Leads!G881="","",Leads!G881)</x:f>
      </x:c>
      <x:c r="D881" s="12" t="str">
        <x:f>IF(Leads!O881="","",Leads!O881)</x:f>
      </x:c>
      <x:c r="E881" s="12" t="str">
        <x:f>IF(Leads!AV881="","",Leads!AV881)</x:f>
      </x:c>
      <x:c r="F881" s="12" t="str">
        <x:f>IF(Leads!AX881="","",Leads!AX881)</x:f>
      </x:c>
      <x:c r="G881" s="12" t="str">
        <x:f>IF(Leads!BC881="","",Leads!BC881)</x:f>
      </x:c>
      <x:c r="H881" s="12" t="str">
        <x:f>IF(Leads!BE881="","",Leads!BE881)</x:f>
      </x:c>
      <x:c r="I881" s="12" t="str">
        <x:f>IF(Leads!BG881="","",Leads!BG881)</x:f>
      </x:c>
      <x:c r="J881" s="12" t="str">
        <x:f>IF(Leads!BH881="","",Leads!BH881)</x:f>
      </x:c>
      <x:c r="K881" s="12" t="str">
        <x:f>IF(A881="","","مرحبًا "&amp;C881&amp;CHAR(10)&amp;CHAR(10)&amp;"شكرًا لإتمام تقييم DBD الخاص بعيادة "&amp;B881&amp;"."&amp;CHAR(10)&amp;"نتيجتكم الحالية: "&amp;E881&amp;"%."&amp;CHAR(10)&amp;"أولوية التحسين الأولى: "&amp;F881&amp;"."&amp;IF(J881&lt;&gt;"",CHAR(10)&amp;CHAR(10)&amp;"رابط التقرير: "&amp;J881,"")&amp;CHAR(10)&amp;CHAR(10)&amp;"إذا أحببت، يمكننا مساعدتك في فهم التقرير وتحديد أفضل خطوة تالية لعيادتكم.")</x:f>
      </x:c>
      <x:c r="L881" s="12" t="str">
        <x:f>IF(D881="","",HYPERLINK("https://wa.me/"&amp;REGEXREPLACE(D881,"[^\d]","")&amp;"?text="&amp;ENCODEURL(K881),"واتساب 1"))</x:f>
      </x:c>
      <x:c r="M881" s="12" t="str">
        <x:f>IF(A881="","","مرحبًا "&amp;C881&amp;CHAR(10)&amp;CHAR(10)&amp;"بناءً على نتيجة تقييم عيادة "&amp;B881&amp;"، فإن الترشيح الأقوى لكم الآن هو: "&amp;G881&amp;"."&amp;CHAR(10)&amp;"هذا الخيار يساعدكم في معالجة أكبر فجوة حالية بشكل عملي ومباشر."&amp;IF(J881&lt;&gt;"",CHAR(10)&amp;CHAR(10)&amp;"رابط التقرير: "&amp;J881,"")&amp;CHAR(10)&amp;CHAR(10)&amp;"إذا رغبت، يمكننا توضيح لماذا هذا الكورس هو الأنسب لكم الآن.")</x:f>
      </x:c>
      <x:c r="N881" s="12" t="str">
        <x:f>IF(D881="","",HYPERLINK("https://wa.me/"&amp;REGEXREPLACE(D881,"[^\d]","")&amp;"?text="&amp;ENCODEURL(M881),"واتساب 2"))</x:f>
      </x:c>
      <x:c r="O881" s="12" t="str">
        <x:f>IF(A881="","","مرحبًا "&amp;C881&amp;CHAR(10)&amp;CHAR(10)&amp;"إذا كانت التحديات لديكم تحتاج حلًا أشمل، فالبرنامج الكامل المناسب لكم هو: "&amp;H881&amp;"."&amp;IF(I881&lt;&gt;"",CHAR(10)&amp;"كما يمكنكم أيضًا حجز: "&amp;I881&amp;".","")&amp;IF(J881&lt;&gt;"",CHAR(10)&amp;CHAR(10)&amp;"رابط التقرير: "&amp;J881,"")&amp;CHAR(10)&amp;CHAR(10)&amp;"يسعدنا مساعدتكم في اختيار المسار الأنسب حسب وضع العيادة الحالي.")</x:f>
      </x:c>
      <x:c r="P881" s="12" t="str">
        <x:f>IF(D881="","",HYPERLINK("https://wa.me/"&amp;REGEXREPLACE(D881,"[^\d]","")&amp;"?text="&amp;ENCODEURL(O881),"واتساب 3"))</x:f>
      </x:c>
    </x:row>
    <x:row r="882" ht="15" hidden="0" customHeight="1">
      <x:c r="A882" s="12" t="str">
        <x:f>IF(Leads!A882="","",Leads!A882)</x:f>
      </x:c>
      <x:c r="B882" s="12" t="str">
        <x:f>IF(Leads!F882="","",Leads!F882)</x:f>
      </x:c>
      <x:c r="C882" s="12" t="str">
        <x:f>IF(Leads!G882="","",Leads!G882)</x:f>
      </x:c>
      <x:c r="D882" s="12" t="str">
        <x:f>IF(Leads!O882="","",Leads!O882)</x:f>
      </x:c>
      <x:c r="E882" s="12" t="str">
        <x:f>IF(Leads!AV882="","",Leads!AV882)</x:f>
      </x:c>
      <x:c r="F882" s="12" t="str">
        <x:f>IF(Leads!AX882="","",Leads!AX882)</x:f>
      </x:c>
      <x:c r="G882" s="12" t="str">
        <x:f>IF(Leads!BC882="","",Leads!BC882)</x:f>
      </x:c>
      <x:c r="H882" s="12" t="str">
        <x:f>IF(Leads!BE882="","",Leads!BE882)</x:f>
      </x:c>
      <x:c r="I882" s="12" t="str">
        <x:f>IF(Leads!BG882="","",Leads!BG882)</x:f>
      </x:c>
      <x:c r="J882" s="12" t="str">
        <x:f>IF(Leads!BH882="","",Leads!BH882)</x:f>
      </x:c>
      <x:c r="K882" s="12" t="str">
        <x:f>IF(A882="","","مرحبًا "&amp;C882&amp;CHAR(10)&amp;CHAR(10)&amp;"شكرًا لإتمام تقييم DBD الخاص بعيادة "&amp;B882&amp;"."&amp;CHAR(10)&amp;"نتيجتكم الحالية: "&amp;E882&amp;"%."&amp;CHAR(10)&amp;"أولوية التحسين الأولى: "&amp;F882&amp;"."&amp;IF(J882&lt;&gt;"",CHAR(10)&amp;CHAR(10)&amp;"رابط التقرير: "&amp;J882,"")&amp;CHAR(10)&amp;CHAR(10)&amp;"إذا أحببت، يمكننا مساعدتك في فهم التقرير وتحديد أفضل خطوة تالية لعيادتكم.")</x:f>
      </x:c>
      <x:c r="L882" s="12" t="str">
        <x:f>IF(D882="","",HYPERLINK("https://wa.me/"&amp;REGEXREPLACE(D882,"[^\d]","")&amp;"?text="&amp;ENCODEURL(K882),"واتساب 1"))</x:f>
      </x:c>
      <x:c r="M882" s="12" t="str">
        <x:f>IF(A882="","","مرحبًا "&amp;C882&amp;CHAR(10)&amp;CHAR(10)&amp;"بناءً على نتيجة تقييم عيادة "&amp;B882&amp;"، فإن الترشيح الأقوى لكم الآن هو: "&amp;G882&amp;"."&amp;CHAR(10)&amp;"هذا الخيار يساعدكم في معالجة أكبر فجوة حالية بشكل عملي ومباشر."&amp;IF(J882&lt;&gt;"",CHAR(10)&amp;CHAR(10)&amp;"رابط التقرير: "&amp;J882,"")&amp;CHAR(10)&amp;CHAR(10)&amp;"إذا رغبت، يمكننا توضيح لماذا هذا الكورس هو الأنسب لكم الآن.")</x:f>
      </x:c>
      <x:c r="N882" s="12" t="str">
        <x:f>IF(D882="","",HYPERLINK("https://wa.me/"&amp;REGEXREPLACE(D882,"[^\d]","")&amp;"?text="&amp;ENCODEURL(M882),"واتساب 2"))</x:f>
      </x:c>
      <x:c r="O882" s="12" t="str">
        <x:f>IF(A882="","","مرحبًا "&amp;C882&amp;CHAR(10)&amp;CHAR(10)&amp;"إذا كانت التحديات لديكم تحتاج حلًا أشمل، فالبرنامج الكامل المناسب لكم هو: "&amp;H882&amp;"."&amp;IF(I882&lt;&gt;"",CHAR(10)&amp;"كما يمكنكم أيضًا حجز: "&amp;I882&amp;".","")&amp;IF(J882&lt;&gt;"",CHAR(10)&amp;CHAR(10)&amp;"رابط التقرير: "&amp;J882,"")&amp;CHAR(10)&amp;CHAR(10)&amp;"يسعدنا مساعدتكم في اختيار المسار الأنسب حسب وضع العيادة الحالي.")</x:f>
      </x:c>
      <x:c r="P882" s="12" t="str">
        <x:f>IF(D882="","",HYPERLINK("https://wa.me/"&amp;REGEXREPLACE(D882,"[^\d]","")&amp;"?text="&amp;ENCODEURL(O882),"واتساب 3"))</x:f>
      </x:c>
    </x:row>
    <x:row r="883" ht="15" hidden="0" customHeight="1">
      <x:c r="A883" s="12" t="str">
        <x:f>IF(Leads!A883="","",Leads!A883)</x:f>
      </x:c>
      <x:c r="B883" s="12" t="str">
        <x:f>IF(Leads!F883="","",Leads!F883)</x:f>
      </x:c>
      <x:c r="C883" s="12" t="str">
        <x:f>IF(Leads!G883="","",Leads!G883)</x:f>
      </x:c>
      <x:c r="D883" s="12" t="str">
        <x:f>IF(Leads!O883="","",Leads!O883)</x:f>
      </x:c>
      <x:c r="E883" s="12" t="str">
        <x:f>IF(Leads!AV883="","",Leads!AV883)</x:f>
      </x:c>
      <x:c r="F883" s="12" t="str">
        <x:f>IF(Leads!AX883="","",Leads!AX883)</x:f>
      </x:c>
      <x:c r="G883" s="12" t="str">
        <x:f>IF(Leads!BC883="","",Leads!BC883)</x:f>
      </x:c>
      <x:c r="H883" s="12" t="str">
        <x:f>IF(Leads!BE883="","",Leads!BE883)</x:f>
      </x:c>
      <x:c r="I883" s="12" t="str">
        <x:f>IF(Leads!BG883="","",Leads!BG883)</x:f>
      </x:c>
      <x:c r="J883" s="12" t="str">
        <x:f>IF(Leads!BH883="","",Leads!BH883)</x:f>
      </x:c>
      <x:c r="K883" s="12" t="str">
        <x:f>IF(A883="","","مرحبًا "&amp;C883&amp;CHAR(10)&amp;CHAR(10)&amp;"شكرًا لإتمام تقييم DBD الخاص بعيادة "&amp;B883&amp;"."&amp;CHAR(10)&amp;"نتيجتكم الحالية: "&amp;E883&amp;"%."&amp;CHAR(10)&amp;"أولوية التحسين الأولى: "&amp;F883&amp;"."&amp;IF(J883&lt;&gt;"",CHAR(10)&amp;CHAR(10)&amp;"رابط التقرير: "&amp;J883,"")&amp;CHAR(10)&amp;CHAR(10)&amp;"إذا أحببت، يمكننا مساعدتك في فهم التقرير وتحديد أفضل خطوة تالية لعيادتكم.")</x:f>
      </x:c>
      <x:c r="L883" s="12" t="str">
        <x:f>IF(D883="","",HYPERLINK("https://wa.me/"&amp;REGEXREPLACE(D883,"[^\d]","")&amp;"?text="&amp;ENCODEURL(K883),"واتساب 1"))</x:f>
      </x:c>
      <x:c r="M883" s="12" t="str">
        <x:f>IF(A883="","","مرحبًا "&amp;C883&amp;CHAR(10)&amp;CHAR(10)&amp;"بناءً على نتيجة تقييم عيادة "&amp;B883&amp;"، فإن الترشيح الأقوى لكم الآن هو: "&amp;G883&amp;"."&amp;CHAR(10)&amp;"هذا الخيار يساعدكم في معالجة أكبر فجوة حالية بشكل عملي ومباشر."&amp;IF(J883&lt;&gt;"",CHAR(10)&amp;CHAR(10)&amp;"رابط التقرير: "&amp;J883,"")&amp;CHAR(10)&amp;CHAR(10)&amp;"إذا رغبت، يمكننا توضيح لماذا هذا الكورس هو الأنسب لكم الآن.")</x:f>
      </x:c>
      <x:c r="N883" s="12" t="str">
        <x:f>IF(D883="","",HYPERLINK("https://wa.me/"&amp;REGEXREPLACE(D883,"[^\d]","")&amp;"?text="&amp;ENCODEURL(M883),"واتساب 2"))</x:f>
      </x:c>
      <x:c r="O883" s="12" t="str">
        <x:f>IF(A883="","","مرحبًا "&amp;C883&amp;CHAR(10)&amp;CHAR(10)&amp;"إذا كانت التحديات لديكم تحتاج حلًا أشمل، فالبرنامج الكامل المناسب لكم هو: "&amp;H883&amp;"."&amp;IF(I883&lt;&gt;"",CHAR(10)&amp;"كما يمكنكم أيضًا حجز: "&amp;I883&amp;".","")&amp;IF(J883&lt;&gt;"",CHAR(10)&amp;CHAR(10)&amp;"رابط التقرير: "&amp;J883,"")&amp;CHAR(10)&amp;CHAR(10)&amp;"يسعدنا مساعدتكم في اختيار المسار الأنسب حسب وضع العيادة الحالي.")</x:f>
      </x:c>
      <x:c r="P883" s="12" t="str">
        <x:f>IF(D883="","",HYPERLINK("https://wa.me/"&amp;REGEXREPLACE(D883,"[^\d]","")&amp;"?text="&amp;ENCODEURL(O883),"واتساب 3"))</x:f>
      </x:c>
    </x:row>
    <x:row r="884" ht="15" hidden="0" customHeight="1">
      <x:c r="A884" s="12" t="str">
        <x:f>IF(Leads!A884="","",Leads!A884)</x:f>
      </x:c>
      <x:c r="B884" s="12" t="str">
        <x:f>IF(Leads!F884="","",Leads!F884)</x:f>
      </x:c>
      <x:c r="C884" s="12" t="str">
        <x:f>IF(Leads!G884="","",Leads!G884)</x:f>
      </x:c>
      <x:c r="D884" s="12" t="str">
        <x:f>IF(Leads!O884="","",Leads!O884)</x:f>
      </x:c>
      <x:c r="E884" s="12" t="str">
        <x:f>IF(Leads!AV884="","",Leads!AV884)</x:f>
      </x:c>
      <x:c r="F884" s="12" t="str">
        <x:f>IF(Leads!AX884="","",Leads!AX884)</x:f>
      </x:c>
      <x:c r="G884" s="12" t="str">
        <x:f>IF(Leads!BC884="","",Leads!BC884)</x:f>
      </x:c>
      <x:c r="H884" s="12" t="str">
        <x:f>IF(Leads!BE884="","",Leads!BE884)</x:f>
      </x:c>
      <x:c r="I884" s="12" t="str">
        <x:f>IF(Leads!BG884="","",Leads!BG884)</x:f>
      </x:c>
      <x:c r="J884" s="12" t="str">
        <x:f>IF(Leads!BH884="","",Leads!BH884)</x:f>
      </x:c>
      <x:c r="K884" s="12" t="str">
        <x:f>IF(A884="","","مرحبًا "&amp;C884&amp;CHAR(10)&amp;CHAR(10)&amp;"شكرًا لإتمام تقييم DBD الخاص بعيادة "&amp;B884&amp;"."&amp;CHAR(10)&amp;"نتيجتكم الحالية: "&amp;E884&amp;"%."&amp;CHAR(10)&amp;"أولوية التحسين الأولى: "&amp;F884&amp;"."&amp;IF(J884&lt;&gt;"",CHAR(10)&amp;CHAR(10)&amp;"رابط التقرير: "&amp;J884,"")&amp;CHAR(10)&amp;CHAR(10)&amp;"إذا أحببت، يمكننا مساعدتك في فهم التقرير وتحديد أفضل خطوة تالية لعيادتكم.")</x:f>
      </x:c>
      <x:c r="L884" s="12" t="str">
        <x:f>IF(D884="","",HYPERLINK("https://wa.me/"&amp;REGEXREPLACE(D884,"[^\d]","")&amp;"?text="&amp;ENCODEURL(K884),"واتساب 1"))</x:f>
      </x:c>
      <x:c r="M884" s="12" t="str">
        <x:f>IF(A884="","","مرحبًا "&amp;C884&amp;CHAR(10)&amp;CHAR(10)&amp;"بناءً على نتيجة تقييم عيادة "&amp;B884&amp;"، فإن الترشيح الأقوى لكم الآن هو: "&amp;G884&amp;"."&amp;CHAR(10)&amp;"هذا الخيار يساعدكم في معالجة أكبر فجوة حالية بشكل عملي ومباشر."&amp;IF(J884&lt;&gt;"",CHAR(10)&amp;CHAR(10)&amp;"رابط التقرير: "&amp;J884,"")&amp;CHAR(10)&amp;CHAR(10)&amp;"إذا رغبت، يمكننا توضيح لماذا هذا الكورس هو الأنسب لكم الآن.")</x:f>
      </x:c>
      <x:c r="N884" s="12" t="str">
        <x:f>IF(D884="","",HYPERLINK("https://wa.me/"&amp;REGEXREPLACE(D884,"[^\d]","")&amp;"?text="&amp;ENCODEURL(M884),"واتساب 2"))</x:f>
      </x:c>
      <x:c r="O884" s="12" t="str">
        <x:f>IF(A884="","","مرحبًا "&amp;C884&amp;CHAR(10)&amp;CHAR(10)&amp;"إذا كانت التحديات لديكم تحتاج حلًا أشمل، فالبرنامج الكامل المناسب لكم هو: "&amp;H884&amp;"."&amp;IF(I884&lt;&gt;"",CHAR(10)&amp;"كما يمكنكم أيضًا حجز: "&amp;I884&amp;".","")&amp;IF(J884&lt;&gt;"",CHAR(10)&amp;CHAR(10)&amp;"رابط التقرير: "&amp;J884,"")&amp;CHAR(10)&amp;CHAR(10)&amp;"يسعدنا مساعدتكم في اختيار المسار الأنسب حسب وضع العيادة الحالي.")</x:f>
      </x:c>
      <x:c r="P884" s="12" t="str">
        <x:f>IF(D884="","",HYPERLINK("https://wa.me/"&amp;REGEXREPLACE(D884,"[^\d]","")&amp;"?text="&amp;ENCODEURL(O884),"واتساب 3"))</x:f>
      </x:c>
    </x:row>
    <x:row r="885" ht="15" hidden="0" customHeight="1">
      <x:c r="A885" s="12" t="str">
        <x:f>IF(Leads!A885="","",Leads!A885)</x:f>
      </x:c>
      <x:c r="B885" s="12" t="str">
        <x:f>IF(Leads!F885="","",Leads!F885)</x:f>
      </x:c>
      <x:c r="C885" s="12" t="str">
        <x:f>IF(Leads!G885="","",Leads!G885)</x:f>
      </x:c>
      <x:c r="D885" s="12" t="str">
        <x:f>IF(Leads!O885="","",Leads!O885)</x:f>
      </x:c>
      <x:c r="E885" s="12" t="str">
        <x:f>IF(Leads!AV885="","",Leads!AV885)</x:f>
      </x:c>
      <x:c r="F885" s="12" t="str">
        <x:f>IF(Leads!AX885="","",Leads!AX885)</x:f>
      </x:c>
      <x:c r="G885" s="12" t="str">
        <x:f>IF(Leads!BC885="","",Leads!BC885)</x:f>
      </x:c>
      <x:c r="H885" s="12" t="str">
        <x:f>IF(Leads!BE885="","",Leads!BE885)</x:f>
      </x:c>
      <x:c r="I885" s="12" t="str">
        <x:f>IF(Leads!BG885="","",Leads!BG885)</x:f>
      </x:c>
      <x:c r="J885" s="12" t="str">
        <x:f>IF(Leads!BH885="","",Leads!BH885)</x:f>
      </x:c>
      <x:c r="K885" s="12" t="str">
        <x:f>IF(A885="","","مرحبًا "&amp;C885&amp;CHAR(10)&amp;CHAR(10)&amp;"شكرًا لإتمام تقييم DBD الخاص بعيادة "&amp;B885&amp;"."&amp;CHAR(10)&amp;"نتيجتكم الحالية: "&amp;E885&amp;"%."&amp;CHAR(10)&amp;"أولوية التحسين الأولى: "&amp;F885&amp;"."&amp;IF(J885&lt;&gt;"",CHAR(10)&amp;CHAR(10)&amp;"رابط التقرير: "&amp;J885,"")&amp;CHAR(10)&amp;CHAR(10)&amp;"إذا أحببت، يمكننا مساعدتك في فهم التقرير وتحديد أفضل خطوة تالية لعيادتكم.")</x:f>
      </x:c>
      <x:c r="L885" s="12" t="str">
        <x:f>IF(D885="","",HYPERLINK("https://wa.me/"&amp;REGEXREPLACE(D885,"[^\d]","")&amp;"?text="&amp;ENCODEURL(K885),"واتساب 1"))</x:f>
      </x:c>
      <x:c r="M885" s="12" t="str">
        <x:f>IF(A885="","","مرحبًا "&amp;C885&amp;CHAR(10)&amp;CHAR(10)&amp;"بناءً على نتيجة تقييم عيادة "&amp;B885&amp;"، فإن الترشيح الأقوى لكم الآن هو: "&amp;G885&amp;"."&amp;CHAR(10)&amp;"هذا الخيار يساعدكم في معالجة أكبر فجوة حالية بشكل عملي ومباشر."&amp;IF(J885&lt;&gt;"",CHAR(10)&amp;CHAR(10)&amp;"رابط التقرير: "&amp;J885,"")&amp;CHAR(10)&amp;CHAR(10)&amp;"إذا رغبت، يمكننا توضيح لماذا هذا الكورس هو الأنسب لكم الآن.")</x:f>
      </x:c>
      <x:c r="N885" s="12" t="str">
        <x:f>IF(D885="","",HYPERLINK("https://wa.me/"&amp;REGEXREPLACE(D885,"[^\d]","")&amp;"?text="&amp;ENCODEURL(M885),"واتساب 2"))</x:f>
      </x:c>
      <x:c r="O885" s="12" t="str">
        <x:f>IF(A885="","","مرحبًا "&amp;C885&amp;CHAR(10)&amp;CHAR(10)&amp;"إذا كانت التحديات لديكم تحتاج حلًا أشمل، فالبرنامج الكامل المناسب لكم هو: "&amp;H885&amp;"."&amp;IF(I885&lt;&gt;"",CHAR(10)&amp;"كما يمكنكم أيضًا حجز: "&amp;I885&amp;".","")&amp;IF(J885&lt;&gt;"",CHAR(10)&amp;CHAR(10)&amp;"رابط التقرير: "&amp;J885,"")&amp;CHAR(10)&amp;CHAR(10)&amp;"يسعدنا مساعدتكم في اختيار المسار الأنسب حسب وضع العيادة الحالي.")</x:f>
      </x:c>
      <x:c r="P885" s="12" t="str">
        <x:f>IF(D885="","",HYPERLINK("https://wa.me/"&amp;REGEXREPLACE(D885,"[^\d]","")&amp;"?text="&amp;ENCODEURL(O885),"واتساب 3"))</x:f>
      </x:c>
    </x:row>
    <x:row r="886" ht="15" hidden="0" customHeight="1">
      <x:c r="A886" s="12" t="str">
        <x:f>IF(Leads!A886="","",Leads!A886)</x:f>
      </x:c>
      <x:c r="B886" s="12" t="str">
        <x:f>IF(Leads!F886="","",Leads!F886)</x:f>
      </x:c>
      <x:c r="C886" s="12" t="str">
        <x:f>IF(Leads!G886="","",Leads!G886)</x:f>
      </x:c>
      <x:c r="D886" s="12" t="str">
        <x:f>IF(Leads!O886="","",Leads!O886)</x:f>
      </x:c>
      <x:c r="E886" s="12" t="str">
        <x:f>IF(Leads!AV886="","",Leads!AV886)</x:f>
      </x:c>
      <x:c r="F886" s="12" t="str">
        <x:f>IF(Leads!AX886="","",Leads!AX886)</x:f>
      </x:c>
      <x:c r="G886" s="12" t="str">
        <x:f>IF(Leads!BC886="","",Leads!BC886)</x:f>
      </x:c>
      <x:c r="H886" s="12" t="str">
        <x:f>IF(Leads!BE886="","",Leads!BE886)</x:f>
      </x:c>
      <x:c r="I886" s="12" t="str">
        <x:f>IF(Leads!BG886="","",Leads!BG886)</x:f>
      </x:c>
      <x:c r="J886" s="12" t="str">
        <x:f>IF(Leads!BH886="","",Leads!BH886)</x:f>
      </x:c>
      <x:c r="K886" s="12" t="str">
        <x:f>IF(A886="","","مرحبًا "&amp;C886&amp;CHAR(10)&amp;CHAR(10)&amp;"شكرًا لإتمام تقييم DBD الخاص بعيادة "&amp;B886&amp;"."&amp;CHAR(10)&amp;"نتيجتكم الحالية: "&amp;E886&amp;"%."&amp;CHAR(10)&amp;"أولوية التحسين الأولى: "&amp;F886&amp;"."&amp;IF(J886&lt;&gt;"",CHAR(10)&amp;CHAR(10)&amp;"رابط التقرير: "&amp;J886,"")&amp;CHAR(10)&amp;CHAR(10)&amp;"إذا أحببت، يمكننا مساعدتك في فهم التقرير وتحديد أفضل خطوة تالية لعيادتكم.")</x:f>
      </x:c>
      <x:c r="L886" s="12" t="str">
        <x:f>IF(D886="","",HYPERLINK("https://wa.me/"&amp;REGEXREPLACE(D886,"[^\d]","")&amp;"?text="&amp;ENCODEURL(K886),"واتساب 1"))</x:f>
      </x:c>
      <x:c r="M886" s="12" t="str">
        <x:f>IF(A886="","","مرحبًا "&amp;C886&amp;CHAR(10)&amp;CHAR(10)&amp;"بناءً على نتيجة تقييم عيادة "&amp;B886&amp;"، فإن الترشيح الأقوى لكم الآن هو: "&amp;G886&amp;"."&amp;CHAR(10)&amp;"هذا الخيار يساعدكم في معالجة أكبر فجوة حالية بشكل عملي ومباشر."&amp;IF(J886&lt;&gt;"",CHAR(10)&amp;CHAR(10)&amp;"رابط التقرير: "&amp;J886,"")&amp;CHAR(10)&amp;CHAR(10)&amp;"إذا رغبت، يمكننا توضيح لماذا هذا الكورس هو الأنسب لكم الآن.")</x:f>
      </x:c>
      <x:c r="N886" s="12" t="str">
        <x:f>IF(D886="","",HYPERLINK("https://wa.me/"&amp;REGEXREPLACE(D886,"[^\d]","")&amp;"?text="&amp;ENCODEURL(M886),"واتساب 2"))</x:f>
      </x:c>
      <x:c r="O886" s="12" t="str">
        <x:f>IF(A886="","","مرحبًا "&amp;C886&amp;CHAR(10)&amp;CHAR(10)&amp;"إذا كانت التحديات لديكم تحتاج حلًا أشمل، فالبرنامج الكامل المناسب لكم هو: "&amp;H886&amp;"."&amp;IF(I886&lt;&gt;"",CHAR(10)&amp;"كما يمكنكم أيضًا حجز: "&amp;I886&amp;".","")&amp;IF(J886&lt;&gt;"",CHAR(10)&amp;CHAR(10)&amp;"رابط التقرير: "&amp;J886,"")&amp;CHAR(10)&amp;CHAR(10)&amp;"يسعدنا مساعدتكم في اختيار المسار الأنسب حسب وضع العيادة الحالي.")</x:f>
      </x:c>
      <x:c r="P886" s="12" t="str">
        <x:f>IF(D886="","",HYPERLINK("https://wa.me/"&amp;REGEXREPLACE(D886,"[^\d]","")&amp;"?text="&amp;ENCODEURL(O886),"واتساب 3"))</x:f>
      </x:c>
    </x:row>
    <x:row r="887" ht="15" hidden="0" customHeight="1">
      <x:c r="A887" s="12" t="str">
        <x:f>IF(Leads!A887="","",Leads!A887)</x:f>
      </x:c>
      <x:c r="B887" s="12" t="str">
        <x:f>IF(Leads!F887="","",Leads!F887)</x:f>
      </x:c>
      <x:c r="C887" s="12" t="str">
        <x:f>IF(Leads!G887="","",Leads!G887)</x:f>
      </x:c>
      <x:c r="D887" s="12" t="str">
        <x:f>IF(Leads!O887="","",Leads!O887)</x:f>
      </x:c>
      <x:c r="E887" s="12" t="str">
        <x:f>IF(Leads!AV887="","",Leads!AV887)</x:f>
      </x:c>
      <x:c r="F887" s="12" t="str">
        <x:f>IF(Leads!AX887="","",Leads!AX887)</x:f>
      </x:c>
      <x:c r="G887" s="12" t="str">
        <x:f>IF(Leads!BC887="","",Leads!BC887)</x:f>
      </x:c>
      <x:c r="H887" s="12" t="str">
        <x:f>IF(Leads!BE887="","",Leads!BE887)</x:f>
      </x:c>
      <x:c r="I887" s="12" t="str">
        <x:f>IF(Leads!BG887="","",Leads!BG887)</x:f>
      </x:c>
      <x:c r="J887" s="12" t="str">
        <x:f>IF(Leads!BH887="","",Leads!BH887)</x:f>
      </x:c>
      <x:c r="K887" s="12" t="str">
        <x:f>IF(A887="","","مرحبًا "&amp;C887&amp;CHAR(10)&amp;CHAR(10)&amp;"شكرًا لإتمام تقييم DBD الخاص بعيادة "&amp;B887&amp;"."&amp;CHAR(10)&amp;"نتيجتكم الحالية: "&amp;E887&amp;"%."&amp;CHAR(10)&amp;"أولوية التحسين الأولى: "&amp;F887&amp;"."&amp;IF(J887&lt;&gt;"",CHAR(10)&amp;CHAR(10)&amp;"رابط التقرير: "&amp;J887,"")&amp;CHAR(10)&amp;CHAR(10)&amp;"إذا أحببت، يمكننا مساعدتك في فهم التقرير وتحديد أفضل خطوة تالية لعيادتكم.")</x:f>
      </x:c>
      <x:c r="L887" s="12" t="str">
        <x:f>IF(D887="","",HYPERLINK("https://wa.me/"&amp;REGEXREPLACE(D887,"[^\d]","")&amp;"?text="&amp;ENCODEURL(K887),"واتساب 1"))</x:f>
      </x:c>
      <x:c r="M887" s="12" t="str">
        <x:f>IF(A887="","","مرحبًا "&amp;C887&amp;CHAR(10)&amp;CHAR(10)&amp;"بناءً على نتيجة تقييم عيادة "&amp;B887&amp;"، فإن الترشيح الأقوى لكم الآن هو: "&amp;G887&amp;"."&amp;CHAR(10)&amp;"هذا الخيار يساعدكم في معالجة أكبر فجوة حالية بشكل عملي ومباشر."&amp;IF(J887&lt;&gt;"",CHAR(10)&amp;CHAR(10)&amp;"رابط التقرير: "&amp;J887,"")&amp;CHAR(10)&amp;CHAR(10)&amp;"إذا رغبت، يمكننا توضيح لماذا هذا الكورس هو الأنسب لكم الآن.")</x:f>
      </x:c>
      <x:c r="N887" s="12" t="str">
        <x:f>IF(D887="","",HYPERLINK("https://wa.me/"&amp;REGEXREPLACE(D887,"[^\d]","")&amp;"?text="&amp;ENCODEURL(M887),"واتساب 2"))</x:f>
      </x:c>
      <x:c r="O887" s="12" t="str">
        <x:f>IF(A887="","","مرحبًا "&amp;C887&amp;CHAR(10)&amp;CHAR(10)&amp;"إذا كانت التحديات لديكم تحتاج حلًا أشمل، فالبرنامج الكامل المناسب لكم هو: "&amp;H887&amp;"."&amp;IF(I887&lt;&gt;"",CHAR(10)&amp;"كما يمكنكم أيضًا حجز: "&amp;I887&amp;".","")&amp;IF(J887&lt;&gt;"",CHAR(10)&amp;CHAR(10)&amp;"رابط التقرير: "&amp;J887,"")&amp;CHAR(10)&amp;CHAR(10)&amp;"يسعدنا مساعدتكم في اختيار المسار الأنسب حسب وضع العيادة الحالي.")</x:f>
      </x:c>
      <x:c r="P887" s="12" t="str">
        <x:f>IF(D887="","",HYPERLINK("https://wa.me/"&amp;REGEXREPLACE(D887,"[^\d]","")&amp;"?text="&amp;ENCODEURL(O887),"واتساب 3"))</x:f>
      </x:c>
    </x:row>
    <x:row r="888" ht="15" hidden="0" customHeight="1">
      <x:c r="A888" s="12" t="str">
        <x:f>IF(Leads!A888="","",Leads!A888)</x:f>
      </x:c>
      <x:c r="B888" s="12" t="str">
        <x:f>IF(Leads!F888="","",Leads!F888)</x:f>
      </x:c>
      <x:c r="C888" s="12" t="str">
        <x:f>IF(Leads!G888="","",Leads!G888)</x:f>
      </x:c>
      <x:c r="D888" s="12" t="str">
        <x:f>IF(Leads!O888="","",Leads!O888)</x:f>
      </x:c>
      <x:c r="E888" s="12" t="str">
        <x:f>IF(Leads!AV888="","",Leads!AV888)</x:f>
      </x:c>
      <x:c r="F888" s="12" t="str">
        <x:f>IF(Leads!AX888="","",Leads!AX888)</x:f>
      </x:c>
      <x:c r="G888" s="12" t="str">
        <x:f>IF(Leads!BC888="","",Leads!BC888)</x:f>
      </x:c>
      <x:c r="H888" s="12" t="str">
        <x:f>IF(Leads!BE888="","",Leads!BE888)</x:f>
      </x:c>
      <x:c r="I888" s="12" t="str">
        <x:f>IF(Leads!BG888="","",Leads!BG888)</x:f>
      </x:c>
      <x:c r="J888" s="12" t="str">
        <x:f>IF(Leads!BH888="","",Leads!BH888)</x:f>
      </x:c>
      <x:c r="K888" s="12" t="str">
        <x:f>IF(A888="","","مرحبًا "&amp;C888&amp;CHAR(10)&amp;CHAR(10)&amp;"شكرًا لإتمام تقييم DBD الخاص بعيادة "&amp;B888&amp;"."&amp;CHAR(10)&amp;"نتيجتكم الحالية: "&amp;E888&amp;"%."&amp;CHAR(10)&amp;"أولوية التحسين الأولى: "&amp;F888&amp;"."&amp;IF(J888&lt;&gt;"",CHAR(10)&amp;CHAR(10)&amp;"رابط التقرير: "&amp;J888,"")&amp;CHAR(10)&amp;CHAR(10)&amp;"إذا أحببت، يمكننا مساعدتك في فهم التقرير وتحديد أفضل خطوة تالية لعيادتكم.")</x:f>
      </x:c>
      <x:c r="L888" s="12" t="str">
        <x:f>IF(D888="","",HYPERLINK("https://wa.me/"&amp;REGEXREPLACE(D888,"[^\d]","")&amp;"?text="&amp;ENCODEURL(K888),"واتساب 1"))</x:f>
      </x:c>
      <x:c r="M888" s="12" t="str">
        <x:f>IF(A888="","","مرحبًا "&amp;C888&amp;CHAR(10)&amp;CHAR(10)&amp;"بناءً على نتيجة تقييم عيادة "&amp;B888&amp;"، فإن الترشيح الأقوى لكم الآن هو: "&amp;G888&amp;"."&amp;CHAR(10)&amp;"هذا الخيار يساعدكم في معالجة أكبر فجوة حالية بشكل عملي ومباشر."&amp;IF(J888&lt;&gt;"",CHAR(10)&amp;CHAR(10)&amp;"رابط التقرير: "&amp;J888,"")&amp;CHAR(10)&amp;CHAR(10)&amp;"إذا رغبت، يمكننا توضيح لماذا هذا الكورس هو الأنسب لكم الآن.")</x:f>
      </x:c>
      <x:c r="N888" s="12" t="str">
        <x:f>IF(D888="","",HYPERLINK("https://wa.me/"&amp;REGEXREPLACE(D888,"[^\d]","")&amp;"?text="&amp;ENCODEURL(M888),"واتساب 2"))</x:f>
      </x:c>
      <x:c r="O888" s="12" t="str">
        <x:f>IF(A888="","","مرحبًا "&amp;C888&amp;CHAR(10)&amp;CHAR(10)&amp;"إذا كانت التحديات لديكم تحتاج حلًا أشمل، فالبرنامج الكامل المناسب لكم هو: "&amp;H888&amp;"."&amp;IF(I888&lt;&gt;"",CHAR(10)&amp;"كما يمكنكم أيضًا حجز: "&amp;I888&amp;".","")&amp;IF(J888&lt;&gt;"",CHAR(10)&amp;CHAR(10)&amp;"رابط التقرير: "&amp;J888,"")&amp;CHAR(10)&amp;CHAR(10)&amp;"يسعدنا مساعدتكم في اختيار المسار الأنسب حسب وضع العيادة الحالي.")</x:f>
      </x:c>
      <x:c r="P888" s="12" t="str">
        <x:f>IF(D888="","",HYPERLINK("https://wa.me/"&amp;REGEXREPLACE(D888,"[^\d]","")&amp;"?text="&amp;ENCODEURL(O888),"واتساب 3"))</x:f>
      </x:c>
    </x:row>
    <x:row r="889" ht="15" hidden="0" customHeight="1">
      <x:c r="A889" s="12" t="str">
        <x:f>IF(Leads!A889="","",Leads!A889)</x:f>
      </x:c>
      <x:c r="B889" s="12" t="str">
        <x:f>IF(Leads!F889="","",Leads!F889)</x:f>
      </x:c>
      <x:c r="C889" s="12" t="str">
        <x:f>IF(Leads!G889="","",Leads!G889)</x:f>
      </x:c>
      <x:c r="D889" s="12" t="str">
        <x:f>IF(Leads!O889="","",Leads!O889)</x:f>
      </x:c>
      <x:c r="E889" s="12" t="str">
        <x:f>IF(Leads!AV889="","",Leads!AV889)</x:f>
      </x:c>
      <x:c r="F889" s="12" t="str">
        <x:f>IF(Leads!AX889="","",Leads!AX889)</x:f>
      </x:c>
      <x:c r="G889" s="12" t="str">
        <x:f>IF(Leads!BC889="","",Leads!BC889)</x:f>
      </x:c>
      <x:c r="H889" s="12" t="str">
        <x:f>IF(Leads!BE889="","",Leads!BE889)</x:f>
      </x:c>
      <x:c r="I889" s="12" t="str">
        <x:f>IF(Leads!BG889="","",Leads!BG889)</x:f>
      </x:c>
      <x:c r="J889" s="12" t="str">
        <x:f>IF(Leads!BH889="","",Leads!BH889)</x:f>
      </x:c>
      <x:c r="K889" s="12" t="str">
        <x:f>IF(A889="","","مرحبًا "&amp;C889&amp;CHAR(10)&amp;CHAR(10)&amp;"شكرًا لإتمام تقييم DBD الخاص بعيادة "&amp;B889&amp;"."&amp;CHAR(10)&amp;"نتيجتكم الحالية: "&amp;E889&amp;"%."&amp;CHAR(10)&amp;"أولوية التحسين الأولى: "&amp;F889&amp;"."&amp;IF(J889&lt;&gt;"",CHAR(10)&amp;CHAR(10)&amp;"رابط التقرير: "&amp;J889,"")&amp;CHAR(10)&amp;CHAR(10)&amp;"إذا أحببت، يمكننا مساعدتك في فهم التقرير وتحديد أفضل خطوة تالية لعيادتكم.")</x:f>
      </x:c>
      <x:c r="L889" s="12" t="str">
        <x:f>IF(D889="","",HYPERLINK("https://wa.me/"&amp;REGEXREPLACE(D889,"[^\d]","")&amp;"?text="&amp;ENCODEURL(K889),"واتساب 1"))</x:f>
      </x:c>
      <x:c r="M889" s="12" t="str">
        <x:f>IF(A889="","","مرحبًا "&amp;C889&amp;CHAR(10)&amp;CHAR(10)&amp;"بناءً على نتيجة تقييم عيادة "&amp;B889&amp;"، فإن الترشيح الأقوى لكم الآن هو: "&amp;G889&amp;"."&amp;CHAR(10)&amp;"هذا الخيار يساعدكم في معالجة أكبر فجوة حالية بشكل عملي ومباشر."&amp;IF(J889&lt;&gt;"",CHAR(10)&amp;CHAR(10)&amp;"رابط التقرير: "&amp;J889,"")&amp;CHAR(10)&amp;CHAR(10)&amp;"إذا رغبت، يمكننا توضيح لماذا هذا الكورس هو الأنسب لكم الآن.")</x:f>
      </x:c>
      <x:c r="N889" s="12" t="str">
        <x:f>IF(D889="","",HYPERLINK("https://wa.me/"&amp;REGEXREPLACE(D889,"[^\d]","")&amp;"?text="&amp;ENCODEURL(M889),"واتساب 2"))</x:f>
      </x:c>
      <x:c r="O889" s="12" t="str">
        <x:f>IF(A889="","","مرحبًا "&amp;C889&amp;CHAR(10)&amp;CHAR(10)&amp;"إذا كانت التحديات لديكم تحتاج حلًا أشمل، فالبرنامج الكامل المناسب لكم هو: "&amp;H889&amp;"."&amp;IF(I889&lt;&gt;"",CHAR(10)&amp;"كما يمكنكم أيضًا حجز: "&amp;I889&amp;".","")&amp;IF(J889&lt;&gt;"",CHAR(10)&amp;CHAR(10)&amp;"رابط التقرير: "&amp;J889,"")&amp;CHAR(10)&amp;CHAR(10)&amp;"يسعدنا مساعدتكم في اختيار المسار الأنسب حسب وضع العيادة الحالي.")</x:f>
      </x:c>
      <x:c r="P889" s="12" t="str">
        <x:f>IF(D889="","",HYPERLINK("https://wa.me/"&amp;REGEXREPLACE(D889,"[^\d]","")&amp;"?text="&amp;ENCODEURL(O889),"واتساب 3"))</x:f>
      </x:c>
    </x:row>
    <x:row r="890" ht="15" hidden="0" customHeight="1">
      <x:c r="A890" s="12" t="str">
        <x:f>IF(Leads!A890="","",Leads!A890)</x:f>
      </x:c>
      <x:c r="B890" s="12" t="str">
        <x:f>IF(Leads!F890="","",Leads!F890)</x:f>
      </x:c>
      <x:c r="C890" s="12" t="str">
        <x:f>IF(Leads!G890="","",Leads!G890)</x:f>
      </x:c>
      <x:c r="D890" s="12" t="str">
        <x:f>IF(Leads!O890="","",Leads!O890)</x:f>
      </x:c>
      <x:c r="E890" s="12" t="str">
        <x:f>IF(Leads!AV890="","",Leads!AV890)</x:f>
      </x:c>
      <x:c r="F890" s="12" t="str">
        <x:f>IF(Leads!AX890="","",Leads!AX890)</x:f>
      </x:c>
      <x:c r="G890" s="12" t="str">
        <x:f>IF(Leads!BC890="","",Leads!BC890)</x:f>
      </x:c>
      <x:c r="H890" s="12" t="str">
        <x:f>IF(Leads!BE890="","",Leads!BE890)</x:f>
      </x:c>
      <x:c r="I890" s="12" t="str">
        <x:f>IF(Leads!BG890="","",Leads!BG890)</x:f>
      </x:c>
      <x:c r="J890" s="12" t="str">
        <x:f>IF(Leads!BH890="","",Leads!BH890)</x:f>
      </x:c>
      <x:c r="K890" s="12" t="str">
        <x:f>IF(A890="","","مرحبًا "&amp;C890&amp;CHAR(10)&amp;CHAR(10)&amp;"شكرًا لإتمام تقييم DBD الخاص بعيادة "&amp;B890&amp;"."&amp;CHAR(10)&amp;"نتيجتكم الحالية: "&amp;E890&amp;"%."&amp;CHAR(10)&amp;"أولوية التحسين الأولى: "&amp;F890&amp;"."&amp;IF(J890&lt;&gt;"",CHAR(10)&amp;CHAR(10)&amp;"رابط التقرير: "&amp;J890,"")&amp;CHAR(10)&amp;CHAR(10)&amp;"إذا أحببت، يمكننا مساعدتك في فهم التقرير وتحديد أفضل خطوة تالية لعيادتكم.")</x:f>
      </x:c>
      <x:c r="L890" s="12" t="str">
        <x:f>IF(D890="","",HYPERLINK("https://wa.me/"&amp;REGEXREPLACE(D890,"[^\d]","")&amp;"?text="&amp;ENCODEURL(K890),"واتساب 1"))</x:f>
      </x:c>
      <x:c r="M890" s="12" t="str">
        <x:f>IF(A890="","","مرحبًا "&amp;C890&amp;CHAR(10)&amp;CHAR(10)&amp;"بناءً على نتيجة تقييم عيادة "&amp;B890&amp;"، فإن الترشيح الأقوى لكم الآن هو: "&amp;G890&amp;"."&amp;CHAR(10)&amp;"هذا الخيار يساعدكم في معالجة أكبر فجوة حالية بشكل عملي ومباشر."&amp;IF(J890&lt;&gt;"",CHAR(10)&amp;CHAR(10)&amp;"رابط التقرير: "&amp;J890,"")&amp;CHAR(10)&amp;CHAR(10)&amp;"إذا رغبت، يمكننا توضيح لماذا هذا الكورس هو الأنسب لكم الآن.")</x:f>
      </x:c>
      <x:c r="N890" s="12" t="str">
        <x:f>IF(D890="","",HYPERLINK("https://wa.me/"&amp;REGEXREPLACE(D890,"[^\d]","")&amp;"?text="&amp;ENCODEURL(M890),"واتساب 2"))</x:f>
      </x:c>
      <x:c r="O890" s="12" t="str">
        <x:f>IF(A890="","","مرحبًا "&amp;C890&amp;CHAR(10)&amp;CHAR(10)&amp;"إذا كانت التحديات لديكم تحتاج حلًا أشمل، فالبرنامج الكامل المناسب لكم هو: "&amp;H890&amp;"."&amp;IF(I890&lt;&gt;"",CHAR(10)&amp;"كما يمكنكم أيضًا حجز: "&amp;I890&amp;".","")&amp;IF(J890&lt;&gt;"",CHAR(10)&amp;CHAR(10)&amp;"رابط التقرير: "&amp;J890,"")&amp;CHAR(10)&amp;CHAR(10)&amp;"يسعدنا مساعدتكم في اختيار المسار الأنسب حسب وضع العيادة الحالي.")</x:f>
      </x:c>
      <x:c r="P890" s="12" t="str">
        <x:f>IF(D890="","",HYPERLINK("https://wa.me/"&amp;REGEXREPLACE(D890,"[^\d]","")&amp;"?text="&amp;ENCODEURL(O890),"واتساب 3"))</x:f>
      </x:c>
    </x:row>
    <x:row r="891" ht="15" hidden="0" customHeight="1">
      <x:c r="A891" s="12" t="str">
        <x:f>IF(Leads!A891="","",Leads!A891)</x:f>
      </x:c>
      <x:c r="B891" s="12" t="str">
        <x:f>IF(Leads!F891="","",Leads!F891)</x:f>
      </x:c>
      <x:c r="C891" s="12" t="str">
        <x:f>IF(Leads!G891="","",Leads!G891)</x:f>
      </x:c>
      <x:c r="D891" s="12" t="str">
        <x:f>IF(Leads!O891="","",Leads!O891)</x:f>
      </x:c>
      <x:c r="E891" s="12" t="str">
        <x:f>IF(Leads!AV891="","",Leads!AV891)</x:f>
      </x:c>
      <x:c r="F891" s="12" t="str">
        <x:f>IF(Leads!AX891="","",Leads!AX891)</x:f>
      </x:c>
      <x:c r="G891" s="12" t="str">
        <x:f>IF(Leads!BC891="","",Leads!BC891)</x:f>
      </x:c>
      <x:c r="H891" s="12" t="str">
        <x:f>IF(Leads!BE891="","",Leads!BE891)</x:f>
      </x:c>
      <x:c r="I891" s="12" t="str">
        <x:f>IF(Leads!BG891="","",Leads!BG891)</x:f>
      </x:c>
      <x:c r="J891" s="12" t="str">
        <x:f>IF(Leads!BH891="","",Leads!BH891)</x:f>
      </x:c>
      <x:c r="K891" s="12" t="str">
        <x:f>IF(A891="","","مرحبًا "&amp;C891&amp;CHAR(10)&amp;CHAR(10)&amp;"شكرًا لإتمام تقييم DBD الخاص بعيادة "&amp;B891&amp;"."&amp;CHAR(10)&amp;"نتيجتكم الحالية: "&amp;E891&amp;"%."&amp;CHAR(10)&amp;"أولوية التحسين الأولى: "&amp;F891&amp;"."&amp;IF(J891&lt;&gt;"",CHAR(10)&amp;CHAR(10)&amp;"رابط التقرير: "&amp;J891,"")&amp;CHAR(10)&amp;CHAR(10)&amp;"إذا أحببت، يمكننا مساعدتك في فهم التقرير وتحديد أفضل خطوة تالية لعيادتكم.")</x:f>
      </x:c>
      <x:c r="L891" s="12" t="str">
        <x:f>IF(D891="","",HYPERLINK("https://wa.me/"&amp;REGEXREPLACE(D891,"[^\d]","")&amp;"?text="&amp;ENCODEURL(K891),"واتساب 1"))</x:f>
      </x:c>
      <x:c r="M891" s="12" t="str">
        <x:f>IF(A891="","","مرحبًا "&amp;C891&amp;CHAR(10)&amp;CHAR(10)&amp;"بناءً على نتيجة تقييم عيادة "&amp;B891&amp;"، فإن الترشيح الأقوى لكم الآن هو: "&amp;G891&amp;"."&amp;CHAR(10)&amp;"هذا الخيار يساعدكم في معالجة أكبر فجوة حالية بشكل عملي ومباشر."&amp;IF(J891&lt;&gt;"",CHAR(10)&amp;CHAR(10)&amp;"رابط التقرير: "&amp;J891,"")&amp;CHAR(10)&amp;CHAR(10)&amp;"إذا رغبت، يمكننا توضيح لماذا هذا الكورس هو الأنسب لكم الآن.")</x:f>
      </x:c>
      <x:c r="N891" s="12" t="str">
        <x:f>IF(D891="","",HYPERLINK("https://wa.me/"&amp;REGEXREPLACE(D891,"[^\d]","")&amp;"?text="&amp;ENCODEURL(M891),"واتساب 2"))</x:f>
      </x:c>
      <x:c r="O891" s="12" t="str">
        <x:f>IF(A891="","","مرحبًا "&amp;C891&amp;CHAR(10)&amp;CHAR(10)&amp;"إذا كانت التحديات لديكم تحتاج حلًا أشمل، فالبرنامج الكامل المناسب لكم هو: "&amp;H891&amp;"."&amp;IF(I891&lt;&gt;"",CHAR(10)&amp;"كما يمكنكم أيضًا حجز: "&amp;I891&amp;".","")&amp;IF(J891&lt;&gt;"",CHAR(10)&amp;CHAR(10)&amp;"رابط التقرير: "&amp;J891,"")&amp;CHAR(10)&amp;CHAR(10)&amp;"يسعدنا مساعدتكم في اختيار المسار الأنسب حسب وضع العيادة الحالي.")</x:f>
      </x:c>
      <x:c r="P891" s="12" t="str">
        <x:f>IF(D891="","",HYPERLINK("https://wa.me/"&amp;REGEXREPLACE(D891,"[^\d]","")&amp;"?text="&amp;ENCODEURL(O891),"واتساب 3"))</x:f>
      </x:c>
    </x:row>
    <x:row r="892" ht="15" hidden="0" customHeight="1">
      <x:c r="A892" s="12" t="str">
        <x:f>IF(Leads!A892="","",Leads!A892)</x:f>
      </x:c>
      <x:c r="B892" s="12" t="str">
        <x:f>IF(Leads!F892="","",Leads!F892)</x:f>
      </x:c>
      <x:c r="C892" s="12" t="str">
        <x:f>IF(Leads!G892="","",Leads!G892)</x:f>
      </x:c>
      <x:c r="D892" s="12" t="str">
        <x:f>IF(Leads!O892="","",Leads!O892)</x:f>
      </x:c>
      <x:c r="E892" s="12" t="str">
        <x:f>IF(Leads!AV892="","",Leads!AV892)</x:f>
      </x:c>
      <x:c r="F892" s="12" t="str">
        <x:f>IF(Leads!AX892="","",Leads!AX892)</x:f>
      </x:c>
      <x:c r="G892" s="12" t="str">
        <x:f>IF(Leads!BC892="","",Leads!BC892)</x:f>
      </x:c>
      <x:c r="H892" s="12" t="str">
        <x:f>IF(Leads!BE892="","",Leads!BE892)</x:f>
      </x:c>
      <x:c r="I892" s="12" t="str">
        <x:f>IF(Leads!BG892="","",Leads!BG892)</x:f>
      </x:c>
      <x:c r="J892" s="12" t="str">
        <x:f>IF(Leads!BH892="","",Leads!BH892)</x:f>
      </x:c>
      <x:c r="K892" s="12" t="str">
        <x:f>IF(A892="","","مرحبًا "&amp;C892&amp;CHAR(10)&amp;CHAR(10)&amp;"شكرًا لإتمام تقييم DBD الخاص بعيادة "&amp;B892&amp;"."&amp;CHAR(10)&amp;"نتيجتكم الحالية: "&amp;E892&amp;"%."&amp;CHAR(10)&amp;"أولوية التحسين الأولى: "&amp;F892&amp;"."&amp;IF(J892&lt;&gt;"",CHAR(10)&amp;CHAR(10)&amp;"رابط التقرير: "&amp;J892,"")&amp;CHAR(10)&amp;CHAR(10)&amp;"إذا أحببت، يمكننا مساعدتك في فهم التقرير وتحديد أفضل خطوة تالية لعيادتكم.")</x:f>
      </x:c>
      <x:c r="L892" s="12" t="str">
        <x:f>IF(D892="","",HYPERLINK("https://wa.me/"&amp;REGEXREPLACE(D892,"[^\d]","")&amp;"?text="&amp;ENCODEURL(K892),"واتساب 1"))</x:f>
      </x:c>
      <x:c r="M892" s="12" t="str">
        <x:f>IF(A892="","","مرحبًا "&amp;C892&amp;CHAR(10)&amp;CHAR(10)&amp;"بناءً على نتيجة تقييم عيادة "&amp;B892&amp;"، فإن الترشيح الأقوى لكم الآن هو: "&amp;G892&amp;"."&amp;CHAR(10)&amp;"هذا الخيار يساعدكم في معالجة أكبر فجوة حالية بشكل عملي ومباشر."&amp;IF(J892&lt;&gt;"",CHAR(10)&amp;CHAR(10)&amp;"رابط التقرير: "&amp;J892,"")&amp;CHAR(10)&amp;CHAR(10)&amp;"إذا رغبت، يمكننا توضيح لماذا هذا الكورس هو الأنسب لكم الآن.")</x:f>
      </x:c>
      <x:c r="N892" s="12" t="str">
        <x:f>IF(D892="","",HYPERLINK("https://wa.me/"&amp;REGEXREPLACE(D892,"[^\d]","")&amp;"?text="&amp;ENCODEURL(M892),"واتساب 2"))</x:f>
      </x:c>
      <x:c r="O892" s="12" t="str">
        <x:f>IF(A892="","","مرحبًا "&amp;C892&amp;CHAR(10)&amp;CHAR(10)&amp;"إذا كانت التحديات لديكم تحتاج حلًا أشمل، فالبرنامج الكامل المناسب لكم هو: "&amp;H892&amp;"."&amp;IF(I892&lt;&gt;"",CHAR(10)&amp;"كما يمكنكم أيضًا حجز: "&amp;I892&amp;".","")&amp;IF(J892&lt;&gt;"",CHAR(10)&amp;CHAR(10)&amp;"رابط التقرير: "&amp;J892,"")&amp;CHAR(10)&amp;CHAR(10)&amp;"يسعدنا مساعدتكم في اختيار المسار الأنسب حسب وضع العيادة الحالي.")</x:f>
      </x:c>
      <x:c r="P892" s="12" t="str">
        <x:f>IF(D892="","",HYPERLINK("https://wa.me/"&amp;REGEXREPLACE(D892,"[^\d]","")&amp;"?text="&amp;ENCODEURL(O892),"واتساب 3"))</x:f>
      </x:c>
    </x:row>
    <x:row r="893" ht="15" hidden="0" customHeight="1">
      <x:c r="A893" s="12" t="str">
        <x:f>IF(Leads!A893="","",Leads!A893)</x:f>
      </x:c>
      <x:c r="B893" s="12" t="str">
        <x:f>IF(Leads!F893="","",Leads!F893)</x:f>
      </x:c>
      <x:c r="C893" s="12" t="str">
        <x:f>IF(Leads!G893="","",Leads!G893)</x:f>
      </x:c>
      <x:c r="D893" s="12" t="str">
        <x:f>IF(Leads!O893="","",Leads!O893)</x:f>
      </x:c>
      <x:c r="E893" s="12" t="str">
        <x:f>IF(Leads!AV893="","",Leads!AV893)</x:f>
      </x:c>
      <x:c r="F893" s="12" t="str">
        <x:f>IF(Leads!AX893="","",Leads!AX893)</x:f>
      </x:c>
      <x:c r="G893" s="12" t="str">
        <x:f>IF(Leads!BC893="","",Leads!BC893)</x:f>
      </x:c>
      <x:c r="H893" s="12" t="str">
        <x:f>IF(Leads!BE893="","",Leads!BE893)</x:f>
      </x:c>
      <x:c r="I893" s="12" t="str">
        <x:f>IF(Leads!BG893="","",Leads!BG893)</x:f>
      </x:c>
      <x:c r="J893" s="12" t="str">
        <x:f>IF(Leads!BH893="","",Leads!BH893)</x:f>
      </x:c>
      <x:c r="K893" s="12" t="str">
        <x:f>IF(A893="","","مرحبًا "&amp;C893&amp;CHAR(10)&amp;CHAR(10)&amp;"شكرًا لإتمام تقييم DBD الخاص بعيادة "&amp;B893&amp;"."&amp;CHAR(10)&amp;"نتيجتكم الحالية: "&amp;E893&amp;"%."&amp;CHAR(10)&amp;"أولوية التحسين الأولى: "&amp;F893&amp;"."&amp;IF(J893&lt;&gt;"",CHAR(10)&amp;CHAR(10)&amp;"رابط التقرير: "&amp;J893,"")&amp;CHAR(10)&amp;CHAR(10)&amp;"إذا أحببت، يمكننا مساعدتك في فهم التقرير وتحديد أفضل خطوة تالية لعيادتكم.")</x:f>
      </x:c>
      <x:c r="L893" s="12" t="str">
        <x:f>IF(D893="","",HYPERLINK("https://wa.me/"&amp;REGEXREPLACE(D893,"[^\d]","")&amp;"?text="&amp;ENCODEURL(K893),"واتساب 1"))</x:f>
      </x:c>
      <x:c r="M893" s="12" t="str">
        <x:f>IF(A893="","","مرحبًا "&amp;C893&amp;CHAR(10)&amp;CHAR(10)&amp;"بناءً على نتيجة تقييم عيادة "&amp;B893&amp;"، فإن الترشيح الأقوى لكم الآن هو: "&amp;G893&amp;"."&amp;CHAR(10)&amp;"هذا الخيار يساعدكم في معالجة أكبر فجوة حالية بشكل عملي ومباشر."&amp;IF(J893&lt;&gt;"",CHAR(10)&amp;CHAR(10)&amp;"رابط التقرير: "&amp;J893,"")&amp;CHAR(10)&amp;CHAR(10)&amp;"إذا رغبت، يمكننا توضيح لماذا هذا الكورس هو الأنسب لكم الآن.")</x:f>
      </x:c>
      <x:c r="N893" s="12" t="str">
        <x:f>IF(D893="","",HYPERLINK("https://wa.me/"&amp;REGEXREPLACE(D893,"[^\d]","")&amp;"?text="&amp;ENCODEURL(M893),"واتساب 2"))</x:f>
      </x:c>
      <x:c r="O893" s="12" t="str">
        <x:f>IF(A893="","","مرحبًا "&amp;C893&amp;CHAR(10)&amp;CHAR(10)&amp;"إذا كانت التحديات لديكم تحتاج حلًا أشمل، فالبرنامج الكامل المناسب لكم هو: "&amp;H893&amp;"."&amp;IF(I893&lt;&gt;"",CHAR(10)&amp;"كما يمكنكم أيضًا حجز: "&amp;I893&amp;".","")&amp;IF(J893&lt;&gt;"",CHAR(10)&amp;CHAR(10)&amp;"رابط التقرير: "&amp;J893,"")&amp;CHAR(10)&amp;CHAR(10)&amp;"يسعدنا مساعدتكم في اختيار المسار الأنسب حسب وضع العيادة الحالي.")</x:f>
      </x:c>
      <x:c r="P893" s="12" t="str">
        <x:f>IF(D893="","",HYPERLINK("https://wa.me/"&amp;REGEXREPLACE(D893,"[^\d]","")&amp;"?text="&amp;ENCODEURL(O893),"واتساب 3"))</x:f>
      </x:c>
    </x:row>
    <x:row r="894" ht="15" hidden="0" customHeight="1">
      <x:c r="A894" s="12" t="str">
        <x:f>IF(Leads!A894="","",Leads!A894)</x:f>
      </x:c>
      <x:c r="B894" s="12" t="str">
        <x:f>IF(Leads!F894="","",Leads!F894)</x:f>
      </x:c>
      <x:c r="C894" s="12" t="str">
        <x:f>IF(Leads!G894="","",Leads!G894)</x:f>
      </x:c>
      <x:c r="D894" s="12" t="str">
        <x:f>IF(Leads!O894="","",Leads!O894)</x:f>
      </x:c>
      <x:c r="E894" s="12" t="str">
        <x:f>IF(Leads!AV894="","",Leads!AV894)</x:f>
      </x:c>
      <x:c r="F894" s="12" t="str">
        <x:f>IF(Leads!AX894="","",Leads!AX894)</x:f>
      </x:c>
      <x:c r="G894" s="12" t="str">
        <x:f>IF(Leads!BC894="","",Leads!BC894)</x:f>
      </x:c>
      <x:c r="H894" s="12" t="str">
        <x:f>IF(Leads!BE894="","",Leads!BE894)</x:f>
      </x:c>
      <x:c r="I894" s="12" t="str">
        <x:f>IF(Leads!BG894="","",Leads!BG894)</x:f>
      </x:c>
      <x:c r="J894" s="12" t="str">
        <x:f>IF(Leads!BH894="","",Leads!BH894)</x:f>
      </x:c>
      <x:c r="K894" s="12" t="str">
        <x:f>IF(A894="","","مرحبًا "&amp;C894&amp;CHAR(10)&amp;CHAR(10)&amp;"شكرًا لإتمام تقييم DBD الخاص بعيادة "&amp;B894&amp;"."&amp;CHAR(10)&amp;"نتيجتكم الحالية: "&amp;E894&amp;"%."&amp;CHAR(10)&amp;"أولوية التحسين الأولى: "&amp;F894&amp;"."&amp;IF(J894&lt;&gt;"",CHAR(10)&amp;CHAR(10)&amp;"رابط التقرير: "&amp;J894,"")&amp;CHAR(10)&amp;CHAR(10)&amp;"إذا أحببت، يمكننا مساعدتك في فهم التقرير وتحديد أفضل خطوة تالية لعيادتكم.")</x:f>
      </x:c>
      <x:c r="L894" s="12" t="str">
        <x:f>IF(D894="","",HYPERLINK("https://wa.me/"&amp;REGEXREPLACE(D894,"[^\d]","")&amp;"?text="&amp;ENCODEURL(K894),"واتساب 1"))</x:f>
      </x:c>
      <x:c r="M894" s="12" t="str">
        <x:f>IF(A894="","","مرحبًا "&amp;C894&amp;CHAR(10)&amp;CHAR(10)&amp;"بناءً على نتيجة تقييم عيادة "&amp;B894&amp;"، فإن الترشيح الأقوى لكم الآن هو: "&amp;G894&amp;"."&amp;CHAR(10)&amp;"هذا الخيار يساعدكم في معالجة أكبر فجوة حالية بشكل عملي ومباشر."&amp;IF(J894&lt;&gt;"",CHAR(10)&amp;CHAR(10)&amp;"رابط التقرير: "&amp;J894,"")&amp;CHAR(10)&amp;CHAR(10)&amp;"إذا رغبت، يمكننا توضيح لماذا هذا الكورس هو الأنسب لكم الآن.")</x:f>
      </x:c>
      <x:c r="N894" s="12" t="str">
        <x:f>IF(D894="","",HYPERLINK("https://wa.me/"&amp;REGEXREPLACE(D894,"[^\d]","")&amp;"?text="&amp;ENCODEURL(M894),"واتساب 2"))</x:f>
      </x:c>
      <x:c r="O894" s="12" t="str">
        <x:f>IF(A894="","","مرحبًا "&amp;C894&amp;CHAR(10)&amp;CHAR(10)&amp;"إذا كانت التحديات لديكم تحتاج حلًا أشمل، فالبرنامج الكامل المناسب لكم هو: "&amp;H894&amp;"."&amp;IF(I894&lt;&gt;"",CHAR(10)&amp;"كما يمكنكم أيضًا حجز: "&amp;I894&amp;".","")&amp;IF(J894&lt;&gt;"",CHAR(10)&amp;CHAR(10)&amp;"رابط التقرير: "&amp;J894,"")&amp;CHAR(10)&amp;CHAR(10)&amp;"يسعدنا مساعدتكم في اختيار المسار الأنسب حسب وضع العيادة الحالي.")</x:f>
      </x:c>
      <x:c r="P894" s="12" t="str">
        <x:f>IF(D894="","",HYPERLINK("https://wa.me/"&amp;REGEXREPLACE(D894,"[^\d]","")&amp;"?text="&amp;ENCODEURL(O894),"واتساب 3"))</x:f>
      </x:c>
    </x:row>
    <x:row r="895" ht="15" hidden="0" customHeight="1">
      <x:c r="A895" s="12" t="str">
        <x:f>IF(Leads!A895="","",Leads!A895)</x:f>
      </x:c>
      <x:c r="B895" s="12" t="str">
        <x:f>IF(Leads!F895="","",Leads!F895)</x:f>
      </x:c>
      <x:c r="C895" s="12" t="str">
        <x:f>IF(Leads!G895="","",Leads!G895)</x:f>
      </x:c>
      <x:c r="D895" s="12" t="str">
        <x:f>IF(Leads!O895="","",Leads!O895)</x:f>
      </x:c>
      <x:c r="E895" s="12" t="str">
        <x:f>IF(Leads!AV895="","",Leads!AV895)</x:f>
      </x:c>
      <x:c r="F895" s="12" t="str">
        <x:f>IF(Leads!AX895="","",Leads!AX895)</x:f>
      </x:c>
      <x:c r="G895" s="12" t="str">
        <x:f>IF(Leads!BC895="","",Leads!BC895)</x:f>
      </x:c>
      <x:c r="H895" s="12" t="str">
        <x:f>IF(Leads!BE895="","",Leads!BE895)</x:f>
      </x:c>
      <x:c r="I895" s="12" t="str">
        <x:f>IF(Leads!BG895="","",Leads!BG895)</x:f>
      </x:c>
      <x:c r="J895" s="12" t="str">
        <x:f>IF(Leads!BH895="","",Leads!BH895)</x:f>
      </x:c>
      <x:c r="K895" s="12" t="str">
        <x:f>IF(A895="","","مرحبًا "&amp;C895&amp;CHAR(10)&amp;CHAR(10)&amp;"شكرًا لإتمام تقييم DBD الخاص بعيادة "&amp;B895&amp;"."&amp;CHAR(10)&amp;"نتيجتكم الحالية: "&amp;E895&amp;"%."&amp;CHAR(10)&amp;"أولوية التحسين الأولى: "&amp;F895&amp;"."&amp;IF(J895&lt;&gt;"",CHAR(10)&amp;CHAR(10)&amp;"رابط التقرير: "&amp;J895,"")&amp;CHAR(10)&amp;CHAR(10)&amp;"إذا أحببت، يمكننا مساعدتك في فهم التقرير وتحديد أفضل خطوة تالية لعيادتكم.")</x:f>
      </x:c>
      <x:c r="L895" s="12" t="str">
        <x:f>IF(D895="","",HYPERLINK("https://wa.me/"&amp;REGEXREPLACE(D895,"[^\d]","")&amp;"?text="&amp;ENCODEURL(K895),"واتساب 1"))</x:f>
      </x:c>
      <x:c r="M895" s="12" t="str">
        <x:f>IF(A895="","","مرحبًا "&amp;C895&amp;CHAR(10)&amp;CHAR(10)&amp;"بناءً على نتيجة تقييم عيادة "&amp;B895&amp;"، فإن الترشيح الأقوى لكم الآن هو: "&amp;G895&amp;"."&amp;CHAR(10)&amp;"هذا الخيار يساعدكم في معالجة أكبر فجوة حالية بشكل عملي ومباشر."&amp;IF(J895&lt;&gt;"",CHAR(10)&amp;CHAR(10)&amp;"رابط التقرير: "&amp;J895,"")&amp;CHAR(10)&amp;CHAR(10)&amp;"إذا رغبت، يمكننا توضيح لماذا هذا الكورس هو الأنسب لكم الآن.")</x:f>
      </x:c>
      <x:c r="N895" s="12" t="str">
        <x:f>IF(D895="","",HYPERLINK("https://wa.me/"&amp;REGEXREPLACE(D895,"[^\d]","")&amp;"?text="&amp;ENCODEURL(M895),"واتساب 2"))</x:f>
      </x:c>
      <x:c r="O895" s="12" t="str">
        <x:f>IF(A895="","","مرحبًا "&amp;C895&amp;CHAR(10)&amp;CHAR(10)&amp;"إذا كانت التحديات لديكم تحتاج حلًا أشمل، فالبرنامج الكامل المناسب لكم هو: "&amp;H895&amp;"."&amp;IF(I895&lt;&gt;"",CHAR(10)&amp;"كما يمكنكم أيضًا حجز: "&amp;I895&amp;".","")&amp;IF(J895&lt;&gt;"",CHAR(10)&amp;CHAR(10)&amp;"رابط التقرير: "&amp;J895,"")&amp;CHAR(10)&amp;CHAR(10)&amp;"يسعدنا مساعدتكم في اختيار المسار الأنسب حسب وضع العيادة الحالي.")</x:f>
      </x:c>
      <x:c r="P895" s="12" t="str">
        <x:f>IF(D895="","",HYPERLINK("https://wa.me/"&amp;REGEXREPLACE(D895,"[^\d]","")&amp;"?text="&amp;ENCODEURL(O895),"واتساب 3"))</x:f>
      </x:c>
    </x:row>
    <x:row r="896" ht="15" hidden="0" customHeight="1">
      <x:c r="A896" s="12" t="str">
        <x:f>IF(Leads!A896="","",Leads!A896)</x:f>
      </x:c>
      <x:c r="B896" s="12" t="str">
        <x:f>IF(Leads!F896="","",Leads!F896)</x:f>
      </x:c>
      <x:c r="C896" s="12" t="str">
        <x:f>IF(Leads!G896="","",Leads!G896)</x:f>
      </x:c>
      <x:c r="D896" s="12" t="str">
        <x:f>IF(Leads!O896="","",Leads!O896)</x:f>
      </x:c>
      <x:c r="E896" s="12" t="str">
        <x:f>IF(Leads!AV896="","",Leads!AV896)</x:f>
      </x:c>
      <x:c r="F896" s="12" t="str">
        <x:f>IF(Leads!AX896="","",Leads!AX896)</x:f>
      </x:c>
      <x:c r="G896" s="12" t="str">
        <x:f>IF(Leads!BC896="","",Leads!BC896)</x:f>
      </x:c>
      <x:c r="H896" s="12" t="str">
        <x:f>IF(Leads!BE896="","",Leads!BE896)</x:f>
      </x:c>
      <x:c r="I896" s="12" t="str">
        <x:f>IF(Leads!BG896="","",Leads!BG896)</x:f>
      </x:c>
      <x:c r="J896" s="12" t="str">
        <x:f>IF(Leads!BH896="","",Leads!BH896)</x:f>
      </x:c>
      <x:c r="K896" s="12" t="str">
        <x:f>IF(A896="","","مرحبًا "&amp;C896&amp;CHAR(10)&amp;CHAR(10)&amp;"شكرًا لإتمام تقييم DBD الخاص بعيادة "&amp;B896&amp;"."&amp;CHAR(10)&amp;"نتيجتكم الحالية: "&amp;E896&amp;"%."&amp;CHAR(10)&amp;"أولوية التحسين الأولى: "&amp;F896&amp;"."&amp;IF(J896&lt;&gt;"",CHAR(10)&amp;CHAR(10)&amp;"رابط التقرير: "&amp;J896,"")&amp;CHAR(10)&amp;CHAR(10)&amp;"إذا أحببت، يمكننا مساعدتك في فهم التقرير وتحديد أفضل خطوة تالية لعيادتكم.")</x:f>
      </x:c>
      <x:c r="L896" s="12" t="str">
        <x:f>IF(D896="","",HYPERLINK("https://wa.me/"&amp;REGEXREPLACE(D896,"[^\d]","")&amp;"?text="&amp;ENCODEURL(K896),"واتساب 1"))</x:f>
      </x:c>
      <x:c r="M896" s="12" t="str">
        <x:f>IF(A896="","","مرحبًا "&amp;C896&amp;CHAR(10)&amp;CHAR(10)&amp;"بناءً على نتيجة تقييم عيادة "&amp;B896&amp;"، فإن الترشيح الأقوى لكم الآن هو: "&amp;G896&amp;"."&amp;CHAR(10)&amp;"هذا الخيار يساعدكم في معالجة أكبر فجوة حالية بشكل عملي ومباشر."&amp;IF(J896&lt;&gt;"",CHAR(10)&amp;CHAR(10)&amp;"رابط التقرير: "&amp;J896,"")&amp;CHAR(10)&amp;CHAR(10)&amp;"إذا رغبت، يمكننا توضيح لماذا هذا الكورس هو الأنسب لكم الآن.")</x:f>
      </x:c>
      <x:c r="N896" s="12" t="str">
        <x:f>IF(D896="","",HYPERLINK("https://wa.me/"&amp;REGEXREPLACE(D896,"[^\d]","")&amp;"?text="&amp;ENCODEURL(M896),"واتساب 2"))</x:f>
      </x:c>
      <x:c r="O896" s="12" t="str">
        <x:f>IF(A896="","","مرحبًا "&amp;C896&amp;CHAR(10)&amp;CHAR(10)&amp;"إذا كانت التحديات لديكم تحتاج حلًا أشمل، فالبرنامج الكامل المناسب لكم هو: "&amp;H896&amp;"."&amp;IF(I896&lt;&gt;"",CHAR(10)&amp;"كما يمكنكم أيضًا حجز: "&amp;I896&amp;".","")&amp;IF(J896&lt;&gt;"",CHAR(10)&amp;CHAR(10)&amp;"رابط التقرير: "&amp;J896,"")&amp;CHAR(10)&amp;CHAR(10)&amp;"يسعدنا مساعدتكم في اختيار المسار الأنسب حسب وضع العيادة الحالي.")</x:f>
      </x:c>
      <x:c r="P896" s="12" t="str">
        <x:f>IF(D896="","",HYPERLINK("https://wa.me/"&amp;REGEXREPLACE(D896,"[^\d]","")&amp;"?text="&amp;ENCODEURL(O896),"واتساب 3"))</x:f>
      </x:c>
    </x:row>
    <x:row r="897" ht="15" hidden="0" customHeight="1">
      <x:c r="A897" s="12" t="str">
        <x:f>IF(Leads!A897="","",Leads!A897)</x:f>
      </x:c>
      <x:c r="B897" s="12" t="str">
        <x:f>IF(Leads!F897="","",Leads!F897)</x:f>
      </x:c>
      <x:c r="C897" s="12" t="str">
        <x:f>IF(Leads!G897="","",Leads!G897)</x:f>
      </x:c>
      <x:c r="D897" s="12" t="str">
        <x:f>IF(Leads!O897="","",Leads!O897)</x:f>
      </x:c>
      <x:c r="E897" s="12" t="str">
        <x:f>IF(Leads!AV897="","",Leads!AV897)</x:f>
      </x:c>
      <x:c r="F897" s="12" t="str">
        <x:f>IF(Leads!AX897="","",Leads!AX897)</x:f>
      </x:c>
      <x:c r="G897" s="12" t="str">
        <x:f>IF(Leads!BC897="","",Leads!BC897)</x:f>
      </x:c>
      <x:c r="H897" s="12" t="str">
        <x:f>IF(Leads!BE897="","",Leads!BE897)</x:f>
      </x:c>
      <x:c r="I897" s="12" t="str">
        <x:f>IF(Leads!BG897="","",Leads!BG897)</x:f>
      </x:c>
      <x:c r="J897" s="12" t="str">
        <x:f>IF(Leads!BH897="","",Leads!BH897)</x:f>
      </x:c>
      <x:c r="K897" s="12" t="str">
        <x:f>IF(A897="","","مرحبًا "&amp;C897&amp;CHAR(10)&amp;CHAR(10)&amp;"شكرًا لإتمام تقييم DBD الخاص بعيادة "&amp;B897&amp;"."&amp;CHAR(10)&amp;"نتيجتكم الحالية: "&amp;E897&amp;"%."&amp;CHAR(10)&amp;"أولوية التحسين الأولى: "&amp;F897&amp;"."&amp;IF(J897&lt;&gt;"",CHAR(10)&amp;CHAR(10)&amp;"رابط التقرير: "&amp;J897,"")&amp;CHAR(10)&amp;CHAR(10)&amp;"إذا أحببت، يمكننا مساعدتك في فهم التقرير وتحديد أفضل خطوة تالية لعيادتكم.")</x:f>
      </x:c>
      <x:c r="L897" s="12" t="str">
        <x:f>IF(D897="","",HYPERLINK("https://wa.me/"&amp;REGEXREPLACE(D897,"[^\d]","")&amp;"?text="&amp;ENCODEURL(K897),"واتساب 1"))</x:f>
      </x:c>
      <x:c r="M897" s="12" t="str">
        <x:f>IF(A897="","","مرحبًا "&amp;C897&amp;CHAR(10)&amp;CHAR(10)&amp;"بناءً على نتيجة تقييم عيادة "&amp;B897&amp;"، فإن الترشيح الأقوى لكم الآن هو: "&amp;G897&amp;"."&amp;CHAR(10)&amp;"هذا الخيار يساعدكم في معالجة أكبر فجوة حالية بشكل عملي ومباشر."&amp;IF(J897&lt;&gt;"",CHAR(10)&amp;CHAR(10)&amp;"رابط التقرير: "&amp;J897,"")&amp;CHAR(10)&amp;CHAR(10)&amp;"إذا رغبت، يمكننا توضيح لماذا هذا الكورس هو الأنسب لكم الآن.")</x:f>
      </x:c>
      <x:c r="N897" s="12" t="str">
        <x:f>IF(D897="","",HYPERLINK("https://wa.me/"&amp;REGEXREPLACE(D897,"[^\d]","")&amp;"?text="&amp;ENCODEURL(M897),"واتساب 2"))</x:f>
      </x:c>
      <x:c r="O897" s="12" t="str">
        <x:f>IF(A897="","","مرحبًا "&amp;C897&amp;CHAR(10)&amp;CHAR(10)&amp;"إذا كانت التحديات لديكم تحتاج حلًا أشمل، فالبرنامج الكامل المناسب لكم هو: "&amp;H897&amp;"."&amp;IF(I897&lt;&gt;"",CHAR(10)&amp;"كما يمكنكم أيضًا حجز: "&amp;I897&amp;".","")&amp;IF(J897&lt;&gt;"",CHAR(10)&amp;CHAR(10)&amp;"رابط التقرير: "&amp;J897,"")&amp;CHAR(10)&amp;CHAR(10)&amp;"يسعدنا مساعدتكم في اختيار المسار الأنسب حسب وضع العيادة الحالي.")</x:f>
      </x:c>
      <x:c r="P897" s="12" t="str">
        <x:f>IF(D897="","",HYPERLINK("https://wa.me/"&amp;REGEXREPLACE(D897,"[^\d]","")&amp;"?text="&amp;ENCODEURL(O897),"واتساب 3"))</x:f>
      </x:c>
    </x:row>
    <x:row r="898" ht="15" hidden="0" customHeight="1">
      <x:c r="A898" s="12" t="str">
        <x:f>IF(Leads!A898="","",Leads!A898)</x:f>
      </x:c>
      <x:c r="B898" s="12" t="str">
        <x:f>IF(Leads!F898="","",Leads!F898)</x:f>
      </x:c>
      <x:c r="C898" s="12" t="str">
        <x:f>IF(Leads!G898="","",Leads!G898)</x:f>
      </x:c>
      <x:c r="D898" s="12" t="str">
        <x:f>IF(Leads!O898="","",Leads!O898)</x:f>
      </x:c>
      <x:c r="E898" s="12" t="str">
        <x:f>IF(Leads!AV898="","",Leads!AV898)</x:f>
      </x:c>
      <x:c r="F898" s="12" t="str">
        <x:f>IF(Leads!AX898="","",Leads!AX898)</x:f>
      </x:c>
      <x:c r="G898" s="12" t="str">
        <x:f>IF(Leads!BC898="","",Leads!BC898)</x:f>
      </x:c>
      <x:c r="H898" s="12" t="str">
        <x:f>IF(Leads!BE898="","",Leads!BE898)</x:f>
      </x:c>
      <x:c r="I898" s="12" t="str">
        <x:f>IF(Leads!BG898="","",Leads!BG898)</x:f>
      </x:c>
      <x:c r="J898" s="12" t="str">
        <x:f>IF(Leads!BH898="","",Leads!BH898)</x:f>
      </x:c>
      <x:c r="K898" s="12" t="str">
        <x:f>IF(A898="","","مرحبًا "&amp;C898&amp;CHAR(10)&amp;CHAR(10)&amp;"شكرًا لإتمام تقييم DBD الخاص بعيادة "&amp;B898&amp;"."&amp;CHAR(10)&amp;"نتيجتكم الحالية: "&amp;E898&amp;"%."&amp;CHAR(10)&amp;"أولوية التحسين الأولى: "&amp;F898&amp;"."&amp;IF(J898&lt;&gt;"",CHAR(10)&amp;CHAR(10)&amp;"رابط التقرير: "&amp;J898,"")&amp;CHAR(10)&amp;CHAR(10)&amp;"إذا أحببت، يمكننا مساعدتك في فهم التقرير وتحديد أفضل خطوة تالية لعيادتكم.")</x:f>
      </x:c>
      <x:c r="L898" s="12" t="str">
        <x:f>IF(D898="","",HYPERLINK("https://wa.me/"&amp;REGEXREPLACE(D898,"[^\d]","")&amp;"?text="&amp;ENCODEURL(K898),"واتساب 1"))</x:f>
      </x:c>
      <x:c r="M898" s="12" t="str">
        <x:f>IF(A898="","","مرحبًا "&amp;C898&amp;CHAR(10)&amp;CHAR(10)&amp;"بناءً على نتيجة تقييم عيادة "&amp;B898&amp;"، فإن الترشيح الأقوى لكم الآن هو: "&amp;G898&amp;"."&amp;CHAR(10)&amp;"هذا الخيار يساعدكم في معالجة أكبر فجوة حالية بشكل عملي ومباشر."&amp;IF(J898&lt;&gt;"",CHAR(10)&amp;CHAR(10)&amp;"رابط التقرير: "&amp;J898,"")&amp;CHAR(10)&amp;CHAR(10)&amp;"إذا رغبت، يمكننا توضيح لماذا هذا الكورس هو الأنسب لكم الآن.")</x:f>
      </x:c>
      <x:c r="N898" s="12" t="str">
        <x:f>IF(D898="","",HYPERLINK("https://wa.me/"&amp;REGEXREPLACE(D898,"[^\d]","")&amp;"?text="&amp;ENCODEURL(M898),"واتساب 2"))</x:f>
      </x:c>
      <x:c r="O898" s="12" t="str">
        <x:f>IF(A898="","","مرحبًا "&amp;C898&amp;CHAR(10)&amp;CHAR(10)&amp;"إذا كانت التحديات لديكم تحتاج حلًا أشمل، فالبرنامج الكامل المناسب لكم هو: "&amp;H898&amp;"."&amp;IF(I898&lt;&gt;"",CHAR(10)&amp;"كما يمكنكم أيضًا حجز: "&amp;I898&amp;".","")&amp;IF(J898&lt;&gt;"",CHAR(10)&amp;CHAR(10)&amp;"رابط التقرير: "&amp;J898,"")&amp;CHAR(10)&amp;CHAR(10)&amp;"يسعدنا مساعدتكم في اختيار المسار الأنسب حسب وضع العيادة الحالي.")</x:f>
      </x:c>
      <x:c r="P898" s="12" t="str">
        <x:f>IF(D898="","",HYPERLINK("https://wa.me/"&amp;REGEXREPLACE(D898,"[^\d]","")&amp;"?text="&amp;ENCODEURL(O898),"واتساب 3"))</x:f>
      </x:c>
    </x:row>
    <x:row r="899" ht="15" hidden="0" customHeight="1">
      <x:c r="A899" s="12" t="str">
        <x:f>IF(Leads!A899="","",Leads!A899)</x:f>
      </x:c>
      <x:c r="B899" s="12" t="str">
        <x:f>IF(Leads!F899="","",Leads!F899)</x:f>
      </x:c>
      <x:c r="C899" s="12" t="str">
        <x:f>IF(Leads!G899="","",Leads!G899)</x:f>
      </x:c>
      <x:c r="D899" s="12" t="str">
        <x:f>IF(Leads!O899="","",Leads!O899)</x:f>
      </x:c>
      <x:c r="E899" s="12" t="str">
        <x:f>IF(Leads!AV899="","",Leads!AV899)</x:f>
      </x:c>
      <x:c r="F899" s="12" t="str">
        <x:f>IF(Leads!AX899="","",Leads!AX899)</x:f>
      </x:c>
      <x:c r="G899" s="12" t="str">
        <x:f>IF(Leads!BC899="","",Leads!BC899)</x:f>
      </x:c>
      <x:c r="H899" s="12" t="str">
        <x:f>IF(Leads!BE899="","",Leads!BE899)</x:f>
      </x:c>
      <x:c r="I899" s="12" t="str">
        <x:f>IF(Leads!BG899="","",Leads!BG899)</x:f>
      </x:c>
      <x:c r="J899" s="12" t="str">
        <x:f>IF(Leads!BH899="","",Leads!BH899)</x:f>
      </x:c>
      <x:c r="K899" s="12" t="str">
        <x:f>IF(A899="","","مرحبًا "&amp;C899&amp;CHAR(10)&amp;CHAR(10)&amp;"شكرًا لإتمام تقييم DBD الخاص بعيادة "&amp;B899&amp;"."&amp;CHAR(10)&amp;"نتيجتكم الحالية: "&amp;E899&amp;"%."&amp;CHAR(10)&amp;"أولوية التحسين الأولى: "&amp;F899&amp;"."&amp;IF(J899&lt;&gt;"",CHAR(10)&amp;CHAR(10)&amp;"رابط التقرير: "&amp;J899,"")&amp;CHAR(10)&amp;CHAR(10)&amp;"إذا أحببت، يمكننا مساعدتك في فهم التقرير وتحديد أفضل خطوة تالية لعيادتكم.")</x:f>
      </x:c>
      <x:c r="L899" s="12" t="str">
        <x:f>IF(D899="","",HYPERLINK("https://wa.me/"&amp;REGEXREPLACE(D899,"[^\d]","")&amp;"?text="&amp;ENCODEURL(K899),"واتساب 1"))</x:f>
      </x:c>
      <x:c r="M899" s="12" t="str">
        <x:f>IF(A899="","","مرحبًا "&amp;C899&amp;CHAR(10)&amp;CHAR(10)&amp;"بناءً على نتيجة تقييم عيادة "&amp;B899&amp;"، فإن الترشيح الأقوى لكم الآن هو: "&amp;G899&amp;"."&amp;CHAR(10)&amp;"هذا الخيار يساعدكم في معالجة أكبر فجوة حالية بشكل عملي ومباشر."&amp;IF(J899&lt;&gt;"",CHAR(10)&amp;CHAR(10)&amp;"رابط التقرير: "&amp;J899,"")&amp;CHAR(10)&amp;CHAR(10)&amp;"إذا رغبت، يمكننا توضيح لماذا هذا الكورس هو الأنسب لكم الآن.")</x:f>
      </x:c>
      <x:c r="N899" s="12" t="str">
        <x:f>IF(D899="","",HYPERLINK("https://wa.me/"&amp;REGEXREPLACE(D899,"[^\d]","")&amp;"?text="&amp;ENCODEURL(M899),"واتساب 2"))</x:f>
      </x:c>
      <x:c r="O899" s="12" t="str">
        <x:f>IF(A899="","","مرحبًا "&amp;C899&amp;CHAR(10)&amp;CHAR(10)&amp;"إذا كانت التحديات لديكم تحتاج حلًا أشمل، فالبرنامج الكامل المناسب لكم هو: "&amp;H899&amp;"."&amp;IF(I899&lt;&gt;"",CHAR(10)&amp;"كما يمكنكم أيضًا حجز: "&amp;I899&amp;".","")&amp;IF(J899&lt;&gt;"",CHAR(10)&amp;CHAR(10)&amp;"رابط التقرير: "&amp;J899,"")&amp;CHAR(10)&amp;CHAR(10)&amp;"يسعدنا مساعدتكم في اختيار المسار الأنسب حسب وضع العيادة الحالي.")</x:f>
      </x:c>
      <x:c r="P899" s="12" t="str">
        <x:f>IF(D899="","",HYPERLINK("https://wa.me/"&amp;REGEXREPLACE(D899,"[^\d]","")&amp;"?text="&amp;ENCODEURL(O899),"واتساب 3"))</x:f>
      </x:c>
    </x:row>
    <x:row r="900" ht="15" hidden="0" customHeight="1">
      <x:c r="A900" s="12" t="str">
        <x:f>IF(Leads!A900="","",Leads!A900)</x:f>
      </x:c>
      <x:c r="B900" s="12" t="str">
        <x:f>IF(Leads!F900="","",Leads!F900)</x:f>
      </x:c>
      <x:c r="C900" s="12" t="str">
        <x:f>IF(Leads!G900="","",Leads!G900)</x:f>
      </x:c>
      <x:c r="D900" s="12" t="str">
        <x:f>IF(Leads!O900="","",Leads!O900)</x:f>
      </x:c>
      <x:c r="E900" s="12" t="str">
        <x:f>IF(Leads!AV900="","",Leads!AV900)</x:f>
      </x:c>
      <x:c r="F900" s="12" t="str">
        <x:f>IF(Leads!AX900="","",Leads!AX900)</x:f>
      </x:c>
      <x:c r="G900" s="12" t="str">
        <x:f>IF(Leads!BC900="","",Leads!BC900)</x:f>
      </x:c>
      <x:c r="H900" s="12" t="str">
        <x:f>IF(Leads!BE900="","",Leads!BE900)</x:f>
      </x:c>
      <x:c r="I900" s="12" t="str">
        <x:f>IF(Leads!BG900="","",Leads!BG900)</x:f>
      </x:c>
      <x:c r="J900" s="12" t="str">
        <x:f>IF(Leads!BH900="","",Leads!BH900)</x:f>
      </x:c>
      <x:c r="K900" s="12" t="str">
        <x:f>IF(A900="","","مرحبًا "&amp;C900&amp;CHAR(10)&amp;CHAR(10)&amp;"شكرًا لإتمام تقييم DBD الخاص بعيادة "&amp;B900&amp;"."&amp;CHAR(10)&amp;"نتيجتكم الحالية: "&amp;E900&amp;"%."&amp;CHAR(10)&amp;"أولوية التحسين الأولى: "&amp;F900&amp;"."&amp;IF(J900&lt;&gt;"",CHAR(10)&amp;CHAR(10)&amp;"رابط التقرير: "&amp;J900,"")&amp;CHAR(10)&amp;CHAR(10)&amp;"إذا أحببت، يمكننا مساعدتك في فهم التقرير وتحديد أفضل خطوة تالية لعيادتكم.")</x:f>
      </x:c>
      <x:c r="L900" s="12" t="str">
        <x:f>IF(D900="","",HYPERLINK("https://wa.me/"&amp;REGEXREPLACE(D900,"[^\d]","")&amp;"?text="&amp;ENCODEURL(K900),"واتساب 1"))</x:f>
      </x:c>
      <x:c r="M900" s="12" t="str">
        <x:f>IF(A900="","","مرحبًا "&amp;C900&amp;CHAR(10)&amp;CHAR(10)&amp;"بناءً على نتيجة تقييم عيادة "&amp;B900&amp;"، فإن الترشيح الأقوى لكم الآن هو: "&amp;G900&amp;"."&amp;CHAR(10)&amp;"هذا الخيار يساعدكم في معالجة أكبر فجوة حالية بشكل عملي ومباشر."&amp;IF(J900&lt;&gt;"",CHAR(10)&amp;CHAR(10)&amp;"رابط التقرير: "&amp;J900,"")&amp;CHAR(10)&amp;CHAR(10)&amp;"إذا رغبت، يمكننا توضيح لماذا هذا الكورس هو الأنسب لكم الآن.")</x:f>
      </x:c>
      <x:c r="N900" s="12" t="str">
        <x:f>IF(D900="","",HYPERLINK("https://wa.me/"&amp;REGEXREPLACE(D900,"[^\d]","")&amp;"?text="&amp;ENCODEURL(M900),"واتساب 2"))</x:f>
      </x:c>
      <x:c r="O900" s="12" t="str">
        <x:f>IF(A900="","","مرحبًا "&amp;C900&amp;CHAR(10)&amp;CHAR(10)&amp;"إذا كانت التحديات لديكم تحتاج حلًا أشمل، فالبرنامج الكامل المناسب لكم هو: "&amp;H900&amp;"."&amp;IF(I900&lt;&gt;"",CHAR(10)&amp;"كما يمكنكم أيضًا حجز: "&amp;I900&amp;".","")&amp;IF(J900&lt;&gt;"",CHAR(10)&amp;CHAR(10)&amp;"رابط التقرير: "&amp;J900,"")&amp;CHAR(10)&amp;CHAR(10)&amp;"يسعدنا مساعدتكم في اختيار المسار الأنسب حسب وضع العيادة الحالي.")</x:f>
      </x:c>
      <x:c r="P900" s="12" t="str">
        <x:f>IF(D900="","",HYPERLINK("https://wa.me/"&amp;REGEXREPLACE(D900,"[^\d]","")&amp;"?text="&amp;ENCODEURL(O900),"واتساب 3"))</x:f>
      </x:c>
    </x:row>
    <x:row r="901" ht="15" hidden="0" customHeight="1">
      <x:c r="A901" s="12" t="str">
        <x:f>IF(Leads!A901="","",Leads!A901)</x:f>
      </x:c>
      <x:c r="B901" s="12" t="str">
        <x:f>IF(Leads!F901="","",Leads!F901)</x:f>
      </x:c>
      <x:c r="C901" s="12" t="str">
        <x:f>IF(Leads!G901="","",Leads!G901)</x:f>
      </x:c>
      <x:c r="D901" s="12" t="str">
        <x:f>IF(Leads!O901="","",Leads!O901)</x:f>
      </x:c>
      <x:c r="E901" s="12" t="str">
        <x:f>IF(Leads!AV901="","",Leads!AV901)</x:f>
      </x:c>
      <x:c r="F901" s="12" t="str">
        <x:f>IF(Leads!AX901="","",Leads!AX901)</x:f>
      </x:c>
      <x:c r="G901" s="12" t="str">
        <x:f>IF(Leads!BC901="","",Leads!BC901)</x:f>
      </x:c>
      <x:c r="H901" s="12" t="str">
        <x:f>IF(Leads!BE901="","",Leads!BE901)</x:f>
      </x:c>
      <x:c r="I901" s="12" t="str">
        <x:f>IF(Leads!BG901="","",Leads!BG901)</x:f>
      </x:c>
      <x:c r="J901" s="12" t="str">
        <x:f>IF(Leads!BH901="","",Leads!BH901)</x:f>
      </x:c>
      <x:c r="K901" s="12" t="str">
        <x:f>IF(A901="","","مرحبًا "&amp;C901&amp;CHAR(10)&amp;CHAR(10)&amp;"شكرًا لإتمام تقييم DBD الخاص بعيادة "&amp;B901&amp;"."&amp;CHAR(10)&amp;"نتيجتكم الحالية: "&amp;E901&amp;"%."&amp;CHAR(10)&amp;"أولوية التحسين الأولى: "&amp;F901&amp;"."&amp;IF(J901&lt;&gt;"",CHAR(10)&amp;CHAR(10)&amp;"رابط التقرير: "&amp;J901,"")&amp;CHAR(10)&amp;CHAR(10)&amp;"إذا أحببت، يمكننا مساعدتك في فهم التقرير وتحديد أفضل خطوة تالية لعيادتكم.")</x:f>
      </x:c>
      <x:c r="L901" s="12" t="str">
        <x:f>IF(D901="","",HYPERLINK("https://wa.me/"&amp;REGEXREPLACE(D901,"[^\d]","")&amp;"?text="&amp;ENCODEURL(K901),"واتساب 1"))</x:f>
      </x:c>
      <x:c r="M901" s="12" t="str">
        <x:f>IF(A901="","","مرحبًا "&amp;C901&amp;CHAR(10)&amp;CHAR(10)&amp;"بناءً على نتيجة تقييم عيادة "&amp;B901&amp;"، فإن الترشيح الأقوى لكم الآن هو: "&amp;G901&amp;"."&amp;CHAR(10)&amp;"هذا الخيار يساعدكم في معالجة أكبر فجوة حالية بشكل عملي ومباشر."&amp;IF(J901&lt;&gt;"",CHAR(10)&amp;CHAR(10)&amp;"رابط التقرير: "&amp;J901,"")&amp;CHAR(10)&amp;CHAR(10)&amp;"إذا رغبت، يمكننا توضيح لماذا هذا الكورس هو الأنسب لكم الآن.")</x:f>
      </x:c>
      <x:c r="N901" s="12" t="str">
        <x:f>IF(D901="","",HYPERLINK("https://wa.me/"&amp;REGEXREPLACE(D901,"[^\d]","")&amp;"?text="&amp;ENCODEURL(M901),"واتساب 2"))</x:f>
      </x:c>
      <x:c r="O901" s="12" t="str">
        <x:f>IF(A901="","","مرحبًا "&amp;C901&amp;CHAR(10)&amp;CHAR(10)&amp;"إذا كانت التحديات لديكم تحتاج حلًا أشمل، فالبرنامج الكامل المناسب لكم هو: "&amp;H901&amp;"."&amp;IF(I901&lt;&gt;"",CHAR(10)&amp;"كما يمكنكم أيضًا حجز: "&amp;I901&amp;".","")&amp;IF(J901&lt;&gt;"",CHAR(10)&amp;CHAR(10)&amp;"رابط التقرير: "&amp;J901,"")&amp;CHAR(10)&amp;CHAR(10)&amp;"يسعدنا مساعدتكم في اختيار المسار الأنسب حسب وضع العيادة الحالي.")</x:f>
      </x:c>
      <x:c r="P901" s="12" t="str">
        <x:f>IF(D901="","",HYPERLINK("https://wa.me/"&amp;REGEXREPLACE(D901,"[^\d]","")&amp;"?text="&amp;ENCODEURL(O901),"واتساب 3"))</x:f>
      </x:c>
    </x:row>
    <x:row r="902" ht="15" hidden="0" customHeight="1">
      <x:c r="A902" s="12" t="str">
        <x:f>IF(Leads!A902="","",Leads!A902)</x:f>
      </x:c>
      <x:c r="B902" s="12" t="str">
        <x:f>IF(Leads!F902="","",Leads!F902)</x:f>
      </x:c>
      <x:c r="C902" s="12" t="str">
        <x:f>IF(Leads!G902="","",Leads!G902)</x:f>
      </x:c>
      <x:c r="D902" s="12" t="str">
        <x:f>IF(Leads!O902="","",Leads!O902)</x:f>
      </x:c>
      <x:c r="E902" s="12" t="str">
        <x:f>IF(Leads!AV902="","",Leads!AV902)</x:f>
      </x:c>
      <x:c r="F902" s="12" t="str">
        <x:f>IF(Leads!AX902="","",Leads!AX902)</x:f>
      </x:c>
      <x:c r="G902" s="12" t="str">
        <x:f>IF(Leads!BC902="","",Leads!BC902)</x:f>
      </x:c>
      <x:c r="H902" s="12" t="str">
        <x:f>IF(Leads!BE902="","",Leads!BE902)</x:f>
      </x:c>
      <x:c r="I902" s="12" t="str">
        <x:f>IF(Leads!BG902="","",Leads!BG902)</x:f>
      </x:c>
      <x:c r="J902" s="12" t="str">
        <x:f>IF(Leads!BH902="","",Leads!BH902)</x:f>
      </x:c>
      <x:c r="K902" s="12" t="str">
        <x:f>IF(A902="","","مرحبًا "&amp;C902&amp;CHAR(10)&amp;CHAR(10)&amp;"شكرًا لإتمام تقييم DBD الخاص بعيادة "&amp;B902&amp;"."&amp;CHAR(10)&amp;"نتيجتكم الحالية: "&amp;E902&amp;"%."&amp;CHAR(10)&amp;"أولوية التحسين الأولى: "&amp;F902&amp;"."&amp;IF(J902&lt;&gt;"",CHAR(10)&amp;CHAR(10)&amp;"رابط التقرير: "&amp;J902,"")&amp;CHAR(10)&amp;CHAR(10)&amp;"إذا أحببت، يمكننا مساعدتك في فهم التقرير وتحديد أفضل خطوة تالية لعيادتكم.")</x:f>
      </x:c>
      <x:c r="L902" s="12" t="str">
        <x:f>IF(D902="","",HYPERLINK("https://wa.me/"&amp;REGEXREPLACE(D902,"[^\d]","")&amp;"?text="&amp;ENCODEURL(K902),"واتساب 1"))</x:f>
      </x:c>
      <x:c r="M902" s="12" t="str">
        <x:f>IF(A902="","","مرحبًا "&amp;C902&amp;CHAR(10)&amp;CHAR(10)&amp;"بناءً على نتيجة تقييم عيادة "&amp;B902&amp;"، فإن الترشيح الأقوى لكم الآن هو: "&amp;G902&amp;"."&amp;CHAR(10)&amp;"هذا الخيار يساعدكم في معالجة أكبر فجوة حالية بشكل عملي ومباشر."&amp;IF(J902&lt;&gt;"",CHAR(10)&amp;CHAR(10)&amp;"رابط التقرير: "&amp;J902,"")&amp;CHAR(10)&amp;CHAR(10)&amp;"إذا رغبت، يمكننا توضيح لماذا هذا الكورس هو الأنسب لكم الآن.")</x:f>
      </x:c>
      <x:c r="N902" s="12" t="str">
        <x:f>IF(D902="","",HYPERLINK("https://wa.me/"&amp;REGEXREPLACE(D902,"[^\d]","")&amp;"?text="&amp;ENCODEURL(M902),"واتساب 2"))</x:f>
      </x:c>
      <x:c r="O902" s="12" t="str">
        <x:f>IF(A902="","","مرحبًا "&amp;C902&amp;CHAR(10)&amp;CHAR(10)&amp;"إذا كانت التحديات لديكم تحتاج حلًا أشمل، فالبرنامج الكامل المناسب لكم هو: "&amp;H902&amp;"."&amp;IF(I902&lt;&gt;"",CHAR(10)&amp;"كما يمكنكم أيضًا حجز: "&amp;I902&amp;".","")&amp;IF(J902&lt;&gt;"",CHAR(10)&amp;CHAR(10)&amp;"رابط التقرير: "&amp;J902,"")&amp;CHAR(10)&amp;CHAR(10)&amp;"يسعدنا مساعدتكم في اختيار المسار الأنسب حسب وضع العيادة الحالي.")</x:f>
      </x:c>
      <x:c r="P902" s="12" t="str">
        <x:f>IF(D902="","",HYPERLINK("https://wa.me/"&amp;REGEXREPLACE(D902,"[^\d]","")&amp;"?text="&amp;ENCODEURL(O902),"واتساب 3"))</x:f>
      </x:c>
    </x:row>
    <x:row r="903" ht="15" hidden="0" customHeight="1">
      <x:c r="A903" s="12" t="str">
        <x:f>IF(Leads!A903="","",Leads!A903)</x:f>
      </x:c>
      <x:c r="B903" s="12" t="str">
        <x:f>IF(Leads!F903="","",Leads!F903)</x:f>
      </x:c>
      <x:c r="C903" s="12" t="str">
        <x:f>IF(Leads!G903="","",Leads!G903)</x:f>
      </x:c>
      <x:c r="D903" s="12" t="str">
        <x:f>IF(Leads!O903="","",Leads!O903)</x:f>
      </x:c>
      <x:c r="E903" s="12" t="str">
        <x:f>IF(Leads!AV903="","",Leads!AV903)</x:f>
      </x:c>
      <x:c r="F903" s="12" t="str">
        <x:f>IF(Leads!AX903="","",Leads!AX903)</x:f>
      </x:c>
      <x:c r="G903" s="12" t="str">
        <x:f>IF(Leads!BC903="","",Leads!BC903)</x:f>
      </x:c>
      <x:c r="H903" s="12" t="str">
        <x:f>IF(Leads!BE903="","",Leads!BE903)</x:f>
      </x:c>
      <x:c r="I903" s="12" t="str">
        <x:f>IF(Leads!BG903="","",Leads!BG903)</x:f>
      </x:c>
      <x:c r="J903" s="12" t="str">
        <x:f>IF(Leads!BH903="","",Leads!BH903)</x:f>
      </x:c>
      <x:c r="K903" s="12" t="str">
        <x:f>IF(A903="","","مرحبًا "&amp;C903&amp;CHAR(10)&amp;CHAR(10)&amp;"شكرًا لإتمام تقييم DBD الخاص بعيادة "&amp;B903&amp;"."&amp;CHAR(10)&amp;"نتيجتكم الحالية: "&amp;E903&amp;"%."&amp;CHAR(10)&amp;"أولوية التحسين الأولى: "&amp;F903&amp;"."&amp;IF(J903&lt;&gt;"",CHAR(10)&amp;CHAR(10)&amp;"رابط التقرير: "&amp;J903,"")&amp;CHAR(10)&amp;CHAR(10)&amp;"إذا أحببت، يمكننا مساعدتك في فهم التقرير وتحديد أفضل خطوة تالية لعيادتكم.")</x:f>
      </x:c>
      <x:c r="L903" s="12" t="str">
        <x:f>IF(D903="","",HYPERLINK("https://wa.me/"&amp;REGEXREPLACE(D903,"[^\d]","")&amp;"?text="&amp;ENCODEURL(K903),"واتساب 1"))</x:f>
      </x:c>
      <x:c r="M903" s="12" t="str">
        <x:f>IF(A903="","","مرحبًا "&amp;C903&amp;CHAR(10)&amp;CHAR(10)&amp;"بناءً على نتيجة تقييم عيادة "&amp;B903&amp;"، فإن الترشيح الأقوى لكم الآن هو: "&amp;G903&amp;"."&amp;CHAR(10)&amp;"هذا الخيار يساعدكم في معالجة أكبر فجوة حالية بشكل عملي ومباشر."&amp;IF(J903&lt;&gt;"",CHAR(10)&amp;CHAR(10)&amp;"رابط التقرير: "&amp;J903,"")&amp;CHAR(10)&amp;CHAR(10)&amp;"إذا رغبت، يمكننا توضيح لماذا هذا الكورس هو الأنسب لكم الآن.")</x:f>
      </x:c>
      <x:c r="N903" s="12" t="str">
        <x:f>IF(D903="","",HYPERLINK("https://wa.me/"&amp;REGEXREPLACE(D903,"[^\d]","")&amp;"?text="&amp;ENCODEURL(M903),"واتساب 2"))</x:f>
      </x:c>
      <x:c r="O903" s="12" t="str">
        <x:f>IF(A903="","","مرحبًا "&amp;C903&amp;CHAR(10)&amp;CHAR(10)&amp;"إذا كانت التحديات لديكم تحتاج حلًا أشمل، فالبرنامج الكامل المناسب لكم هو: "&amp;H903&amp;"."&amp;IF(I903&lt;&gt;"",CHAR(10)&amp;"كما يمكنكم أيضًا حجز: "&amp;I903&amp;".","")&amp;IF(J903&lt;&gt;"",CHAR(10)&amp;CHAR(10)&amp;"رابط التقرير: "&amp;J903,"")&amp;CHAR(10)&amp;CHAR(10)&amp;"يسعدنا مساعدتكم في اختيار المسار الأنسب حسب وضع العيادة الحالي.")</x:f>
      </x:c>
      <x:c r="P903" s="12" t="str">
        <x:f>IF(D903="","",HYPERLINK("https://wa.me/"&amp;REGEXREPLACE(D903,"[^\d]","")&amp;"?text="&amp;ENCODEURL(O903),"واتساب 3"))</x:f>
      </x:c>
    </x:row>
    <x:row r="904" ht="15" hidden="0" customHeight="1">
      <x:c r="A904" s="12" t="str">
        <x:f>IF(Leads!A904="","",Leads!A904)</x:f>
      </x:c>
      <x:c r="B904" s="12" t="str">
        <x:f>IF(Leads!F904="","",Leads!F904)</x:f>
      </x:c>
      <x:c r="C904" s="12" t="str">
        <x:f>IF(Leads!G904="","",Leads!G904)</x:f>
      </x:c>
      <x:c r="D904" s="12" t="str">
        <x:f>IF(Leads!O904="","",Leads!O904)</x:f>
      </x:c>
      <x:c r="E904" s="12" t="str">
        <x:f>IF(Leads!AV904="","",Leads!AV904)</x:f>
      </x:c>
      <x:c r="F904" s="12" t="str">
        <x:f>IF(Leads!AX904="","",Leads!AX904)</x:f>
      </x:c>
      <x:c r="G904" s="12" t="str">
        <x:f>IF(Leads!BC904="","",Leads!BC904)</x:f>
      </x:c>
      <x:c r="H904" s="12" t="str">
        <x:f>IF(Leads!BE904="","",Leads!BE904)</x:f>
      </x:c>
      <x:c r="I904" s="12" t="str">
        <x:f>IF(Leads!BG904="","",Leads!BG904)</x:f>
      </x:c>
      <x:c r="J904" s="12" t="str">
        <x:f>IF(Leads!BH904="","",Leads!BH904)</x:f>
      </x:c>
      <x:c r="K904" s="12" t="str">
        <x:f>IF(A904="","","مرحبًا "&amp;C904&amp;CHAR(10)&amp;CHAR(10)&amp;"شكرًا لإتمام تقييم DBD الخاص بعيادة "&amp;B904&amp;"."&amp;CHAR(10)&amp;"نتيجتكم الحالية: "&amp;E904&amp;"%."&amp;CHAR(10)&amp;"أولوية التحسين الأولى: "&amp;F904&amp;"."&amp;IF(J904&lt;&gt;"",CHAR(10)&amp;CHAR(10)&amp;"رابط التقرير: "&amp;J904,"")&amp;CHAR(10)&amp;CHAR(10)&amp;"إذا أحببت، يمكننا مساعدتك في فهم التقرير وتحديد أفضل خطوة تالية لعيادتكم.")</x:f>
      </x:c>
      <x:c r="L904" s="12" t="str">
        <x:f>IF(D904="","",HYPERLINK("https://wa.me/"&amp;REGEXREPLACE(D904,"[^\d]","")&amp;"?text="&amp;ENCODEURL(K904),"واتساب 1"))</x:f>
      </x:c>
      <x:c r="M904" s="12" t="str">
        <x:f>IF(A904="","","مرحبًا "&amp;C904&amp;CHAR(10)&amp;CHAR(10)&amp;"بناءً على نتيجة تقييم عيادة "&amp;B904&amp;"، فإن الترشيح الأقوى لكم الآن هو: "&amp;G904&amp;"."&amp;CHAR(10)&amp;"هذا الخيار يساعدكم في معالجة أكبر فجوة حالية بشكل عملي ومباشر."&amp;IF(J904&lt;&gt;"",CHAR(10)&amp;CHAR(10)&amp;"رابط التقرير: "&amp;J904,"")&amp;CHAR(10)&amp;CHAR(10)&amp;"إذا رغبت، يمكننا توضيح لماذا هذا الكورس هو الأنسب لكم الآن.")</x:f>
      </x:c>
      <x:c r="N904" s="12" t="str">
        <x:f>IF(D904="","",HYPERLINK("https://wa.me/"&amp;REGEXREPLACE(D904,"[^\d]","")&amp;"?text="&amp;ENCODEURL(M904),"واتساب 2"))</x:f>
      </x:c>
      <x:c r="O904" s="12" t="str">
        <x:f>IF(A904="","","مرحبًا "&amp;C904&amp;CHAR(10)&amp;CHAR(10)&amp;"إذا كانت التحديات لديكم تحتاج حلًا أشمل، فالبرنامج الكامل المناسب لكم هو: "&amp;H904&amp;"."&amp;IF(I904&lt;&gt;"",CHAR(10)&amp;"كما يمكنكم أيضًا حجز: "&amp;I904&amp;".","")&amp;IF(J904&lt;&gt;"",CHAR(10)&amp;CHAR(10)&amp;"رابط التقرير: "&amp;J904,"")&amp;CHAR(10)&amp;CHAR(10)&amp;"يسعدنا مساعدتكم في اختيار المسار الأنسب حسب وضع العيادة الحالي.")</x:f>
      </x:c>
      <x:c r="P904" s="12" t="str">
        <x:f>IF(D904="","",HYPERLINK("https://wa.me/"&amp;REGEXREPLACE(D904,"[^\d]","")&amp;"?text="&amp;ENCODEURL(O904),"واتساب 3"))</x:f>
      </x:c>
    </x:row>
    <x:row r="905" ht="15" hidden="0" customHeight="1">
      <x:c r="A905" s="12" t="str">
        <x:f>IF(Leads!A905="","",Leads!A905)</x:f>
      </x:c>
      <x:c r="B905" s="12" t="str">
        <x:f>IF(Leads!F905="","",Leads!F905)</x:f>
      </x:c>
      <x:c r="C905" s="12" t="str">
        <x:f>IF(Leads!G905="","",Leads!G905)</x:f>
      </x:c>
      <x:c r="D905" s="12" t="str">
        <x:f>IF(Leads!O905="","",Leads!O905)</x:f>
      </x:c>
      <x:c r="E905" s="12" t="str">
        <x:f>IF(Leads!AV905="","",Leads!AV905)</x:f>
      </x:c>
      <x:c r="F905" s="12" t="str">
        <x:f>IF(Leads!AX905="","",Leads!AX905)</x:f>
      </x:c>
      <x:c r="G905" s="12" t="str">
        <x:f>IF(Leads!BC905="","",Leads!BC905)</x:f>
      </x:c>
      <x:c r="H905" s="12" t="str">
        <x:f>IF(Leads!BE905="","",Leads!BE905)</x:f>
      </x:c>
      <x:c r="I905" s="12" t="str">
        <x:f>IF(Leads!BG905="","",Leads!BG905)</x:f>
      </x:c>
      <x:c r="J905" s="12" t="str">
        <x:f>IF(Leads!BH905="","",Leads!BH905)</x:f>
      </x:c>
      <x:c r="K905" s="12" t="str">
        <x:f>IF(A905="","","مرحبًا "&amp;C905&amp;CHAR(10)&amp;CHAR(10)&amp;"شكرًا لإتمام تقييم DBD الخاص بعيادة "&amp;B905&amp;"."&amp;CHAR(10)&amp;"نتيجتكم الحالية: "&amp;E905&amp;"%."&amp;CHAR(10)&amp;"أولوية التحسين الأولى: "&amp;F905&amp;"."&amp;IF(J905&lt;&gt;"",CHAR(10)&amp;CHAR(10)&amp;"رابط التقرير: "&amp;J905,"")&amp;CHAR(10)&amp;CHAR(10)&amp;"إذا أحببت، يمكننا مساعدتك في فهم التقرير وتحديد أفضل خطوة تالية لعيادتكم.")</x:f>
      </x:c>
      <x:c r="L905" s="12" t="str">
        <x:f>IF(D905="","",HYPERLINK("https://wa.me/"&amp;REGEXREPLACE(D905,"[^\d]","")&amp;"?text="&amp;ENCODEURL(K905),"واتساب 1"))</x:f>
      </x:c>
      <x:c r="M905" s="12" t="str">
        <x:f>IF(A905="","","مرحبًا "&amp;C905&amp;CHAR(10)&amp;CHAR(10)&amp;"بناءً على نتيجة تقييم عيادة "&amp;B905&amp;"، فإن الترشيح الأقوى لكم الآن هو: "&amp;G905&amp;"."&amp;CHAR(10)&amp;"هذا الخيار يساعدكم في معالجة أكبر فجوة حالية بشكل عملي ومباشر."&amp;IF(J905&lt;&gt;"",CHAR(10)&amp;CHAR(10)&amp;"رابط التقرير: "&amp;J905,"")&amp;CHAR(10)&amp;CHAR(10)&amp;"إذا رغبت، يمكننا توضيح لماذا هذا الكورس هو الأنسب لكم الآن.")</x:f>
      </x:c>
      <x:c r="N905" s="12" t="str">
        <x:f>IF(D905="","",HYPERLINK("https://wa.me/"&amp;REGEXREPLACE(D905,"[^\d]","")&amp;"?text="&amp;ENCODEURL(M905),"واتساب 2"))</x:f>
      </x:c>
      <x:c r="O905" s="12" t="str">
        <x:f>IF(A905="","","مرحبًا "&amp;C905&amp;CHAR(10)&amp;CHAR(10)&amp;"إذا كانت التحديات لديكم تحتاج حلًا أشمل، فالبرنامج الكامل المناسب لكم هو: "&amp;H905&amp;"."&amp;IF(I905&lt;&gt;"",CHAR(10)&amp;"كما يمكنكم أيضًا حجز: "&amp;I905&amp;".","")&amp;IF(J905&lt;&gt;"",CHAR(10)&amp;CHAR(10)&amp;"رابط التقرير: "&amp;J905,"")&amp;CHAR(10)&amp;CHAR(10)&amp;"يسعدنا مساعدتكم في اختيار المسار الأنسب حسب وضع العيادة الحالي.")</x:f>
      </x:c>
      <x:c r="P905" s="12" t="str">
        <x:f>IF(D905="","",HYPERLINK("https://wa.me/"&amp;REGEXREPLACE(D905,"[^\d]","")&amp;"?text="&amp;ENCODEURL(O905),"واتساب 3"))</x:f>
      </x:c>
    </x:row>
    <x:row r="906" ht="15" hidden="0" customHeight="1">
      <x:c r="A906" s="12" t="str">
        <x:f>IF(Leads!A906="","",Leads!A906)</x:f>
      </x:c>
      <x:c r="B906" s="12" t="str">
        <x:f>IF(Leads!F906="","",Leads!F906)</x:f>
      </x:c>
      <x:c r="C906" s="12" t="str">
        <x:f>IF(Leads!G906="","",Leads!G906)</x:f>
      </x:c>
      <x:c r="D906" s="12" t="str">
        <x:f>IF(Leads!O906="","",Leads!O906)</x:f>
      </x:c>
      <x:c r="E906" s="12" t="str">
        <x:f>IF(Leads!AV906="","",Leads!AV906)</x:f>
      </x:c>
      <x:c r="F906" s="12" t="str">
        <x:f>IF(Leads!AX906="","",Leads!AX906)</x:f>
      </x:c>
      <x:c r="G906" s="12" t="str">
        <x:f>IF(Leads!BC906="","",Leads!BC906)</x:f>
      </x:c>
      <x:c r="H906" s="12" t="str">
        <x:f>IF(Leads!BE906="","",Leads!BE906)</x:f>
      </x:c>
      <x:c r="I906" s="12" t="str">
        <x:f>IF(Leads!BG906="","",Leads!BG906)</x:f>
      </x:c>
      <x:c r="J906" s="12" t="str">
        <x:f>IF(Leads!BH906="","",Leads!BH906)</x:f>
      </x:c>
      <x:c r="K906" s="12" t="str">
        <x:f>IF(A906="","","مرحبًا "&amp;C906&amp;CHAR(10)&amp;CHAR(10)&amp;"شكرًا لإتمام تقييم DBD الخاص بعيادة "&amp;B906&amp;"."&amp;CHAR(10)&amp;"نتيجتكم الحالية: "&amp;E906&amp;"%."&amp;CHAR(10)&amp;"أولوية التحسين الأولى: "&amp;F906&amp;"."&amp;IF(J906&lt;&gt;"",CHAR(10)&amp;CHAR(10)&amp;"رابط التقرير: "&amp;J906,"")&amp;CHAR(10)&amp;CHAR(10)&amp;"إذا أحببت، يمكننا مساعدتك في فهم التقرير وتحديد أفضل خطوة تالية لعيادتكم.")</x:f>
      </x:c>
      <x:c r="L906" s="12" t="str">
        <x:f>IF(D906="","",HYPERLINK("https://wa.me/"&amp;REGEXREPLACE(D906,"[^\d]","")&amp;"?text="&amp;ENCODEURL(K906),"واتساب 1"))</x:f>
      </x:c>
      <x:c r="M906" s="12" t="str">
        <x:f>IF(A906="","","مرحبًا "&amp;C906&amp;CHAR(10)&amp;CHAR(10)&amp;"بناءً على نتيجة تقييم عيادة "&amp;B906&amp;"، فإن الترشيح الأقوى لكم الآن هو: "&amp;G906&amp;"."&amp;CHAR(10)&amp;"هذا الخيار يساعدكم في معالجة أكبر فجوة حالية بشكل عملي ومباشر."&amp;IF(J906&lt;&gt;"",CHAR(10)&amp;CHAR(10)&amp;"رابط التقرير: "&amp;J906,"")&amp;CHAR(10)&amp;CHAR(10)&amp;"إذا رغبت، يمكننا توضيح لماذا هذا الكورس هو الأنسب لكم الآن.")</x:f>
      </x:c>
      <x:c r="N906" s="12" t="str">
        <x:f>IF(D906="","",HYPERLINK("https://wa.me/"&amp;REGEXREPLACE(D906,"[^\d]","")&amp;"?text="&amp;ENCODEURL(M906),"واتساب 2"))</x:f>
      </x:c>
      <x:c r="O906" s="12" t="str">
        <x:f>IF(A906="","","مرحبًا "&amp;C906&amp;CHAR(10)&amp;CHAR(10)&amp;"إذا كانت التحديات لديكم تحتاج حلًا أشمل، فالبرنامج الكامل المناسب لكم هو: "&amp;H906&amp;"."&amp;IF(I906&lt;&gt;"",CHAR(10)&amp;"كما يمكنكم أيضًا حجز: "&amp;I906&amp;".","")&amp;IF(J906&lt;&gt;"",CHAR(10)&amp;CHAR(10)&amp;"رابط التقرير: "&amp;J906,"")&amp;CHAR(10)&amp;CHAR(10)&amp;"يسعدنا مساعدتكم في اختيار المسار الأنسب حسب وضع العيادة الحالي.")</x:f>
      </x:c>
      <x:c r="P906" s="12" t="str">
        <x:f>IF(D906="","",HYPERLINK("https://wa.me/"&amp;REGEXREPLACE(D906,"[^\d]","")&amp;"?text="&amp;ENCODEURL(O906),"واتساب 3"))</x:f>
      </x:c>
    </x:row>
    <x:row r="907" ht="15" hidden="0" customHeight="1">
      <x:c r="A907" s="12" t="str">
        <x:f>IF(Leads!A907="","",Leads!A907)</x:f>
      </x:c>
      <x:c r="B907" s="12" t="str">
        <x:f>IF(Leads!F907="","",Leads!F907)</x:f>
      </x:c>
      <x:c r="C907" s="12" t="str">
        <x:f>IF(Leads!G907="","",Leads!G907)</x:f>
      </x:c>
      <x:c r="D907" s="12" t="str">
        <x:f>IF(Leads!O907="","",Leads!O907)</x:f>
      </x:c>
      <x:c r="E907" s="12" t="str">
        <x:f>IF(Leads!AV907="","",Leads!AV907)</x:f>
      </x:c>
      <x:c r="F907" s="12" t="str">
        <x:f>IF(Leads!AX907="","",Leads!AX907)</x:f>
      </x:c>
      <x:c r="G907" s="12" t="str">
        <x:f>IF(Leads!BC907="","",Leads!BC907)</x:f>
      </x:c>
      <x:c r="H907" s="12" t="str">
        <x:f>IF(Leads!BE907="","",Leads!BE907)</x:f>
      </x:c>
      <x:c r="I907" s="12" t="str">
        <x:f>IF(Leads!BG907="","",Leads!BG907)</x:f>
      </x:c>
      <x:c r="J907" s="12" t="str">
        <x:f>IF(Leads!BH907="","",Leads!BH907)</x:f>
      </x:c>
      <x:c r="K907" s="12" t="str">
        <x:f>IF(A907="","","مرحبًا "&amp;C907&amp;CHAR(10)&amp;CHAR(10)&amp;"شكرًا لإتمام تقييم DBD الخاص بعيادة "&amp;B907&amp;"."&amp;CHAR(10)&amp;"نتيجتكم الحالية: "&amp;E907&amp;"%."&amp;CHAR(10)&amp;"أولوية التحسين الأولى: "&amp;F907&amp;"."&amp;IF(J907&lt;&gt;"",CHAR(10)&amp;CHAR(10)&amp;"رابط التقرير: "&amp;J907,"")&amp;CHAR(10)&amp;CHAR(10)&amp;"إذا أحببت، يمكننا مساعدتك في فهم التقرير وتحديد أفضل خطوة تالية لعيادتكم.")</x:f>
      </x:c>
      <x:c r="L907" s="12" t="str">
        <x:f>IF(D907="","",HYPERLINK("https://wa.me/"&amp;REGEXREPLACE(D907,"[^\d]","")&amp;"?text="&amp;ENCODEURL(K907),"واتساب 1"))</x:f>
      </x:c>
      <x:c r="M907" s="12" t="str">
        <x:f>IF(A907="","","مرحبًا "&amp;C907&amp;CHAR(10)&amp;CHAR(10)&amp;"بناءً على نتيجة تقييم عيادة "&amp;B907&amp;"، فإن الترشيح الأقوى لكم الآن هو: "&amp;G907&amp;"."&amp;CHAR(10)&amp;"هذا الخيار يساعدكم في معالجة أكبر فجوة حالية بشكل عملي ومباشر."&amp;IF(J907&lt;&gt;"",CHAR(10)&amp;CHAR(10)&amp;"رابط التقرير: "&amp;J907,"")&amp;CHAR(10)&amp;CHAR(10)&amp;"إذا رغبت، يمكننا توضيح لماذا هذا الكورس هو الأنسب لكم الآن.")</x:f>
      </x:c>
      <x:c r="N907" s="12" t="str">
        <x:f>IF(D907="","",HYPERLINK("https://wa.me/"&amp;REGEXREPLACE(D907,"[^\d]","")&amp;"?text="&amp;ENCODEURL(M907),"واتساب 2"))</x:f>
      </x:c>
      <x:c r="O907" s="12" t="str">
        <x:f>IF(A907="","","مرحبًا "&amp;C907&amp;CHAR(10)&amp;CHAR(10)&amp;"إذا كانت التحديات لديكم تحتاج حلًا أشمل، فالبرنامج الكامل المناسب لكم هو: "&amp;H907&amp;"."&amp;IF(I907&lt;&gt;"",CHAR(10)&amp;"كما يمكنكم أيضًا حجز: "&amp;I907&amp;".","")&amp;IF(J907&lt;&gt;"",CHAR(10)&amp;CHAR(10)&amp;"رابط التقرير: "&amp;J907,"")&amp;CHAR(10)&amp;CHAR(10)&amp;"يسعدنا مساعدتكم في اختيار المسار الأنسب حسب وضع العيادة الحالي.")</x:f>
      </x:c>
      <x:c r="P907" s="12" t="str">
        <x:f>IF(D907="","",HYPERLINK("https://wa.me/"&amp;REGEXREPLACE(D907,"[^\d]","")&amp;"?text="&amp;ENCODEURL(O907),"واتساب 3"))</x:f>
      </x:c>
    </x:row>
    <x:row r="908" ht="15" hidden="0" customHeight="1">
      <x:c r="A908" s="12" t="str">
        <x:f>IF(Leads!A908="","",Leads!A908)</x:f>
      </x:c>
      <x:c r="B908" s="12" t="str">
        <x:f>IF(Leads!F908="","",Leads!F908)</x:f>
      </x:c>
      <x:c r="C908" s="12" t="str">
        <x:f>IF(Leads!G908="","",Leads!G908)</x:f>
      </x:c>
      <x:c r="D908" s="12" t="str">
        <x:f>IF(Leads!O908="","",Leads!O908)</x:f>
      </x:c>
      <x:c r="E908" s="12" t="str">
        <x:f>IF(Leads!AV908="","",Leads!AV908)</x:f>
      </x:c>
      <x:c r="F908" s="12" t="str">
        <x:f>IF(Leads!AX908="","",Leads!AX908)</x:f>
      </x:c>
      <x:c r="G908" s="12" t="str">
        <x:f>IF(Leads!BC908="","",Leads!BC908)</x:f>
      </x:c>
      <x:c r="H908" s="12" t="str">
        <x:f>IF(Leads!BE908="","",Leads!BE908)</x:f>
      </x:c>
      <x:c r="I908" s="12" t="str">
        <x:f>IF(Leads!BG908="","",Leads!BG908)</x:f>
      </x:c>
      <x:c r="J908" s="12" t="str">
        <x:f>IF(Leads!BH908="","",Leads!BH908)</x:f>
      </x:c>
      <x:c r="K908" s="12" t="str">
        <x:f>IF(A908="","","مرحبًا "&amp;C908&amp;CHAR(10)&amp;CHAR(10)&amp;"شكرًا لإتمام تقييم DBD الخاص بعيادة "&amp;B908&amp;"."&amp;CHAR(10)&amp;"نتيجتكم الحالية: "&amp;E908&amp;"%."&amp;CHAR(10)&amp;"أولوية التحسين الأولى: "&amp;F908&amp;"."&amp;IF(J908&lt;&gt;"",CHAR(10)&amp;CHAR(10)&amp;"رابط التقرير: "&amp;J908,"")&amp;CHAR(10)&amp;CHAR(10)&amp;"إذا أحببت، يمكننا مساعدتك في فهم التقرير وتحديد أفضل خطوة تالية لعيادتكم.")</x:f>
      </x:c>
      <x:c r="L908" s="12" t="str">
        <x:f>IF(D908="","",HYPERLINK("https://wa.me/"&amp;REGEXREPLACE(D908,"[^\d]","")&amp;"?text="&amp;ENCODEURL(K908),"واتساب 1"))</x:f>
      </x:c>
      <x:c r="M908" s="12" t="str">
        <x:f>IF(A908="","","مرحبًا "&amp;C908&amp;CHAR(10)&amp;CHAR(10)&amp;"بناءً على نتيجة تقييم عيادة "&amp;B908&amp;"، فإن الترشيح الأقوى لكم الآن هو: "&amp;G908&amp;"."&amp;CHAR(10)&amp;"هذا الخيار يساعدكم في معالجة أكبر فجوة حالية بشكل عملي ومباشر."&amp;IF(J908&lt;&gt;"",CHAR(10)&amp;CHAR(10)&amp;"رابط التقرير: "&amp;J908,"")&amp;CHAR(10)&amp;CHAR(10)&amp;"إذا رغبت، يمكننا توضيح لماذا هذا الكورس هو الأنسب لكم الآن.")</x:f>
      </x:c>
      <x:c r="N908" s="12" t="str">
        <x:f>IF(D908="","",HYPERLINK("https://wa.me/"&amp;REGEXREPLACE(D908,"[^\d]","")&amp;"?text="&amp;ENCODEURL(M908),"واتساب 2"))</x:f>
      </x:c>
      <x:c r="O908" s="12" t="str">
        <x:f>IF(A908="","","مرحبًا "&amp;C908&amp;CHAR(10)&amp;CHAR(10)&amp;"إذا كانت التحديات لديكم تحتاج حلًا أشمل، فالبرنامج الكامل المناسب لكم هو: "&amp;H908&amp;"."&amp;IF(I908&lt;&gt;"",CHAR(10)&amp;"كما يمكنكم أيضًا حجز: "&amp;I908&amp;".","")&amp;IF(J908&lt;&gt;"",CHAR(10)&amp;CHAR(10)&amp;"رابط التقرير: "&amp;J908,"")&amp;CHAR(10)&amp;CHAR(10)&amp;"يسعدنا مساعدتكم في اختيار المسار الأنسب حسب وضع العيادة الحالي.")</x:f>
      </x:c>
      <x:c r="P908" s="12" t="str">
        <x:f>IF(D908="","",HYPERLINK("https://wa.me/"&amp;REGEXREPLACE(D908,"[^\d]","")&amp;"?text="&amp;ENCODEURL(O908),"واتساب 3"))</x:f>
      </x:c>
    </x:row>
    <x:row r="909" ht="15" hidden="0" customHeight="1">
      <x:c r="A909" s="12" t="str">
        <x:f>IF(Leads!A909="","",Leads!A909)</x:f>
      </x:c>
      <x:c r="B909" s="12" t="str">
        <x:f>IF(Leads!F909="","",Leads!F909)</x:f>
      </x:c>
      <x:c r="C909" s="12" t="str">
        <x:f>IF(Leads!G909="","",Leads!G909)</x:f>
      </x:c>
      <x:c r="D909" s="12" t="str">
        <x:f>IF(Leads!O909="","",Leads!O909)</x:f>
      </x:c>
      <x:c r="E909" s="12" t="str">
        <x:f>IF(Leads!AV909="","",Leads!AV909)</x:f>
      </x:c>
      <x:c r="F909" s="12" t="str">
        <x:f>IF(Leads!AX909="","",Leads!AX909)</x:f>
      </x:c>
      <x:c r="G909" s="12" t="str">
        <x:f>IF(Leads!BC909="","",Leads!BC909)</x:f>
      </x:c>
      <x:c r="H909" s="12" t="str">
        <x:f>IF(Leads!BE909="","",Leads!BE909)</x:f>
      </x:c>
      <x:c r="I909" s="12" t="str">
        <x:f>IF(Leads!BG909="","",Leads!BG909)</x:f>
      </x:c>
      <x:c r="J909" s="12" t="str">
        <x:f>IF(Leads!BH909="","",Leads!BH909)</x:f>
      </x:c>
      <x:c r="K909" s="12" t="str">
        <x:f>IF(A909="","","مرحبًا "&amp;C909&amp;CHAR(10)&amp;CHAR(10)&amp;"شكرًا لإتمام تقييم DBD الخاص بعيادة "&amp;B909&amp;"."&amp;CHAR(10)&amp;"نتيجتكم الحالية: "&amp;E909&amp;"%."&amp;CHAR(10)&amp;"أولوية التحسين الأولى: "&amp;F909&amp;"."&amp;IF(J909&lt;&gt;"",CHAR(10)&amp;CHAR(10)&amp;"رابط التقرير: "&amp;J909,"")&amp;CHAR(10)&amp;CHAR(10)&amp;"إذا أحببت، يمكننا مساعدتك في فهم التقرير وتحديد أفضل خطوة تالية لعيادتكم.")</x:f>
      </x:c>
      <x:c r="L909" s="12" t="str">
        <x:f>IF(D909="","",HYPERLINK("https://wa.me/"&amp;REGEXREPLACE(D909,"[^\d]","")&amp;"?text="&amp;ENCODEURL(K909),"واتساب 1"))</x:f>
      </x:c>
      <x:c r="M909" s="12" t="str">
        <x:f>IF(A909="","","مرحبًا "&amp;C909&amp;CHAR(10)&amp;CHAR(10)&amp;"بناءً على نتيجة تقييم عيادة "&amp;B909&amp;"، فإن الترشيح الأقوى لكم الآن هو: "&amp;G909&amp;"."&amp;CHAR(10)&amp;"هذا الخيار يساعدكم في معالجة أكبر فجوة حالية بشكل عملي ومباشر."&amp;IF(J909&lt;&gt;"",CHAR(10)&amp;CHAR(10)&amp;"رابط التقرير: "&amp;J909,"")&amp;CHAR(10)&amp;CHAR(10)&amp;"إذا رغبت، يمكننا توضيح لماذا هذا الكورس هو الأنسب لكم الآن.")</x:f>
      </x:c>
      <x:c r="N909" s="12" t="str">
        <x:f>IF(D909="","",HYPERLINK("https://wa.me/"&amp;REGEXREPLACE(D909,"[^\d]","")&amp;"?text="&amp;ENCODEURL(M909),"واتساب 2"))</x:f>
      </x:c>
      <x:c r="O909" s="12" t="str">
        <x:f>IF(A909="","","مرحبًا "&amp;C909&amp;CHAR(10)&amp;CHAR(10)&amp;"إذا كانت التحديات لديكم تحتاج حلًا أشمل، فالبرنامج الكامل المناسب لكم هو: "&amp;H909&amp;"."&amp;IF(I909&lt;&gt;"",CHAR(10)&amp;"كما يمكنكم أيضًا حجز: "&amp;I909&amp;".","")&amp;IF(J909&lt;&gt;"",CHAR(10)&amp;CHAR(10)&amp;"رابط التقرير: "&amp;J909,"")&amp;CHAR(10)&amp;CHAR(10)&amp;"يسعدنا مساعدتكم في اختيار المسار الأنسب حسب وضع العيادة الحالي.")</x:f>
      </x:c>
      <x:c r="P909" s="12" t="str">
        <x:f>IF(D909="","",HYPERLINK("https://wa.me/"&amp;REGEXREPLACE(D909,"[^\d]","")&amp;"?text="&amp;ENCODEURL(O909),"واتساب 3"))</x:f>
      </x:c>
    </x:row>
    <x:row r="910" ht="15" hidden="0" customHeight="1">
      <x:c r="A910" s="12" t="str">
        <x:f>IF(Leads!A910="","",Leads!A910)</x:f>
      </x:c>
      <x:c r="B910" s="12" t="str">
        <x:f>IF(Leads!F910="","",Leads!F910)</x:f>
      </x:c>
      <x:c r="C910" s="12" t="str">
        <x:f>IF(Leads!G910="","",Leads!G910)</x:f>
      </x:c>
      <x:c r="D910" s="12" t="str">
        <x:f>IF(Leads!O910="","",Leads!O910)</x:f>
      </x:c>
      <x:c r="E910" s="12" t="str">
        <x:f>IF(Leads!AV910="","",Leads!AV910)</x:f>
      </x:c>
      <x:c r="F910" s="12" t="str">
        <x:f>IF(Leads!AX910="","",Leads!AX910)</x:f>
      </x:c>
      <x:c r="G910" s="12" t="str">
        <x:f>IF(Leads!BC910="","",Leads!BC910)</x:f>
      </x:c>
      <x:c r="H910" s="12" t="str">
        <x:f>IF(Leads!BE910="","",Leads!BE910)</x:f>
      </x:c>
      <x:c r="I910" s="12" t="str">
        <x:f>IF(Leads!BG910="","",Leads!BG910)</x:f>
      </x:c>
      <x:c r="J910" s="12" t="str">
        <x:f>IF(Leads!BH910="","",Leads!BH910)</x:f>
      </x:c>
      <x:c r="K910" s="12" t="str">
        <x:f>IF(A910="","","مرحبًا "&amp;C910&amp;CHAR(10)&amp;CHAR(10)&amp;"شكرًا لإتمام تقييم DBD الخاص بعيادة "&amp;B910&amp;"."&amp;CHAR(10)&amp;"نتيجتكم الحالية: "&amp;E910&amp;"%."&amp;CHAR(10)&amp;"أولوية التحسين الأولى: "&amp;F910&amp;"."&amp;IF(J910&lt;&gt;"",CHAR(10)&amp;CHAR(10)&amp;"رابط التقرير: "&amp;J910,"")&amp;CHAR(10)&amp;CHAR(10)&amp;"إذا أحببت، يمكننا مساعدتك في فهم التقرير وتحديد أفضل خطوة تالية لعيادتكم.")</x:f>
      </x:c>
      <x:c r="L910" s="12" t="str">
        <x:f>IF(D910="","",HYPERLINK("https://wa.me/"&amp;REGEXREPLACE(D910,"[^\d]","")&amp;"?text="&amp;ENCODEURL(K910),"واتساب 1"))</x:f>
      </x:c>
      <x:c r="M910" s="12" t="str">
        <x:f>IF(A910="","","مرحبًا "&amp;C910&amp;CHAR(10)&amp;CHAR(10)&amp;"بناءً على نتيجة تقييم عيادة "&amp;B910&amp;"، فإن الترشيح الأقوى لكم الآن هو: "&amp;G910&amp;"."&amp;CHAR(10)&amp;"هذا الخيار يساعدكم في معالجة أكبر فجوة حالية بشكل عملي ومباشر."&amp;IF(J910&lt;&gt;"",CHAR(10)&amp;CHAR(10)&amp;"رابط التقرير: "&amp;J910,"")&amp;CHAR(10)&amp;CHAR(10)&amp;"إذا رغبت، يمكننا توضيح لماذا هذا الكورس هو الأنسب لكم الآن.")</x:f>
      </x:c>
      <x:c r="N910" s="12" t="str">
        <x:f>IF(D910="","",HYPERLINK("https://wa.me/"&amp;REGEXREPLACE(D910,"[^\d]","")&amp;"?text="&amp;ENCODEURL(M910),"واتساب 2"))</x:f>
      </x:c>
      <x:c r="O910" s="12" t="str">
        <x:f>IF(A910="","","مرحبًا "&amp;C910&amp;CHAR(10)&amp;CHAR(10)&amp;"إذا كانت التحديات لديكم تحتاج حلًا أشمل، فالبرنامج الكامل المناسب لكم هو: "&amp;H910&amp;"."&amp;IF(I910&lt;&gt;"",CHAR(10)&amp;"كما يمكنكم أيضًا حجز: "&amp;I910&amp;".","")&amp;IF(J910&lt;&gt;"",CHAR(10)&amp;CHAR(10)&amp;"رابط التقرير: "&amp;J910,"")&amp;CHAR(10)&amp;CHAR(10)&amp;"يسعدنا مساعدتكم في اختيار المسار الأنسب حسب وضع العيادة الحالي.")</x:f>
      </x:c>
      <x:c r="P910" s="12" t="str">
        <x:f>IF(D910="","",HYPERLINK("https://wa.me/"&amp;REGEXREPLACE(D910,"[^\d]","")&amp;"?text="&amp;ENCODEURL(O910),"واتساب 3"))</x:f>
      </x:c>
    </x:row>
    <x:row r="911" ht="15" hidden="0" customHeight="1">
      <x:c r="A911" s="12" t="str">
        <x:f>IF(Leads!A911="","",Leads!A911)</x:f>
      </x:c>
      <x:c r="B911" s="12" t="str">
        <x:f>IF(Leads!F911="","",Leads!F911)</x:f>
      </x:c>
      <x:c r="C911" s="12" t="str">
        <x:f>IF(Leads!G911="","",Leads!G911)</x:f>
      </x:c>
      <x:c r="D911" s="12" t="str">
        <x:f>IF(Leads!O911="","",Leads!O911)</x:f>
      </x:c>
      <x:c r="E911" s="12" t="str">
        <x:f>IF(Leads!AV911="","",Leads!AV911)</x:f>
      </x:c>
      <x:c r="F911" s="12" t="str">
        <x:f>IF(Leads!AX911="","",Leads!AX911)</x:f>
      </x:c>
      <x:c r="G911" s="12" t="str">
        <x:f>IF(Leads!BC911="","",Leads!BC911)</x:f>
      </x:c>
      <x:c r="H911" s="12" t="str">
        <x:f>IF(Leads!BE911="","",Leads!BE911)</x:f>
      </x:c>
      <x:c r="I911" s="12" t="str">
        <x:f>IF(Leads!BG911="","",Leads!BG911)</x:f>
      </x:c>
      <x:c r="J911" s="12" t="str">
        <x:f>IF(Leads!BH911="","",Leads!BH911)</x:f>
      </x:c>
      <x:c r="K911" s="12" t="str">
        <x:f>IF(A911="","","مرحبًا "&amp;C911&amp;CHAR(10)&amp;CHAR(10)&amp;"شكرًا لإتمام تقييم DBD الخاص بعيادة "&amp;B911&amp;"."&amp;CHAR(10)&amp;"نتيجتكم الحالية: "&amp;E911&amp;"%."&amp;CHAR(10)&amp;"أولوية التحسين الأولى: "&amp;F911&amp;"."&amp;IF(J911&lt;&gt;"",CHAR(10)&amp;CHAR(10)&amp;"رابط التقرير: "&amp;J911,"")&amp;CHAR(10)&amp;CHAR(10)&amp;"إذا أحببت، يمكننا مساعدتك في فهم التقرير وتحديد أفضل خطوة تالية لعيادتكم.")</x:f>
      </x:c>
      <x:c r="L911" s="12" t="str">
        <x:f>IF(D911="","",HYPERLINK("https://wa.me/"&amp;REGEXREPLACE(D911,"[^\d]","")&amp;"?text="&amp;ENCODEURL(K911),"واتساب 1"))</x:f>
      </x:c>
      <x:c r="M911" s="12" t="str">
        <x:f>IF(A911="","","مرحبًا "&amp;C911&amp;CHAR(10)&amp;CHAR(10)&amp;"بناءً على نتيجة تقييم عيادة "&amp;B911&amp;"، فإن الترشيح الأقوى لكم الآن هو: "&amp;G911&amp;"."&amp;CHAR(10)&amp;"هذا الخيار يساعدكم في معالجة أكبر فجوة حالية بشكل عملي ومباشر."&amp;IF(J911&lt;&gt;"",CHAR(10)&amp;CHAR(10)&amp;"رابط التقرير: "&amp;J911,"")&amp;CHAR(10)&amp;CHAR(10)&amp;"إذا رغبت، يمكننا توضيح لماذا هذا الكورس هو الأنسب لكم الآن.")</x:f>
      </x:c>
      <x:c r="N911" s="12" t="str">
        <x:f>IF(D911="","",HYPERLINK("https://wa.me/"&amp;REGEXREPLACE(D911,"[^\d]","")&amp;"?text="&amp;ENCODEURL(M911),"واتساب 2"))</x:f>
      </x:c>
      <x:c r="O911" s="12" t="str">
        <x:f>IF(A911="","","مرحبًا "&amp;C911&amp;CHAR(10)&amp;CHAR(10)&amp;"إذا كانت التحديات لديكم تحتاج حلًا أشمل، فالبرنامج الكامل المناسب لكم هو: "&amp;H911&amp;"."&amp;IF(I911&lt;&gt;"",CHAR(10)&amp;"كما يمكنكم أيضًا حجز: "&amp;I911&amp;".","")&amp;IF(J911&lt;&gt;"",CHAR(10)&amp;CHAR(10)&amp;"رابط التقرير: "&amp;J911,"")&amp;CHAR(10)&amp;CHAR(10)&amp;"يسعدنا مساعدتكم في اختيار المسار الأنسب حسب وضع العيادة الحالي.")</x:f>
      </x:c>
      <x:c r="P911" s="12" t="str">
        <x:f>IF(D911="","",HYPERLINK("https://wa.me/"&amp;REGEXREPLACE(D911,"[^\d]","")&amp;"?text="&amp;ENCODEURL(O911),"واتساب 3"))</x:f>
      </x:c>
    </x:row>
    <x:row r="912" ht="15" hidden="0" customHeight="1">
      <x:c r="A912" s="12" t="str">
        <x:f>IF(Leads!A912="","",Leads!A912)</x:f>
      </x:c>
      <x:c r="B912" s="12" t="str">
        <x:f>IF(Leads!F912="","",Leads!F912)</x:f>
      </x:c>
      <x:c r="C912" s="12" t="str">
        <x:f>IF(Leads!G912="","",Leads!G912)</x:f>
      </x:c>
      <x:c r="D912" s="12" t="str">
        <x:f>IF(Leads!O912="","",Leads!O912)</x:f>
      </x:c>
      <x:c r="E912" s="12" t="str">
        <x:f>IF(Leads!AV912="","",Leads!AV912)</x:f>
      </x:c>
      <x:c r="F912" s="12" t="str">
        <x:f>IF(Leads!AX912="","",Leads!AX912)</x:f>
      </x:c>
      <x:c r="G912" s="12" t="str">
        <x:f>IF(Leads!BC912="","",Leads!BC912)</x:f>
      </x:c>
      <x:c r="H912" s="12" t="str">
        <x:f>IF(Leads!BE912="","",Leads!BE912)</x:f>
      </x:c>
      <x:c r="I912" s="12" t="str">
        <x:f>IF(Leads!BG912="","",Leads!BG912)</x:f>
      </x:c>
      <x:c r="J912" s="12" t="str">
        <x:f>IF(Leads!BH912="","",Leads!BH912)</x:f>
      </x:c>
      <x:c r="K912" s="12" t="str">
        <x:f>IF(A912="","","مرحبًا "&amp;C912&amp;CHAR(10)&amp;CHAR(10)&amp;"شكرًا لإتمام تقييم DBD الخاص بعيادة "&amp;B912&amp;"."&amp;CHAR(10)&amp;"نتيجتكم الحالية: "&amp;E912&amp;"%."&amp;CHAR(10)&amp;"أولوية التحسين الأولى: "&amp;F912&amp;"."&amp;IF(J912&lt;&gt;"",CHAR(10)&amp;CHAR(10)&amp;"رابط التقرير: "&amp;J912,"")&amp;CHAR(10)&amp;CHAR(10)&amp;"إذا أحببت، يمكننا مساعدتك في فهم التقرير وتحديد أفضل خطوة تالية لعيادتكم.")</x:f>
      </x:c>
      <x:c r="L912" s="12" t="str">
        <x:f>IF(D912="","",HYPERLINK("https://wa.me/"&amp;REGEXREPLACE(D912,"[^\d]","")&amp;"?text="&amp;ENCODEURL(K912),"واتساب 1"))</x:f>
      </x:c>
      <x:c r="M912" s="12" t="str">
        <x:f>IF(A912="","","مرحبًا "&amp;C912&amp;CHAR(10)&amp;CHAR(10)&amp;"بناءً على نتيجة تقييم عيادة "&amp;B912&amp;"، فإن الترشيح الأقوى لكم الآن هو: "&amp;G912&amp;"."&amp;CHAR(10)&amp;"هذا الخيار يساعدكم في معالجة أكبر فجوة حالية بشكل عملي ومباشر."&amp;IF(J912&lt;&gt;"",CHAR(10)&amp;CHAR(10)&amp;"رابط التقرير: "&amp;J912,"")&amp;CHAR(10)&amp;CHAR(10)&amp;"إذا رغبت، يمكننا توضيح لماذا هذا الكورس هو الأنسب لكم الآن.")</x:f>
      </x:c>
      <x:c r="N912" s="12" t="str">
        <x:f>IF(D912="","",HYPERLINK("https://wa.me/"&amp;REGEXREPLACE(D912,"[^\d]","")&amp;"?text="&amp;ENCODEURL(M912),"واتساب 2"))</x:f>
      </x:c>
      <x:c r="O912" s="12" t="str">
        <x:f>IF(A912="","","مرحبًا "&amp;C912&amp;CHAR(10)&amp;CHAR(10)&amp;"إذا كانت التحديات لديكم تحتاج حلًا أشمل، فالبرنامج الكامل المناسب لكم هو: "&amp;H912&amp;"."&amp;IF(I912&lt;&gt;"",CHAR(10)&amp;"كما يمكنكم أيضًا حجز: "&amp;I912&amp;".","")&amp;IF(J912&lt;&gt;"",CHAR(10)&amp;CHAR(10)&amp;"رابط التقرير: "&amp;J912,"")&amp;CHAR(10)&amp;CHAR(10)&amp;"يسعدنا مساعدتكم في اختيار المسار الأنسب حسب وضع العيادة الحالي.")</x:f>
      </x:c>
      <x:c r="P912" s="12" t="str">
        <x:f>IF(D912="","",HYPERLINK("https://wa.me/"&amp;REGEXREPLACE(D912,"[^\d]","")&amp;"?text="&amp;ENCODEURL(O912),"واتساب 3"))</x:f>
      </x:c>
    </x:row>
    <x:row r="913" ht="15" hidden="0" customHeight="1">
      <x:c r="A913" s="12" t="str">
        <x:f>IF(Leads!A913="","",Leads!A913)</x:f>
      </x:c>
      <x:c r="B913" s="12" t="str">
        <x:f>IF(Leads!F913="","",Leads!F913)</x:f>
      </x:c>
      <x:c r="C913" s="12" t="str">
        <x:f>IF(Leads!G913="","",Leads!G913)</x:f>
      </x:c>
      <x:c r="D913" s="12" t="str">
        <x:f>IF(Leads!O913="","",Leads!O913)</x:f>
      </x:c>
      <x:c r="E913" s="12" t="str">
        <x:f>IF(Leads!AV913="","",Leads!AV913)</x:f>
      </x:c>
      <x:c r="F913" s="12" t="str">
        <x:f>IF(Leads!AX913="","",Leads!AX913)</x:f>
      </x:c>
      <x:c r="G913" s="12" t="str">
        <x:f>IF(Leads!BC913="","",Leads!BC913)</x:f>
      </x:c>
      <x:c r="H913" s="12" t="str">
        <x:f>IF(Leads!BE913="","",Leads!BE913)</x:f>
      </x:c>
      <x:c r="I913" s="12" t="str">
        <x:f>IF(Leads!BG913="","",Leads!BG913)</x:f>
      </x:c>
      <x:c r="J913" s="12" t="str">
        <x:f>IF(Leads!BH913="","",Leads!BH913)</x:f>
      </x:c>
      <x:c r="K913" s="12" t="str">
        <x:f>IF(A913="","","مرحبًا "&amp;C913&amp;CHAR(10)&amp;CHAR(10)&amp;"شكرًا لإتمام تقييم DBD الخاص بعيادة "&amp;B913&amp;"."&amp;CHAR(10)&amp;"نتيجتكم الحالية: "&amp;E913&amp;"%."&amp;CHAR(10)&amp;"أولوية التحسين الأولى: "&amp;F913&amp;"."&amp;IF(J913&lt;&gt;"",CHAR(10)&amp;CHAR(10)&amp;"رابط التقرير: "&amp;J913,"")&amp;CHAR(10)&amp;CHAR(10)&amp;"إذا أحببت، يمكننا مساعدتك في فهم التقرير وتحديد أفضل خطوة تالية لعيادتكم.")</x:f>
      </x:c>
      <x:c r="L913" s="12" t="str">
        <x:f>IF(D913="","",HYPERLINK("https://wa.me/"&amp;REGEXREPLACE(D913,"[^\d]","")&amp;"?text="&amp;ENCODEURL(K913),"واتساب 1"))</x:f>
      </x:c>
      <x:c r="M913" s="12" t="str">
        <x:f>IF(A913="","","مرحبًا "&amp;C913&amp;CHAR(10)&amp;CHAR(10)&amp;"بناءً على نتيجة تقييم عيادة "&amp;B913&amp;"، فإن الترشيح الأقوى لكم الآن هو: "&amp;G913&amp;"."&amp;CHAR(10)&amp;"هذا الخيار يساعدكم في معالجة أكبر فجوة حالية بشكل عملي ومباشر."&amp;IF(J913&lt;&gt;"",CHAR(10)&amp;CHAR(10)&amp;"رابط التقرير: "&amp;J913,"")&amp;CHAR(10)&amp;CHAR(10)&amp;"إذا رغبت، يمكننا توضيح لماذا هذا الكورس هو الأنسب لكم الآن.")</x:f>
      </x:c>
      <x:c r="N913" s="12" t="str">
        <x:f>IF(D913="","",HYPERLINK("https://wa.me/"&amp;REGEXREPLACE(D913,"[^\d]","")&amp;"?text="&amp;ENCODEURL(M913),"واتساب 2"))</x:f>
      </x:c>
      <x:c r="O913" s="12" t="str">
        <x:f>IF(A913="","","مرحبًا "&amp;C913&amp;CHAR(10)&amp;CHAR(10)&amp;"إذا كانت التحديات لديكم تحتاج حلًا أشمل، فالبرنامج الكامل المناسب لكم هو: "&amp;H913&amp;"."&amp;IF(I913&lt;&gt;"",CHAR(10)&amp;"كما يمكنكم أيضًا حجز: "&amp;I913&amp;".","")&amp;IF(J913&lt;&gt;"",CHAR(10)&amp;CHAR(10)&amp;"رابط التقرير: "&amp;J913,"")&amp;CHAR(10)&amp;CHAR(10)&amp;"يسعدنا مساعدتكم في اختيار المسار الأنسب حسب وضع العيادة الحالي.")</x:f>
      </x:c>
      <x:c r="P913" s="12" t="str">
        <x:f>IF(D913="","",HYPERLINK("https://wa.me/"&amp;REGEXREPLACE(D913,"[^\d]","")&amp;"?text="&amp;ENCODEURL(O913),"واتساب 3"))</x:f>
      </x:c>
    </x:row>
    <x:row r="914" ht="15" hidden="0" customHeight="1">
      <x:c r="A914" s="12" t="str">
        <x:f>IF(Leads!A914="","",Leads!A914)</x:f>
      </x:c>
      <x:c r="B914" s="12" t="str">
        <x:f>IF(Leads!F914="","",Leads!F914)</x:f>
      </x:c>
      <x:c r="C914" s="12" t="str">
        <x:f>IF(Leads!G914="","",Leads!G914)</x:f>
      </x:c>
      <x:c r="D914" s="12" t="str">
        <x:f>IF(Leads!O914="","",Leads!O914)</x:f>
      </x:c>
      <x:c r="E914" s="12" t="str">
        <x:f>IF(Leads!AV914="","",Leads!AV914)</x:f>
      </x:c>
      <x:c r="F914" s="12" t="str">
        <x:f>IF(Leads!AX914="","",Leads!AX914)</x:f>
      </x:c>
      <x:c r="G914" s="12" t="str">
        <x:f>IF(Leads!BC914="","",Leads!BC914)</x:f>
      </x:c>
      <x:c r="H914" s="12" t="str">
        <x:f>IF(Leads!BE914="","",Leads!BE914)</x:f>
      </x:c>
      <x:c r="I914" s="12" t="str">
        <x:f>IF(Leads!BG914="","",Leads!BG914)</x:f>
      </x:c>
      <x:c r="J914" s="12" t="str">
        <x:f>IF(Leads!BH914="","",Leads!BH914)</x:f>
      </x:c>
      <x:c r="K914" s="12" t="str">
        <x:f>IF(A914="","","مرحبًا "&amp;C914&amp;CHAR(10)&amp;CHAR(10)&amp;"شكرًا لإتمام تقييم DBD الخاص بعيادة "&amp;B914&amp;"."&amp;CHAR(10)&amp;"نتيجتكم الحالية: "&amp;E914&amp;"%."&amp;CHAR(10)&amp;"أولوية التحسين الأولى: "&amp;F914&amp;"."&amp;IF(J914&lt;&gt;"",CHAR(10)&amp;CHAR(10)&amp;"رابط التقرير: "&amp;J914,"")&amp;CHAR(10)&amp;CHAR(10)&amp;"إذا أحببت، يمكننا مساعدتك في فهم التقرير وتحديد أفضل خطوة تالية لعيادتكم.")</x:f>
      </x:c>
      <x:c r="L914" s="12" t="str">
        <x:f>IF(D914="","",HYPERLINK("https://wa.me/"&amp;REGEXREPLACE(D914,"[^\d]","")&amp;"?text="&amp;ENCODEURL(K914),"واتساب 1"))</x:f>
      </x:c>
      <x:c r="M914" s="12" t="str">
        <x:f>IF(A914="","","مرحبًا "&amp;C914&amp;CHAR(10)&amp;CHAR(10)&amp;"بناءً على نتيجة تقييم عيادة "&amp;B914&amp;"، فإن الترشيح الأقوى لكم الآن هو: "&amp;G914&amp;"."&amp;CHAR(10)&amp;"هذا الخيار يساعدكم في معالجة أكبر فجوة حالية بشكل عملي ومباشر."&amp;IF(J914&lt;&gt;"",CHAR(10)&amp;CHAR(10)&amp;"رابط التقرير: "&amp;J914,"")&amp;CHAR(10)&amp;CHAR(10)&amp;"إذا رغبت، يمكننا توضيح لماذا هذا الكورس هو الأنسب لكم الآن.")</x:f>
      </x:c>
      <x:c r="N914" s="12" t="str">
        <x:f>IF(D914="","",HYPERLINK("https://wa.me/"&amp;REGEXREPLACE(D914,"[^\d]","")&amp;"?text="&amp;ENCODEURL(M914),"واتساب 2"))</x:f>
      </x:c>
      <x:c r="O914" s="12" t="str">
        <x:f>IF(A914="","","مرحبًا "&amp;C914&amp;CHAR(10)&amp;CHAR(10)&amp;"إذا كانت التحديات لديكم تحتاج حلًا أشمل، فالبرنامج الكامل المناسب لكم هو: "&amp;H914&amp;"."&amp;IF(I914&lt;&gt;"",CHAR(10)&amp;"كما يمكنكم أيضًا حجز: "&amp;I914&amp;".","")&amp;IF(J914&lt;&gt;"",CHAR(10)&amp;CHAR(10)&amp;"رابط التقرير: "&amp;J914,"")&amp;CHAR(10)&amp;CHAR(10)&amp;"يسعدنا مساعدتكم في اختيار المسار الأنسب حسب وضع العيادة الحالي.")</x:f>
      </x:c>
      <x:c r="P914" s="12" t="str">
        <x:f>IF(D914="","",HYPERLINK("https://wa.me/"&amp;REGEXREPLACE(D914,"[^\d]","")&amp;"?text="&amp;ENCODEURL(O914),"واتساب 3"))</x:f>
      </x:c>
    </x:row>
    <x:row r="915" ht="15" hidden="0" customHeight="1">
      <x:c r="A915" s="12" t="str">
        <x:f>IF(Leads!A915="","",Leads!A915)</x:f>
      </x:c>
      <x:c r="B915" s="12" t="str">
        <x:f>IF(Leads!F915="","",Leads!F915)</x:f>
      </x:c>
      <x:c r="C915" s="12" t="str">
        <x:f>IF(Leads!G915="","",Leads!G915)</x:f>
      </x:c>
      <x:c r="D915" s="12" t="str">
        <x:f>IF(Leads!O915="","",Leads!O915)</x:f>
      </x:c>
      <x:c r="E915" s="12" t="str">
        <x:f>IF(Leads!AV915="","",Leads!AV915)</x:f>
      </x:c>
      <x:c r="F915" s="12" t="str">
        <x:f>IF(Leads!AX915="","",Leads!AX915)</x:f>
      </x:c>
      <x:c r="G915" s="12" t="str">
        <x:f>IF(Leads!BC915="","",Leads!BC915)</x:f>
      </x:c>
      <x:c r="H915" s="12" t="str">
        <x:f>IF(Leads!BE915="","",Leads!BE915)</x:f>
      </x:c>
      <x:c r="I915" s="12" t="str">
        <x:f>IF(Leads!BG915="","",Leads!BG915)</x:f>
      </x:c>
      <x:c r="J915" s="12" t="str">
        <x:f>IF(Leads!BH915="","",Leads!BH915)</x:f>
      </x:c>
      <x:c r="K915" s="12" t="str">
        <x:f>IF(A915="","","مرحبًا "&amp;C915&amp;CHAR(10)&amp;CHAR(10)&amp;"شكرًا لإتمام تقييم DBD الخاص بعيادة "&amp;B915&amp;"."&amp;CHAR(10)&amp;"نتيجتكم الحالية: "&amp;E915&amp;"%."&amp;CHAR(10)&amp;"أولوية التحسين الأولى: "&amp;F915&amp;"."&amp;IF(J915&lt;&gt;"",CHAR(10)&amp;CHAR(10)&amp;"رابط التقرير: "&amp;J915,"")&amp;CHAR(10)&amp;CHAR(10)&amp;"إذا أحببت، يمكننا مساعدتك في فهم التقرير وتحديد أفضل خطوة تالية لعيادتكم.")</x:f>
      </x:c>
      <x:c r="L915" s="12" t="str">
        <x:f>IF(D915="","",HYPERLINK("https://wa.me/"&amp;REGEXREPLACE(D915,"[^\d]","")&amp;"?text="&amp;ENCODEURL(K915),"واتساب 1"))</x:f>
      </x:c>
      <x:c r="M915" s="12" t="str">
        <x:f>IF(A915="","","مرحبًا "&amp;C915&amp;CHAR(10)&amp;CHAR(10)&amp;"بناءً على نتيجة تقييم عيادة "&amp;B915&amp;"، فإن الترشيح الأقوى لكم الآن هو: "&amp;G915&amp;"."&amp;CHAR(10)&amp;"هذا الخيار يساعدكم في معالجة أكبر فجوة حالية بشكل عملي ومباشر."&amp;IF(J915&lt;&gt;"",CHAR(10)&amp;CHAR(10)&amp;"رابط التقرير: "&amp;J915,"")&amp;CHAR(10)&amp;CHAR(10)&amp;"إذا رغبت، يمكننا توضيح لماذا هذا الكورس هو الأنسب لكم الآن.")</x:f>
      </x:c>
      <x:c r="N915" s="12" t="str">
        <x:f>IF(D915="","",HYPERLINK("https://wa.me/"&amp;REGEXREPLACE(D915,"[^\d]","")&amp;"?text="&amp;ENCODEURL(M915),"واتساب 2"))</x:f>
      </x:c>
      <x:c r="O915" s="12" t="str">
        <x:f>IF(A915="","","مرحبًا "&amp;C915&amp;CHAR(10)&amp;CHAR(10)&amp;"إذا كانت التحديات لديكم تحتاج حلًا أشمل، فالبرنامج الكامل المناسب لكم هو: "&amp;H915&amp;"."&amp;IF(I915&lt;&gt;"",CHAR(10)&amp;"كما يمكنكم أيضًا حجز: "&amp;I915&amp;".","")&amp;IF(J915&lt;&gt;"",CHAR(10)&amp;CHAR(10)&amp;"رابط التقرير: "&amp;J915,"")&amp;CHAR(10)&amp;CHAR(10)&amp;"يسعدنا مساعدتكم في اختيار المسار الأنسب حسب وضع العيادة الحالي.")</x:f>
      </x:c>
      <x:c r="P915" s="12" t="str">
        <x:f>IF(D915="","",HYPERLINK("https://wa.me/"&amp;REGEXREPLACE(D915,"[^\d]","")&amp;"?text="&amp;ENCODEURL(O915),"واتساب 3"))</x:f>
      </x:c>
    </x:row>
    <x:row r="916" ht="15" hidden="0" customHeight="1">
      <x:c r="A916" s="12" t="str">
        <x:f>IF(Leads!A916="","",Leads!A916)</x:f>
      </x:c>
      <x:c r="B916" s="12" t="str">
        <x:f>IF(Leads!F916="","",Leads!F916)</x:f>
      </x:c>
      <x:c r="C916" s="12" t="str">
        <x:f>IF(Leads!G916="","",Leads!G916)</x:f>
      </x:c>
      <x:c r="D916" s="12" t="str">
        <x:f>IF(Leads!O916="","",Leads!O916)</x:f>
      </x:c>
      <x:c r="E916" s="12" t="str">
        <x:f>IF(Leads!AV916="","",Leads!AV916)</x:f>
      </x:c>
      <x:c r="F916" s="12" t="str">
        <x:f>IF(Leads!AX916="","",Leads!AX916)</x:f>
      </x:c>
      <x:c r="G916" s="12" t="str">
        <x:f>IF(Leads!BC916="","",Leads!BC916)</x:f>
      </x:c>
      <x:c r="H916" s="12" t="str">
        <x:f>IF(Leads!BE916="","",Leads!BE916)</x:f>
      </x:c>
      <x:c r="I916" s="12" t="str">
        <x:f>IF(Leads!BG916="","",Leads!BG916)</x:f>
      </x:c>
      <x:c r="J916" s="12" t="str">
        <x:f>IF(Leads!BH916="","",Leads!BH916)</x:f>
      </x:c>
      <x:c r="K916" s="12" t="str">
        <x:f>IF(A916="","","مرحبًا "&amp;C916&amp;CHAR(10)&amp;CHAR(10)&amp;"شكرًا لإتمام تقييم DBD الخاص بعيادة "&amp;B916&amp;"."&amp;CHAR(10)&amp;"نتيجتكم الحالية: "&amp;E916&amp;"%."&amp;CHAR(10)&amp;"أولوية التحسين الأولى: "&amp;F916&amp;"."&amp;IF(J916&lt;&gt;"",CHAR(10)&amp;CHAR(10)&amp;"رابط التقرير: "&amp;J916,"")&amp;CHAR(10)&amp;CHAR(10)&amp;"إذا أحببت، يمكننا مساعدتك في فهم التقرير وتحديد أفضل خطوة تالية لعيادتكم.")</x:f>
      </x:c>
      <x:c r="L916" s="12" t="str">
        <x:f>IF(D916="","",HYPERLINK("https://wa.me/"&amp;REGEXREPLACE(D916,"[^\d]","")&amp;"?text="&amp;ENCODEURL(K916),"واتساب 1"))</x:f>
      </x:c>
      <x:c r="M916" s="12" t="str">
        <x:f>IF(A916="","","مرحبًا "&amp;C916&amp;CHAR(10)&amp;CHAR(10)&amp;"بناءً على نتيجة تقييم عيادة "&amp;B916&amp;"، فإن الترشيح الأقوى لكم الآن هو: "&amp;G916&amp;"."&amp;CHAR(10)&amp;"هذا الخيار يساعدكم في معالجة أكبر فجوة حالية بشكل عملي ومباشر."&amp;IF(J916&lt;&gt;"",CHAR(10)&amp;CHAR(10)&amp;"رابط التقرير: "&amp;J916,"")&amp;CHAR(10)&amp;CHAR(10)&amp;"إذا رغبت، يمكننا توضيح لماذا هذا الكورس هو الأنسب لكم الآن.")</x:f>
      </x:c>
      <x:c r="N916" s="12" t="str">
        <x:f>IF(D916="","",HYPERLINK("https://wa.me/"&amp;REGEXREPLACE(D916,"[^\d]","")&amp;"?text="&amp;ENCODEURL(M916),"واتساب 2"))</x:f>
      </x:c>
      <x:c r="O916" s="12" t="str">
        <x:f>IF(A916="","","مرحبًا "&amp;C916&amp;CHAR(10)&amp;CHAR(10)&amp;"إذا كانت التحديات لديكم تحتاج حلًا أشمل، فالبرنامج الكامل المناسب لكم هو: "&amp;H916&amp;"."&amp;IF(I916&lt;&gt;"",CHAR(10)&amp;"كما يمكنكم أيضًا حجز: "&amp;I916&amp;".","")&amp;IF(J916&lt;&gt;"",CHAR(10)&amp;CHAR(10)&amp;"رابط التقرير: "&amp;J916,"")&amp;CHAR(10)&amp;CHAR(10)&amp;"يسعدنا مساعدتكم في اختيار المسار الأنسب حسب وضع العيادة الحالي.")</x:f>
      </x:c>
      <x:c r="P916" s="12" t="str">
        <x:f>IF(D916="","",HYPERLINK("https://wa.me/"&amp;REGEXREPLACE(D916,"[^\d]","")&amp;"?text="&amp;ENCODEURL(O916),"واتساب 3"))</x:f>
      </x:c>
    </x:row>
    <x:row r="917" ht="15" hidden="0" customHeight="1">
      <x:c r="A917" s="12" t="str">
        <x:f>IF(Leads!A917="","",Leads!A917)</x:f>
      </x:c>
      <x:c r="B917" s="12" t="str">
        <x:f>IF(Leads!F917="","",Leads!F917)</x:f>
      </x:c>
      <x:c r="C917" s="12" t="str">
        <x:f>IF(Leads!G917="","",Leads!G917)</x:f>
      </x:c>
      <x:c r="D917" s="12" t="str">
        <x:f>IF(Leads!O917="","",Leads!O917)</x:f>
      </x:c>
      <x:c r="E917" s="12" t="str">
        <x:f>IF(Leads!AV917="","",Leads!AV917)</x:f>
      </x:c>
      <x:c r="F917" s="12" t="str">
        <x:f>IF(Leads!AX917="","",Leads!AX917)</x:f>
      </x:c>
      <x:c r="G917" s="12" t="str">
        <x:f>IF(Leads!BC917="","",Leads!BC917)</x:f>
      </x:c>
      <x:c r="H917" s="12" t="str">
        <x:f>IF(Leads!BE917="","",Leads!BE917)</x:f>
      </x:c>
      <x:c r="I917" s="12" t="str">
        <x:f>IF(Leads!BG917="","",Leads!BG917)</x:f>
      </x:c>
      <x:c r="J917" s="12" t="str">
        <x:f>IF(Leads!BH917="","",Leads!BH917)</x:f>
      </x:c>
      <x:c r="K917" s="12" t="str">
        <x:f>IF(A917="","","مرحبًا "&amp;C917&amp;CHAR(10)&amp;CHAR(10)&amp;"شكرًا لإتمام تقييم DBD الخاص بعيادة "&amp;B917&amp;"."&amp;CHAR(10)&amp;"نتيجتكم الحالية: "&amp;E917&amp;"%."&amp;CHAR(10)&amp;"أولوية التحسين الأولى: "&amp;F917&amp;"."&amp;IF(J917&lt;&gt;"",CHAR(10)&amp;CHAR(10)&amp;"رابط التقرير: "&amp;J917,"")&amp;CHAR(10)&amp;CHAR(10)&amp;"إذا أحببت، يمكننا مساعدتك في فهم التقرير وتحديد أفضل خطوة تالية لعيادتكم.")</x:f>
      </x:c>
      <x:c r="L917" s="12" t="str">
        <x:f>IF(D917="","",HYPERLINK("https://wa.me/"&amp;REGEXREPLACE(D917,"[^\d]","")&amp;"?text="&amp;ENCODEURL(K917),"واتساب 1"))</x:f>
      </x:c>
      <x:c r="M917" s="12" t="str">
        <x:f>IF(A917="","","مرحبًا "&amp;C917&amp;CHAR(10)&amp;CHAR(10)&amp;"بناءً على نتيجة تقييم عيادة "&amp;B917&amp;"، فإن الترشيح الأقوى لكم الآن هو: "&amp;G917&amp;"."&amp;CHAR(10)&amp;"هذا الخيار يساعدكم في معالجة أكبر فجوة حالية بشكل عملي ومباشر."&amp;IF(J917&lt;&gt;"",CHAR(10)&amp;CHAR(10)&amp;"رابط التقرير: "&amp;J917,"")&amp;CHAR(10)&amp;CHAR(10)&amp;"إذا رغبت، يمكننا توضيح لماذا هذا الكورس هو الأنسب لكم الآن.")</x:f>
      </x:c>
      <x:c r="N917" s="12" t="str">
        <x:f>IF(D917="","",HYPERLINK("https://wa.me/"&amp;REGEXREPLACE(D917,"[^\d]","")&amp;"?text="&amp;ENCODEURL(M917),"واتساب 2"))</x:f>
      </x:c>
      <x:c r="O917" s="12" t="str">
        <x:f>IF(A917="","","مرحبًا "&amp;C917&amp;CHAR(10)&amp;CHAR(10)&amp;"إذا كانت التحديات لديكم تحتاج حلًا أشمل، فالبرنامج الكامل المناسب لكم هو: "&amp;H917&amp;"."&amp;IF(I917&lt;&gt;"",CHAR(10)&amp;"كما يمكنكم أيضًا حجز: "&amp;I917&amp;".","")&amp;IF(J917&lt;&gt;"",CHAR(10)&amp;CHAR(10)&amp;"رابط التقرير: "&amp;J917,"")&amp;CHAR(10)&amp;CHAR(10)&amp;"يسعدنا مساعدتكم في اختيار المسار الأنسب حسب وضع العيادة الحالي.")</x:f>
      </x:c>
      <x:c r="P917" s="12" t="str">
        <x:f>IF(D917="","",HYPERLINK("https://wa.me/"&amp;REGEXREPLACE(D917,"[^\d]","")&amp;"?text="&amp;ENCODEURL(O917),"واتساب 3"))</x:f>
      </x:c>
    </x:row>
    <x:row r="918" ht="15" hidden="0" customHeight="1">
      <x:c r="A918" s="12" t="str">
        <x:f>IF(Leads!A918="","",Leads!A918)</x:f>
      </x:c>
      <x:c r="B918" s="12" t="str">
        <x:f>IF(Leads!F918="","",Leads!F918)</x:f>
      </x:c>
      <x:c r="C918" s="12" t="str">
        <x:f>IF(Leads!G918="","",Leads!G918)</x:f>
      </x:c>
      <x:c r="D918" s="12" t="str">
        <x:f>IF(Leads!O918="","",Leads!O918)</x:f>
      </x:c>
      <x:c r="E918" s="12" t="str">
        <x:f>IF(Leads!AV918="","",Leads!AV918)</x:f>
      </x:c>
      <x:c r="F918" s="12" t="str">
        <x:f>IF(Leads!AX918="","",Leads!AX918)</x:f>
      </x:c>
      <x:c r="G918" s="12" t="str">
        <x:f>IF(Leads!BC918="","",Leads!BC918)</x:f>
      </x:c>
      <x:c r="H918" s="12" t="str">
        <x:f>IF(Leads!BE918="","",Leads!BE918)</x:f>
      </x:c>
      <x:c r="I918" s="12" t="str">
        <x:f>IF(Leads!BG918="","",Leads!BG918)</x:f>
      </x:c>
      <x:c r="J918" s="12" t="str">
        <x:f>IF(Leads!BH918="","",Leads!BH918)</x:f>
      </x:c>
      <x:c r="K918" s="12" t="str">
        <x:f>IF(A918="","","مرحبًا "&amp;C918&amp;CHAR(10)&amp;CHAR(10)&amp;"شكرًا لإتمام تقييم DBD الخاص بعيادة "&amp;B918&amp;"."&amp;CHAR(10)&amp;"نتيجتكم الحالية: "&amp;E918&amp;"%."&amp;CHAR(10)&amp;"أولوية التحسين الأولى: "&amp;F918&amp;"."&amp;IF(J918&lt;&gt;"",CHAR(10)&amp;CHAR(10)&amp;"رابط التقرير: "&amp;J918,"")&amp;CHAR(10)&amp;CHAR(10)&amp;"إذا أحببت، يمكننا مساعدتك في فهم التقرير وتحديد أفضل خطوة تالية لعيادتكم.")</x:f>
      </x:c>
      <x:c r="L918" s="12" t="str">
        <x:f>IF(D918="","",HYPERLINK("https://wa.me/"&amp;REGEXREPLACE(D918,"[^\d]","")&amp;"?text="&amp;ENCODEURL(K918),"واتساب 1"))</x:f>
      </x:c>
      <x:c r="M918" s="12" t="str">
        <x:f>IF(A918="","","مرحبًا "&amp;C918&amp;CHAR(10)&amp;CHAR(10)&amp;"بناءً على نتيجة تقييم عيادة "&amp;B918&amp;"، فإن الترشيح الأقوى لكم الآن هو: "&amp;G918&amp;"."&amp;CHAR(10)&amp;"هذا الخيار يساعدكم في معالجة أكبر فجوة حالية بشكل عملي ومباشر."&amp;IF(J918&lt;&gt;"",CHAR(10)&amp;CHAR(10)&amp;"رابط التقرير: "&amp;J918,"")&amp;CHAR(10)&amp;CHAR(10)&amp;"إذا رغبت، يمكننا توضيح لماذا هذا الكورس هو الأنسب لكم الآن.")</x:f>
      </x:c>
      <x:c r="N918" s="12" t="str">
        <x:f>IF(D918="","",HYPERLINK("https://wa.me/"&amp;REGEXREPLACE(D918,"[^\d]","")&amp;"?text="&amp;ENCODEURL(M918),"واتساب 2"))</x:f>
      </x:c>
      <x:c r="O918" s="12" t="str">
        <x:f>IF(A918="","","مرحبًا "&amp;C918&amp;CHAR(10)&amp;CHAR(10)&amp;"إذا كانت التحديات لديكم تحتاج حلًا أشمل، فالبرنامج الكامل المناسب لكم هو: "&amp;H918&amp;"."&amp;IF(I918&lt;&gt;"",CHAR(10)&amp;"كما يمكنكم أيضًا حجز: "&amp;I918&amp;".","")&amp;IF(J918&lt;&gt;"",CHAR(10)&amp;CHAR(10)&amp;"رابط التقرير: "&amp;J918,"")&amp;CHAR(10)&amp;CHAR(10)&amp;"يسعدنا مساعدتكم في اختيار المسار الأنسب حسب وضع العيادة الحالي.")</x:f>
      </x:c>
      <x:c r="P918" s="12" t="str">
        <x:f>IF(D918="","",HYPERLINK("https://wa.me/"&amp;REGEXREPLACE(D918,"[^\d]","")&amp;"?text="&amp;ENCODEURL(O918),"واتساب 3"))</x:f>
      </x:c>
    </x:row>
    <x:row r="919" ht="15" hidden="0" customHeight="1">
      <x:c r="A919" s="12" t="str">
        <x:f>IF(Leads!A919="","",Leads!A919)</x:f>
      </x:c>
      <x:c r="B919" s="12" t="str">
        <x:f>IF(Leads!F919="","",Leads!F919)</x:f>
      </x:c>
      <x:c r="C919" s="12" t="str">
        <x:f>IF(Leads!G919="","",Leads!G919)</x:f>
      </x:c>
      <x:c r="D919" s="12" t="str">
        <x:f>IF(Leads!O919="","",Leads!O919)</x:f>
      </x:c>
      <x:c r="E919" s="12" t="str">
        <x:f>IF(Leads!AV919="","",Leads!AV919)</x:f>
      </x:c>
      <x:c r="F919" s="12" t="str">
        <x:f>IF(Leads!AX919="","",Leads!AX919)</x:f>
      </x:c>
      <x:c r="G919" s="12" t="str">
        <x:f>IF(Leads!BC919="","",Leads!BC919)</x:f>
      </x:c>
      <x:c r="H919" s="12" t="str">
        <x:f>IF(Leads!BE919="","",Leads!BE919)</x:f>
      </x:c>
      <x:c r="I919" s="12" t="str">
        <x:f>IF(Leads!BG919="","",Leads!BG919)</x:f>
      </x:c>
      <x:c r="J919" s="12" t="str">
        <x:f>IF(Leads!BH919="","",Leads!BH919)</x:f>
      </x:c>
      <x:c r="K919" s="12" t="str">
        <x:f>IF(A919="","","مرحبًا "&amp;C919&amp;CHAR(10)&amp;CHAR(10)&amp;"شكرًا لإتمام تقييم DBD الخاص بعيادة "&amp;B919&amp;"."&amp;CHAR(10)&amp;"نتيجتكم الحالية: "&amp;E919&amp;"%."&amp;CHAR(10)&amp;"أولوية التحسين الأولى: "&amp;F919&amp;"."&amp;IF(J919&lt;&gt;"",CHAR(10)&amp;CHAR(10)&amp;"رابط التقرير: "&amp;J919,"")&amp;CHAR(10)&amp;CHAR(10)&amp;"إذا أحببت، يمكننا مساعدتك في فهم التقرير وتحديد أفضل خطوة تالية لعيادتكم.")</x:f>
      </x:c>
      <x:c r="L919" s="12" t="str">
        <x:f>IF(D919="","",HYPERLINK("https://wa.me/"&amp;REGEXREPLACE(D919,"[^\d]","")&amp;"?text="&amp;ENCODEURL(K919),"واتساب 1"))</x:f>
      </x:c>
      <x:c r="M919" s="12" t="str">
        <x:f>IF(A919="","","مرحبًا "&amp;C919&amp;CHAR(10)&amp;CHAR(10)&amp;"بناءً على نتيجة تقييم عيادة "&amp;B919&amp;"، فإن الترشيح الأقوى لكم الآن هو: "&amp;G919&amp;"."&amp;CHAR(10)&amp;"هذا الخيار يساعدكم في معالجة أكبر فجوة حالية بشكل عملي ومباشر."&amp;IF(J919&lt;&gt;"",CHAR(10)&amp;CHAR(10)&amp;"رابط التقرير: "&amp;J919,"")&amp;CHAR(10)&amp;CHAR(10)&amp;"إذا رغبت، يمكننا توضيح لماذا هذا الكورس هو الأنسب لكم الآن.")</x:f>
      </x:c>
      <x:c r="N919" s="12" t="str">
        <x:f>IF(D919="","",HYPERLINK("https://wa.me/"&amp;REGEXREPLACE(D919,"[^\d]","")&amp;"?text="&amp;ENCODEURL(M919),"واتساب 2"))</x:f>
      </x:c>
      <x:c r="O919" s="12" t="str">
        <x:f>IF(A919="","","مرحبًا "&amp;C919&amp;CHAR(10)&amp;CHAR(10)&amp;"إذا كانت التحديات لديكم تحتاج حلًا أشمل، فالبرنامج الكامل المناسب لكم هو: "&amp;H919&amp;"."&amp;IF(I919&lt;&gt;"",CHAR(10)&amp;"كما يمكنكم أيضًا حجز: "&amp;I919&amp;".","")&amp;IF(J919&lt;&gt;"",CHAR(10)&amp;CHAR(10)&amp;"رابط التقرير: "&amp;J919,"")&amp;CHAR(10)&amp;CHAR(10)&amp;"يسعدنا مساعدتكم في اختيار المسار الأنسب حسب وضع العيادة الحالي.")</x:f>
      </x:c>
      <x:c r="P919" s="12" t="str">
        <x:f>IF(D919="","",HYPERLINK("https://wa.me/"&amp;REGEXREPLACE(D919,"[^\d]","")&amp;"?text="&amp;ENCODEURL(O919),"واتساب 3"))</x:f>
      </x:c>
    </x:row>
    <x:row r="920" ht="15" hidden="0" customHeight="1">
      <x:c r="A920" s="12" t="str">
        <x:f>IF(Leads!A920="","",Leads!A920)</x:f>
      </x:c>
      <x:c r="B920" s="12" t="str">
        <x:f>IF(Leads!F920="","",Leads!F920)</x:f>
      </x:c>
      <x:c r="C920" s="12" t="str">
        <x:f>IF(Leads!G920="","",Leads!G920)</x:f>
      </x:c>
      <x:c r="D920" s="12" t="str">
        <x:f>IF(Leads!O920="","",Leads!O920)</x:f>
      </x:c>
      <x:c r="E920" s="12" t="str">
        <x:f>IF(Leads!AV920="","",Leads!AV920)</x:f>
      </x:c>
      <x:c r="F920" s="12" t="str">
        <x:f>IF(Leads!AX920="","",Leads!AX920)</x:f>
      </x:c>
      <x:c r="G920" s="12" t="str">
        <x:f>IF(Leads!BC920="","",Leads!BC920)</x:f>
      </x:c>
      <x:c r="H920" s="12" t="str">
        <x:f>IF(Leads!BE920="","",Leads!BE920)</x:f>
      </x:c>
      <x:c r="I920" s="12" t="str">
        <x:f>IF(Leads!BG920="","",Leads!BG920)</x:f>
      </x:c>
      <x:c r="J920" s="12" t="str">
        <x:f>IF(Leads!BH920="","",Leads!BH920)</x:f>
      </x:c>
      <x:c r="K920" s="12" t="str">
        <x:f>IF(A920="","","مرحبًا "&amp;C920&amp;CHAR(10)&amp;CHAR(10)&amp;"شكرًا لإتمام تقييم DBD الخاص بعيادة "&amp;B920&amp;"."&amp;CHAR(10)&amp;"نتيجتكم الحالية: "&amp;E920&amp;"%."&amp;CHAR(10)&amp;"أولوية التحسين الأولى: "&amp;F920&amp;"."&amp;IF(J920&lt;&gt;"",CHAR(10)&amp;CHAR(10)&amp;"رابط التقرير: "&amp;J920,"")&amp;CHAR(10)&amp;CHAR(10)&amp;"إذا أحببت، يمكننا مساعدتك في فهم التقرير وتحديد أفضل خطوة تالية لعيادتكم.")</x:f>
      </x:c>
      <x:c r="L920" s="12" t="str">
        <x:f>IF(D920="","",HYPERLINK("https://wa.me/"&amp;REGEXREPLACE(D920,"[^\d]","")&amp;"?text="&amp;ENCODEURL(K920),"واتساب 1"))</x:f>
      </x:c>
      <x:c r="M920" s="12" t="str">
        <x:f>IF(A920="","","مرحبًا "&amp;C920&amp;CHAR(10)&amp;CHAR(10)&amp;"بناءً على نتيجة تقييم عيادة "&amp;B920&amp;"، فإن الترشيح الأقوى لكم الآن هو: "&amp;G920&amp;"."&amp;CHAR(10)&amp;"هذا الخيار يساعدكم في معالجة أكبر فجوة حالية بشكل عملي ومباشر."&amp;IF(J920&lt;&gt;"",CHAR(10)&amp;CHAR(10)&amp;"رابط التقرير: "&amp;J920,"")&amp;CHAR(10)&amp;CHAR(10)&amp;"إذا رغبت، يمكننا توضيح لماذا هذا الكورس هو الأنسب لكم الآن.")</x:f>
      </x:c>
      <x:c r="N920" s="12" t="str">
        <x:f>IF(D920="","",HYPERLINK("https://wa.me/"&amp;REGEXREPLACE(D920,"[^\d]","")&amp;"?text="&amp;ENCODEURL(M920),"واتساب 2"))</x:f>
      </x:c>
      <x:c r="O920" s="12" t="str">
        <x:f>IF(A920="","","مرحبًا "&amp;C920&amp;CHAR(10)&amp;CHAR(10)&amp;"إذا كانت التحديات لديكم تحتاج حلًا أشمل، فالبرنامج الكامل المناسب لكم هو: "&amp;H920&amp;"."&amp;IF(I920&lt;&gt;"",CHAR(10)&amp;"كما يمكنكم أيضًا حجز: "&amp;I920&amp;".","")&amp;IF(J920&lt;&gt;"",CHAR(10)&amp;CHAR(10)&amp;"رابط التقرير: "&amp;J920,"")&amp;CHAR(10)&amp;CHAR(10)&amp;"يسعدنا مساعدتكم في اختيار المسار الأنسب حسب وضع العيادة الحالي.")</x:f>
      </x:c>
      <x:c r="P920" s="12" t="str">
        <x:f>IF(D920="","",HYPERLINK("https://wa.me/"&amp;REGEXREPLACE(D920,"[^\d]","")&amp;"?text="&amp;ENCODEURL(O920),"واتساب 3"))</x:f>
      </x:c>
    </x:row>
    <x:row r="921" ht="15" hidden="0" customHeight="1">
      <x:c r="A921" s="12" t="str">
        <x:f>IF(Leads!A921="","",Leads!A921)</x:f>
      </x:c>
      <x:c r="B921" s="12" t="str">
        <x:f>IF(Leads!F921="","",Leads!F921)</x:f>
      </x:c>
      <x:c r="C921" s="12" t="str">
        <x:f>IF(Leads!G921="","",Leads!G921)</x:f>
      </x:c>
      <x:c r="D921" s="12" t="str">
        <x:f>IF(Leads!O921="","",Leads!O921)</x:f>
      </x:c>
      <x:c r="E921" s="12" t="str">
        <x:f>IF(Leads!AV921="","",Leads!AV921)</x:f>
      </x:c>
      <x:c r="F921" s="12" t="str">
        <x:f>IF(Leads!AX921="","",Leads!AX921)</x:f>
      </x:c>
      <x:c r="G921" s="12" t="str">
        <x:f>IF(Leads!BC921="","",Leads!BC921)</x:f>
      </x:c>
      <x:c r="H921" s="12" t="str">
        <x:f>IF(Leads!BE921="","",Leads!BE921)</x:f>
      </x:c>
      <x:c r="I921" s="12" t="str">
        <x:f>IF(Leads!BG921="","",Leads!BG921)</x:f>
      </x:c>
      <x:c r="J921" s="12" t="str">
        <x:f>IF(Leads!BH921="","",Leads!BH921)</x:f>
      </x:c>
      <x:c r="K921" s="12" t="str">
        <x:f>IF(A921="","","مرحبًا "&amp;C921&amp;CHAR(10)&amp;CHAR(10)&amp;"شكرًا لإتمام تقييم DBD الخاص بعيادة "&amp;B921&amp;"."&amp;CHAR(10)&amp;"نتيجتكم الحالية: "&amp;E921&amp;"%."&amp;CHAR(10)&amp;"أولوية التحسين الأولى: "&amp;F921&amp;"."&amp;IF(J921&lt;&gt;"",CHAR(10)&amp;CHAR(10)&amp;"رابط التقرير: "&amp;J921,"")&amp;CHAR(10)&amp;CHAR(10)&amp;"إذا أحببت، يمكننا مساعدتك في فهم التقرير وتحديد أفضل خطوة تالية لعيادتكم.")</x:f>
      </x:c>
      <x:c r="L921" s="12" t="str">
        <x:f>IF(D921="","",HYPERLINK("https://wa.me/"&amp;REGEXREPLACE(D921,"[^\d]","")&amp;"?text="&amp;ENCODEURL(K921),"واتساب 1"))</x:f>
      </x:c>
      <x:c r="M921" s="12" t="str">
        <x:f>IF(A921="","","مرحبًا "&amp;C921&amp;CHAR(10)&amp;CHAR(10)&amp;"بناءً على نتيجة تقييم عيادة "&amp;B921&amp;"، فإن الترشيح الأقوى لكم الآن هو: "&amp;G921&amp;"."&amp;CHAR(10)&amp;"هذا الخيار يساعدكم في معالجة أكبر فجوة حالية بشكل عملي ومباشر."&amp;IF(J921&lt;&gt;"",CHAR(10)&amp;CHAR(10)&amp;"رابط التقرير: "&amp;J921,"")&amp;CHAR(10)&amp;CHAR(10)&amp;"إذا رغبت، يمكننا توضيح لماذا هذا الكورس هو الأنسب لكم الآن.")</x:f>
      </x:c>
      <x:c r="N921" s="12" t="str">
        <x:f>IF(D921="","",HYPERLINK("https://wa.me/"&amp;REGEXREPLACE(D921,"[^\d]","")&amp;"?text="&amp;ENCODEURL(M921),"واتساب 2"))</x:f>
      </x:c>
      <x:c r="O921" s="12" t="str">
        <x:f>IF(A921="","","مرحبًا "&amp;C921&amp;CHAR(10)&amp;CHAR(10)&amp;"إذا كانت التحديات لديكم تحتاج حلًا أشمل، فالبرنامج الكامل المناسب لكم هو: "&amp;H921&amp;"."&amp;IF(I921&lt;&gt;"",CHAR(10)&amp;"كما يمكنكم أيضًا حجز: "&amp;I921&amp;".","")&amp;IF(J921&lt;&gt;"",CHAR(10)&amp;CHAR(10)&amp;"رابط التقرير: "&amp;J921,"")&amp;CHAR(10)&amp;CHAR(10)&amp;"يسعدنا مساعدتكم في اختيار المسار الأنسب حسب وضع العيادة الحالي.")</x:f>
      </x:c>
      <x:c r="P921" s="12" t="str">
        <x:f>IF(D921="","",HYPERLINK("https://wa.me/"&amp;REGEXREPLACE(D921,"[^\d]","")&amp;"?text="&amp;ENCODEURL(O921),"واتساب 3"))</x:f>
      </x:c>
    </x:row>
    <x:row r="922" ht="15" hidden="0" customHeight="1">
      <x:c r="A922" s="12" t="str">
        <x:f>IF(Leads!A922="","",Leads!A922)</x:f>
      </x:c>
      <x:c r="B922" s="12" t="str">
        <x:f>IF(Leads!F922="","",Leads!F922)</x:f>
      </x:c>
      <x:c r="C922" s="12" t="str">
        <x:f>IF(Leads!G922="","",Leads!G922)</x:f>
      </x:c>
      <x:c r="D922" s="12" t="str">
        <x:f>IF(Leads!O922="","",Leads!O922)</x:f>
      </x:c>
      <x:c r="E922" s="12" t="str">
        <x:f>IF(Leads!AV922="","",Leads!AV922)</x:f>
      </x:c>
      <x:c r="F922" s="12" t="str">
        <x:f>IF(Leads!AX922="","",Leads!AX922)</x:f>
      </x:c>
      <x:c r="G922" s="12" t="str">
        <x:f>IF(Leads!BC922="","",Leads!BC922)</x:f>
      </x:c>
      <x:c r="H922" s="12" t="str">
        <x:f>IF(Leads!BE922="","",Leads!BE922)</x:f>
      </x:c>
      <x:c r="I922" s="12" t="str">
        <x:f>IF(Leads!BG922="","",Leads!BG922)</x:f>
      </x:c>
      <x:c r="J922" s="12" t="str">
        <x:f>IF(Leads!BH922="","",Leads!BH922)</x:f>
      </x:c>
      <x:c r="K922" s="12" t="str">
        <x:f>IF(A922="","","مرحبًا "&amp;C922&amp;CHAR(10)&amp;CHAR(10)&amp;"شكرًا لإتمام تقييم DBD الخاص بعيادة "&amp;B922&amp;"."&amp;CHAR(10)&amp;"نتيجتكم الحالية: "&amp;E922&amp;"%."&amp;CHAR(10)&amp;"أولوية التحسين الأولى: "&amp;F922&amp;"."&amp;IF(J922&lt;&gt;"",CHAR(10)&amp;CHAR(10)&amp;"رابط التقرير: "&amp;J922,"")&amp;CHAR(10)&amp;CHAR(10)&amp;"إذا أحببت، يمكننا مساعدتك في فهم التقرير وتحديد أفضل خطوة تالية لعيادتكم.")</x:f>
      </x:c>
      <x:c r="L922" s="12" t="str">
        <x:f>IF(D922="","",HYPERLINK("https://wa.me/"&amp;REGEXREPLACE(D922,"[^\d]","")&amp;"?text="&amp;ENCODEURL(K922),"واتساب 1"))</x:f>
      </x:c>
      <x:c r="M922" s="12" t="str">
        <x:f>IF(A922="","","مرحبًا "&amp;C922&amp;CHAR(10)&amp;CHAR(10)&amp;"بناءً على نتيجة تقييم عيادة "&amp;B922&amp;"، فإن الترشيح الأقوى لكم الآن هو: "&amp;G922&amp;"."&amp;CHAR(10)&amp;"هذا الخيار يساعدكم في معالجة أكبر فجوة حالية بشكل عملي ومباشر."&amp;IF(J922&lt;&gt;"",CHAR(10)&amp;CHAR(10)&amp;"رابط التقرير: "&amp;J922,"")&amp;CHAR(10)&amp;CHAR(10)&amp;"إذا رغبت، يمكننا توضيح لماذا هذا الكورس هو الأنسب لكم الآن.")</x:f>
      </x:c>
      <x:c r="N922" s="12" t="str">
        <x:f>IF(D922="","",HYPERLINK("https://wa.me/"&amp;REGEXREPLACE(D922,"[^\d]","")&amp;"?text="&amp;ENCODEURL(M922),"واتساب 2"))</x:f>
      </x:c>
      <x:c r="O922" s="12" t="str">
        <x:f>IF(A922="","","مرحبًا "&amp;C922&amp;CHAR(10)&amp;CHAR(10)&amp;"إذا كانت التحديات لديكم تحتاج حلًا أشمل، فالبرنامج الكامل المناسب لكم هو: "&amp;H922&amp;"."&amp;IF(I922&lt;&gt;"",CHAR(10)&amp;"كما يمكنكم أيضًا حجز: "&amp;I922&amp;".","")&amp;IF(J922&lt;&gt;"",CHAR(10)&amp;CHAR(10)&amp;"رابط التقرير: "&amp;J922,"")&amp;CHAR(10)&amp;CHAR(10)&amp;"يسعدنا مساعدتكم في اختيار المسار الأنسب حسب وضع العيادة الحالي.")</x:f>
      </x:c>
      <x:c r="P922" s="12" t="str">
        <x:f>IF(D922="","",HYPERLINK("https://wa.me/"&amp;REGEXREPLACE(D922,"[^\d]","")&amp;"?text="&amp;ENCODEURL(O922),"واتساب 3"))</x:f>
      </x:c>
    </x:row>
    <x:row r="923" ht="15" hidden="0" customHeight="1">
      <x:c r="A923" s="12" t="str">
        <x:f>IF(Leads!A923="","",Leads!A923)</x:f>
      </x:c>
      <x:c r="B923" s="12" t="str">
        <x:f>IF(Leads!F923="","",Leads!F923)</x:f>
      </x:c>
      <x:c r="C923" s="12" t="str">
        <x:f>IF(Leads!G923="","",Leads!G923)</x:f>
      </x:c>
      <x:c r="D923" s="12" t="str">
        <x:f>IF(Leads!O923="","",Leads!O923)</x:f>
      </x:c>
      <x:c r="E923" s="12" t="str">
        <x:f>IF(Leads!AV923="","",Leads!AV923)</x:f>
      </x:c>
      <x:c r="F923" s="12" t="str">
        <x:f>IF(Leads!AX923="","",Leads!AX923)</x:f>
      </x:c>
      <x:c r="G923" s="12" t="str">
        <x:f>IF(Leads!BC923="","",Leads!BC923)</x:f>
      </x:c>
      <x:c r="H923" s="12" t="str">
        <x:f>IF(Leads!BE923="","",Leads!BE923)</x:f>
      </x:c>
      <x:c r="I923" s="12" t="str">
        <x:f>IF(Leads!BG923="","",Leads!BG923)</x:f>
      </x:c>
      <x:c r="J923" s="12" t="str">
        <x:f>IF(Leads!BH923="","",Leads!BH923)</x:f>
      </x:c>
      <x:c r="K923" s="12" t="str">
        <x:f>IF(A923="","","مرحبًا "&amp;C923&amp;CHAR(10)&amp;CHAR(10)&amp;"شكرًا لإتمام تقييم DBD الخاص بعيادة "&amp;B923&amp;"."&amp;CHAR(10)&amp;"نتيجتكم الحالية: "&amp;E923&amp;"%."&amp;CHAR(10)&amp;"أولوية التحسين الأولى: "&amp;F923&amp;"."&amp;IF(J923&lt;&gt;"",CHAR(10)&amp;CHAR(10)&amp;"رابط التقرير: "&amp;J923,"")&amp;CHAR(10)&amp;CHAR(10)&amp;"إذا أحببت، يمكننا مساعدتك في فهم التقرير وتحديد أفضل خطوة تالية لعيادتكم.")</x:f>
      </x:c>
      <x:c r="L923" s="12" t="str">
        <x:f>IF(D923="","",HYPERLINK("https://wa.me/"&amp;REGEXREPLACE(D923,"[^\d]","")&amp;"?text="&amp;ENCODEURL(K923),"واتساب 1"))</x:f>
      </x:c>
      <x:c r="M923" s="12" t="str">
        <x:f>IF(A923="","","مرحبًا "&amp;C923&amp;CHAR(10)&amp;CHAR(10)&amp;"بناءً على نتيجة تقييم عيادة "&amp;B923&amp;"، فإن الترشيح الأقوى لكم الآن هو: "&amp;G923&amp;"."&amp;CHAR(10)&amp;"هذا الخيار يساعدكم في معالجة أكبر فجوة حالية بشكل عملي ومباشر."&amp;IF(J923&lt;&gt;"",CHAR(10)&amp;CHAR(10)&amp;"رابط التقرير: "&amp;J923,"")&amp;CHAR(10)&amp;CHAR(10)&amp;"إذا رغبت، يمكننا توضيح لماذا هذا الكورس هو الأنسب لكم الآن.")</x:f>
      </x:c>
      <x:c r="N923" s="12" t="str">
        <x:f>IF(D923="","",HYPERLINK("https://wa.me/"&amp;REGEXREPLACE(D923,"[^\d]","")&amp;"?text="&amp;ENCODEURL(M923),"واتساب 2"))</x:f>
      </x:c>
      <x:c r="O923" s="12" t="str">
        <x:f>IF(A923="","","مرحبًا "&amp;C923&amp;CHAR(10)&amp;CHAR(10)&amp;"إذا كانت التحديات لديكم تحتاج حلًا أشمل، فالبرنامج الكامل المناسب لكم هو: "&amp;H923&amp;"."&amp;IF(I923&lt;&gt;"",CHAR(10)&amp;"كما يمكنكم أيضًا حجز: "&amp;I923&amp;".","")&amp;IF(J923&lt;&gt;"",CHAR(10)&amp;CHAR(10)&amp;"رابط التقرير: "&amp;J923,"")&amp;CHAR(10)&amp;CHAR(10)&amp;"يسعدنا مساعدتكم في اختيار المسار الأنسب حسب وضع العيادة الحالي.")</x:f>
      </x:c>
      <x:c r="P923" s="12" t="str">
        <x:f>IF(D923="","",HYPERLINK("https://wa.me/"&amp;REGEXREPLACE(D923,"[^\d]","")&amp;"?text="&amp;ENCODEURL(O923),"واتساب 3"))</x:f>
      </x:c>
    </x:row>
    <x:row r="924" ht="15" hidden="0" customHeight="1">
      <x:c r="A924" s="12" t="str">
        <x:f>IF(Leads!A924="","",Leads!A924)</x:f>
      </x:c>
      <x:c r="B924" s="12" t="str">
        <x:f>IF(Leads!F924="","",Leads!F924)</x:f>
      </x:c>
      <x:c r="C924" s="12" t="str">
        <x:f>IF(Leads!G924="","",Leads!G924)</x:f>
      </x:c>
      <x:c r="D924" s="12" t="str">
        <x:f>IF(Leads!O924="","",Leads!O924)</x:f>
      </x:c>
      <x:c r="E924" s="12" t="str">
        <x:f>IF(Leads!AV924="","",Leads!AV924)</x:f>
      </x:c>
      <x:c r="F924" s="12" t="str">
        <x:f>IF(Leads!AX924="","",Leads!AX924)</x:f>
      </x:c>
      <x:c r="G924" s="12" t="str">
        <x:f>IF(Leads!BC924="","",Leads!BC924)</x:f>
      </x:c>
      <x:c r="H924" s="12" t="str">
        <x:f>IF(Leads!BE924="","",Leads!BE924)</x:f>
      </x:c>
      <x:c r="I924" s="12" t="str">
        <x:f>IF(Leads!BG924="","",Leads!BG924)</x:f>
      </x:c>
      <x:c r="J924" s="12" t="str">
        <x:f>IF(Leads!BH924="","",Leads!BH924)</x:f>
      </x:c>
      <x:c r="K924" s="12" t="str">
        <x:f>IF(A924="","","مرحبًا "&amp;C924&amp;CHAR(10)&amp;CHAR(10)&amp;"شكرًا لإتمام تقييم DBD الخاص بعيادة "&amp;B924&amp;"."&amp;CHAR(10)&amp;"نتيجتكم الحالية: "&amp;E924&amp;"%."&amp;CHAR(10)&amp;"أولوية التحسين الأولى: "&amp;F924&amp;"."&amp;IF(J924&lt;&gt;"",CHAR(10)&amp;CHAR(10)&amp;"رابط التقرير: "&amp;J924,"")&amp;CHAR(10)&amp;CHAR(10)&amp;"إذا أحببت، يمكننا مساعدتك في فهم التقرير وتحديد أفضل خطوة تالية لعيادتكم.")</x:f>
      </x:c>
      <x:c r="L924" s="12" t="str">
        <x:f>IF(D924="","",HYPERLINK("https://wa.me/"&amp;REGEXREPLACE(D924,"[^\d]","")&amp;"?text="&amp;ENCODEURL(K924),"واتساب 1"))</x:f>
      </x:c>
      <x:c r="M924" s="12" t="str">
        <x:f>IF(A924="","","مرحبًا "&amp;C924&amp;CHAR(10)&amp;CHAR(10)&amp;"بناءً على نتيجة تقييم عيادة "&amp;B924&amp;"، فإن الترشيح الأقوى لكم الآن هو: "&amp;G924&amp;"."&amp;CHAR(10)&amp;"هذا الخيار يساعدكم في معالجة أكبر فجوة حالية بشكل عملي ومباشر."&amp;IF(J924&lt;&gt;"",CHAR(10)&amp;CHAR(10)&amp;"رابط التقرير: "&amp;J924,"")&amp;CHAR(10)&amp;CHAR(10)&amp;"إذا رغبت، يمكننا توضيح لماذا هذا الكورس هو الأنسب لكم الآن.")</x:f>
      </x:c>
      <x:c r="N924" s="12" t="str">
        <x:f>IF(D924="","",HYPERLINK("https://wa.me/"&amp;REGEXREPLACE(D924,"[^\d]","")&amp;"?text="&amp;ENCODEURL(M924),"واتساب 2"))</x:f>
      </x:c>
      <x:c r="O924" s="12" t="str">
        <x:f>IF(A924="","","مرحبًا "&amp;C924&amp;CHAR(10)&amp;CHAR(10)&amp;"إذا كانت التحديات لديكم تحتاج حلًا أشمل، فالبرنامج الكامل المناسب لكم هو: "&amp;H924&amp;"."&amp;IF(I924&lt;&gt;"",CHAR(10)&amp;"كما يمكنكم أيضًا حجز: "&amp;I924&amp;".","")&amp;IF(J924&lt;&gt;"",CHAR(10)&amp;CHAR(10)&amp;"رابط التقرير: "&amp;J924,"")&amp;CHAR(10)&amp;CHAR(10)&amp;"يسعدنا مساعدتكم في اختيار المسار الأنسب حسب وضع العيادة الحالي.")</x:f>
      </x:c>
      <x:c r="P924" s="12" t="str">
        <x:f>IF(D924="","",HYPERLINK("https://wa.me/"&amp;REGEXREPLACE(D924,"[^\d]","")&amp;"?text="&amp;ENCODEURL(O924),"واتساب 3"))</x:f>
      </x:c>
    </x:row>
    <x:row r="925" ht="15" hidden="0" customHeight="1">
      <x:c r="A925" s="12" t="str">
        <x:f>IF(Leads!A925="","",Leads!A925)</x:f>
      </x:c>
      <x:c r="B925" s="12" t="str">
        <x:f>IF(Leads!F925="","",Leads!F925)</x:f>
      </x:c>
      <x:c r="C925" s="12" t="str">
        <x:f>IF(Leads!G925="","",Leads!G925)</x:f>
      </x:c>
      <x:c r="D925" s="12" t="str">
        <x:f>IF(Leads!O925="","",Leads!O925)</x:f>
      </x:c>
      <x:c r="E925" s="12" t="str">
        <x:f>IF(Leads!AV925="","",Leads!AV925)</x:f>
      </x:c>
      <x:c r="F925" s="12" t="str">
        <x:f>IF(Leads!AX925="","",Leads!AX925)</x:f>
      </x:c>
      <x:c r="G925" s="12" t="str">
        <x:f>IF(Leads!BC925="","",Leads!BC925)</x:f>
      </x:c>
      <x:c r="H925" s="12" t="str">
        <x:f>IF(Leads!BE925="","",Leads!BE925)</x:f>
      </x:c>
      <x:c r="I925" s="12" t="str">
        <x:f>IF(Leads!BG925="","",Leads!BG925)</x:f>
      </x:c>
      <x:c r="J925" s="12" t="str">
        <x:f>IF(Leads!BH925="","",Leads!BH925)</x:f>
      </x:c>
      <x:c r="K925" s="12" t="str">
        <x:f>IF(A925="","","مرحبًا "&amp;C925&amp;CHAR(10)&amp;CHAR(10)&amp;"شكرًا لإتمام تقييم DBD الخاص بعيادة "&amp;B925&amp;"."&amp;CHAR(10)&amp;"نتيجتكم الحالية: "&amp;E925&amp;"%."&amp;CHAR(10)&amp;"أولوية التحسين الأولى: "&amp;F925&amp;"."&amp;IF(J925&lt;&gt;"",CHAR(10)&amp;CHAR(10)&amp;"رابط التقرير: "&amp;J925,"")&amp;CHAR(10)&amp;CHAR(10)&amp;"إذا أحببت، يمكننا مساعدتك في فهم التقرير وتحديد أفضل خطوة تالية لعيادتكم.")</x:f>
      </x:c>
      <x:c r="L925" s="12" t="str">
        <x:f>IF(D925="","",HYPERLINK("https://wa.me/"&amp;REGEXREPLACE(D925,"[^\d]","")&amp;"?text="&amp;ENCODEURL(K925),"واتساب 1"))</x:f>
      </x:c>
      <x:c r="M925" s="12" t="str">
        <x:f>IF(A925="","","مرحبًا "&amp;C925&amp;CHAR(10)&amp;CHAR(10)&amp;"بناءً على نتيجة تقييم عيادة "&amp;B925&amp;"، فإن الترشيح الأقوى لكم الآن هو: "&amp;G925&amp;"."&amp;CHAR(10)&amp;"هذا الخيار يساعدكم في معالجة أكبر فجوة حالية بشكل عملي ومباشر."&amp;IF(J925&lt;&gt;"",CHAR(10)&amp;CHAR(10)&amp;"رابط التقرير: "&amp;J925,"")&amp;CHAR(10)&amp;CHAR(10)&amp;"إذا رغبت، يمكننا توضيح لماذا هذا الكورس هو الأنسب لكم الآن.")</x:f>
      </x:c>
      <x:c r="N925" s="12" t="str">
        <x:f>IF(D925="","",HYPERLINK("https://wa.me/"&amp;REGEXREPLACE(D925,"[^\d]","")&amp;"?text="&amp;ENCODEURL(M925),"واتساب 2"))</x:f>
      </x:c>
      <x:c r="O925" s="12" t="str">
        <x:f>IF(A925="","","مرحبًا "&amp;C925&amp;CHAR(10)&amp;CHAR(10)&amp;"إذا كانت التحديات لديكم تحتاج حلًا أشمل، فالبرنامج الكامل المناسب لكم هو: "&amp;H925&amp;"."&amp;IF(I925&lt;&gt;"",CHAR(10)&amp;"كما يمكنكم أيضًا حجز: "&amp;I925&amp;".","")&amp;IF(J925&lt;&gt;"",CHAR(10)&amp;CHAR(10)&amp;"رابط التقرير: "&amp;J925,"")&amp;CHAR(10)&amp;CHAR(10)&amp;"يسعدنا مساعدتكم في اختيار المسار الأنسب حسب وضع العيادة الحالي.")</x:f>
      </x:c>
      <x:c r="P925" s="12" t="str">
        <x:f>IF(D925="","",HYPERLINK("https://wa.me/"&amp;REGEXREPLACE(D925,"[^\d]","")&amp;"?text="&amp;ENCODEURL(O925),"واتساب 3"))</x:f>
      </x:c>
    </x:row>
    <x:row r="926" ht="15" hidden="0" customHeight="1">
      <x:c r="A926" s="12" t="str">
        <x:f>IF(Leads!A926="","",Leads!A926)</x:f>
      </x:c>
      <x:c r="B926" s="12" t="str">
        <x:f>IF(Leads!F926="","",Leads!F926)</x:f>
      </x:c>
      <x:c r="C926" s="12" t="str">
        <x:f>IF(Leads!G926="","",Leads!G926)</x:f>
      </x:c>
      <x:c r="D926" s="12" t="str">
        <x:f>IF(Leads!O926="","",Leads!O926)</x:f>
      </x:c>
      <x:c r="E926" s="12" t="str">
        <x:f>IF(Leads!AV926="","",Leads!AV926)</x:f>
      </x:c>
      <x:c r="F926" s="12" t="str">
        <x:f>IF(Leads!AX926="","",Leads!AX926)</x:f>
      </x:c>
      <x:c r="G926" s="12" t="str">
        <x:f>IF(Leads!BC926="","",Leads!BC926)</x:f>
      </x:c>
      <x:c r="H926" s="12" t="str">
        <x:f>IF(Leads!BE926="","",Leads!BE926)</x:f>
      </x:c>
      <x:c r="I926" s="12" t="str">
        <x:f>IF(Leads!BG926="","",Leads!BG926)</x:f>
      </x:c>
      <x:c r="J926" s="12" t="str">
        <x:f>IF(Leads!BH926="","",Leads!BH926)</x:f>
      </x:c>
      <x:c r="K926" s="12" t="str">
        <x:f>IF(A926="","","مرحبًا "&amp;C926&amp;CHAR(10)&amp;CHAR(10)&amp;"شكرًا لإتمام تقييم DBD الخاص بعيادة "&amp;B926&amp;"."&amp;CHAR(10)&amp;"نتيجتكم الحالية: "&amp;E926&amp;"%."&amp;CHAR(10)&amp;"أولوية التحسين الأولى: "&amp;F926&amp;"."&amp;IF(J926&lt;&gt;"",CHAR(10)&amp;CHAR(10)&amp;"رابط التقرير: "&amp;J926,"")&amp;CHAR(10)&amp;CHAR(10)&amp;"إذا أحببت، يمكننا مساعدتك في فهم التقرير وتحديد أفضل خطوة تالية لعيادتكم.")</x:f>
      </x:c>
      <x:c r="L926" s="12" t="str">
        <x:f>IF(D926="","",HYPERLINK("https://wa.me/"&amp;REGEXREPLACE(D926,"[^\d]","")&amp;"?text="&amp;ENCODEURL(K926),"واتساب 1"))</x:f>
      </x:c>
      <x:c r="M926" s="12" t="str">
        <x:f>IF(A926="","","مرحبًا "&amp;C926&amp;CHAR(10)&amp;CHAR(10)&amp;"بناءً على نتيجة تقييم عيادة "&amp;B926&amp;"، فإن الترشيح الأقوى لكم الآن هو: "&amp;G926&amp;"."&amp;CHAR(10)&amp;"هذا الخيار يساعدكم في معالجة أكبر فجوة حالية بشكل عملي ومباشر."&amp;IF(J926&lt;&gt;"",CHAR(10)&amp;CHAR(10)&amp;"رابط التقرير: "&amp;J926,"")&amp;CHAR(10)&amp;CHAR(10)&amp;"إذا رغبت، يمكننا توضيح لماذا هذا الكورس هو الأنسب لكم الآن.")</x:f>
      </x:c>
      <x:c r="N926" s="12" t="str">
        <x:f>IF(D926="","",HYPERLINK("https://wa.me/"&amp;REGEXREPLACE(D926,"[^\d]","")&amp;"?text="&amp;ENCODEURL(M926),"واتساب 2"))</x:f>
      </x:c>
      <x:c r="O926" s="12" t="str">
        <x:f>IF(A926="","","مرحبًا "&amp;C926&amp;CHAR(10)&amp;CHAR(10)&amp;"إذا كانت التحديات لديكم تحتاج حلًا أشمل، فالبرنامج الكامل المناسب لكم هو: "&amp;H926&amp;"."&amp;IF(I926&lt;&gt;"",CHAR(10)&amp;"كما يمكنكم أيضًا حجز: "&amp;I926&amp;".","")&amp;IF(J926&lt;&gt;"",CHAR(10)&amp;CHAR(10)&amp;"رابط التقرير: "&amp;J926,"")&amp;CHAR(10)&amp;CHAR(10)&amp;"يسعدنا مساعدتكم في اختيار المسار الأنسب حسب وضع العيادة الحالي.")</x:f>
      </x:c>
      <x:c r="P926" s="12" t="str">
        <x:f>IF(D926="","",HYPERLINK("https://wa.me/"&amp;REGEXREPLACE(D926,"[^\d]","")&amp;"?text="&amp;ENCODEURL(O926),"واتساب 3"))</x:f>
      </x:c>
    </x:row>
    <x:row r="927" ht="15" hidden="0" customHeight="1">
      <x:c r="A927" s="12" t="str">
        <x:f>IF(Leads!A927="","",Leads!A927)</x:f>
      </x:c>
      <x:c r="B927" s="12" t="str">
        <x:f>IF(Leads!F927="","",Leads!F927)</x:f>
      </x:c>
      <x:c r="C927" s="12" t="str">
        <x:f>IF(Leads!G927="","",Leads!G927)</x:f>
      </x:c>
      <x:c r="D927" s="12" t="str">
        <x:f>IF(Leads!O927="","",Leads!O927)</x:f>
      </x:c>
      <x:c r="E927" s="12" t="str">
        <x:f>IF(Leads!AV927="","",Leads!AV927)</x:f>
      </x:c>
      <x:c r="F927" s="12" t="str">
        <x:f>IF(Leads!AX927="","",Leads!AX927)</x:f>
      </x:c>
      <x:c r="G927" s="12" t="str">
        <x:f>IF(Leads!BC927="","",Leads!BC927)</x:f>
      </x:c>
      <x:c r="H927" s="12" t="str">
        <x:f>IF(Leads!BE927="","",Leads!BE927)</x:f>
      </x:c>
      <x:c r="I927" s="12" t="str">
        <x:f>IF(Leads!BG927="","",Leads!BG927)</x:f>
      </x:c>
      <x:c r="J927" s="12" t="str">
        <x:f>IF(Leads!BH927="","",Leads!BH927)</x:f>
      </x:c>
      <x:c r="K927" s="12" t="str">
        <x:f>IF(A927="","","مرحبًا "&amp;C927&amp;CHAR(10)&amp;CHAR(10)&amp;"شكرًا لإتمام تقييم DBD الخاص بعيادة "&amp;B927&amp;"."&amp;CHAR(10)&amp;"نتيجتكم الحالية: "&amp;E927&amp;"%."&amp;CHAR(10)&amp;"أولوية التحسين الأولى: "&amp;F927&amp;"."&amp;IF(J927&lt;&gt;"",CHAR(10)&amp;CHAR(10)&amp;"رابط التقرير: "&amp;J927,"")&amp;CHAR(10)&amp;CHAR(10)&amp;"إذا أحببت، يمكننا مساعدتك في فهم التقرير وتحديد أفضل خطوة تالية لعيادتكم.")</x:f>
      </x:c>
      <x:c r="L927" s="12" t="str">
        <x:f>IF(D927="","",HYPERLINK("https://wa.me/"&amp;REGEXREPLACE(D927,"[^\d]","")&amp;"?text="&amp;ENCODEURL(K927),"واتساب 1"))</x:f>
      </x:c>
      <x:c r="M927" s="12" t="str">
        <x:f>IF(A927="","","مرحبًا "&amp;C927&amp;CHAR(10)&amp;CHAR(10)&amp;"بناءً على نتيجة تقييم عيادة "&amp;B927&amp;"، فإن الترشيح الأقوى لكم الآن هو: "&amp;G927&amp;"."&amp;CHAR(10)&amp;"هذا الخيار يساعدكم في معالجة أكبر فجوة حالية بشكل عملي ومباشر."&amp;IF(J927&lt;&gt;"",CHAR(10)&amp;CHAR(10)&amp;"رابط التقرير: "&amp;J927,"")&amp;CHAR(10)&amp;CHAR(10)&amp;"إذا رغبت، يمكننا توضيح لماذا هذا الكورس هو الأنسب لكم الآن.")</x:f>
      </x:c>
      <x:c r="N927" s="12" t="str">
        <x:f>IF(D927="","",HYPERLINK("https://wa.me/"&amp;REGEXREPLACE(D927,"[^\d]","")&amp;"?text="&amp;ENCODEURL(M927),"واتساب 2"))</x:f>
      </x:c>
      <x:c r="O927" s="12" t="str">
        <x:f>IF(A927="","","مرحبًا "&amp;C927&amp;CHAR(10)&amp;CHAR(10)&amp;"إذا كانت التحديات لديكم تحتاج حلًا أشمل، فالبرنامج الكامل المناسب لكم هو: "&amp;H927&amp;"."&amp;IF(I927&lt;&gt;"",CHAR(10)&amp;"كما يمكنكم أيضًا حجز: "&amp;I927&amp;".","")&amp;IF(J927&lt;&gt;"",CHAR(10)&amp;CHAR(10)&amp;"رابط التقرير: "&amp;J927,"")&amp;CHAR(10)&amp;CHAR(10)&amp;"يسعدنا مساعدتكم في اختيار المسار الأنسب حسب وضع العيادة الحالي.")</x:f>
      </x:c>
      <x:c r="P927" s="12" t="str">
        <x:f>IF(D927="","",HYPERLINK("https://wa.me/"&amp;REGEXREPLACE(D927,"[^\d]","")&amp;"?text="&amp;ENCODEURL(O927),"واتساب 3"))</x:f>
      </x:c>
    </x:row>
    <x:row r="928" ht="15" hidden="0" customHeight="1">
      <x:c r="A928" s="12" t="str">
        <x:f>IF(Leads!A928="","",Leads!A928)</x:f>
      </x:c>
      <x:c r="B928" s="12" t="str">
        <x:f>IF(Leads!F928="","",Leads!F928)</x:f>
      </x:c>
      <x:c r="C928" s="12" t="str">
        <x:f>IF(Leads!G928="","",Leads!G928)</x:f>
      </x:c>
      <x:c r="D928" s="12" t="str">
        <x:f>IF(Leads!O928="","",Leads!O928)</x:f>
      </x:c>
      <x:c r="E928" s="12" t="str">
        <x:f>IF(Leads!AV928="","",Leads!AV928)</x:f>
      </x:c>
      <x:c r="F928" s="12" t="str">
        <x:f>IF(Leads!AX928="","",Leads!AX928)</x:f>
      </x:c>
      <x:c r="G928" s="12" t="str">
        <x:f>IF(Leads!BC928="","",Leads!BC928)</x:f>
      </x:c>
      <x:c r="H928" s="12" t="str">
        <x:f>IF(Leads!BE928="","",Leads!BE928)</x:f>
      </x:c>
      <x:c r="I928" s="12" t="str">
        <x:f>IF(Leads!BG928="","",Leads!BG928)</x:f>
      </x:c>
      <x:c r="J928" s="12" t="str">
        <x:f>IF(Leads!BH928="","",Leads!BH928)</x:f>
      </x:c>
      <x:c r="K928" s="12" t="str">
        <x:f>IF(A928="","","مرحبًا "&amp;C928&amp;CHAR(10)&amp;CHAR(10)&amp;"شكرًا لإتمام تقييم DBD الخاص بعيادة "&amp;B928&amp;"."&amp;CHAR(10)&amp;"نتيجتكم الحالية: "&amp;E928&amp;"%."&amp;CHAR(10)&amp;"أولوية التحسين الأولى: "&amp;F928&amp;"."&amp;IF(J928&lt;&gt;"",CHAR(10)&amp;CHAR(10)&amp;"رابط التقرير: "&amp;J928,"")&amp;CHAR(10)&amp;CHAR(10)&amp;"إذا أحببت، يمكننا مساعدتك في فهم التقرير وتحديد أفضل خطوة تالية لعيادتكم.")</x:f>
      </x:c>
      <x:c r="L928" s="12" t="str">
        <x:f>IF(D928="","",HYPERLINK("https://wa.me/"&amp;REGEXREPLACE(D928,"[^\d]","")&amp;"?text="&amp;ENCODEURL(K928),"واتساب 1"))</x:f>
      </x:c>
      <x:c r="M928" s="12" t="str">
        <x:f>IF(A928="","","مرحبًا "&amp;C928&amp;CHAR(10)&amp;CHAR(10)&amp;"بناءً على نتيجة تقييم عيادة "&amp;B928&amp;"، فإن الترشيح الأقوى لكم الآن هو: "&amp;G928&amp;"."&amp;CHAR(10)&amp;"هذا الخيار يساعدكم في معالجة أكبر فجوة حالية بشكل عملي ومباشر."&amp;IF(J928&lt;&gt;"",CHAR(10)&amp;CHAR(10)&amp;"رابط التقرير: "&amp;J928,"")&amp;CHAR(10)&amp;CHAR(10)&amp;"إذا رغبت، يمكننا توضيح لماذا هذا الكورس هو الأنسب لكم الآن.")</x:f>
      </x:c>
      <x:c r="N928" s="12" t="str">
        <x:f>IF(D928="","",HYPERLINK("https://wa.me/"&amp;REGEXREPLACE(D928,"[^\d]","")&amp;"?text="&amp;ENCODEURL(M928),"واتساب 2"))</x:f>
      </x:c>
      <x:c r="O928" s="12" t="str">
        <x:f>IF(A928="","","مرحبًا "&amp;C928&amp;CHAR(10)&amp;CHAR(10)&amp;"إذا كانت التحديات لديكم تحتاج حلًا أشمل، فالبرنامج الكامل المناسب لكم هو: "&amp;H928&amp;"."&amp;IF(I928&lt;&gt;"",CHAR(10)&amp;"كما يمكنكم أيضًا حجز: "&amp;I928&amp;".","")&amp;IF(J928&lt;&gt;"",CHAR(10)&amp;CHAR(10)&amp;"رابط التقرير: "&amp;J928,"")&amp;CHAR(10)&amp;CHAR(10)&amp;"يسعدنا مساعدتكم في اختيار المسار الأنسب حسب وضع العيادة الحالي.")</x:f>
      </x:c>
      <x:c r="P928" s="12" t="str">
        <x:f>IF(D928="","",HYPERLINK("https://wa.me/"&amp;REGEXREPLACE(D928,"[^\d]","")&amp;"?text="&amp;ENCODEURL(O928),"واتساب 3"))</x:f>
      </x:c>
    </x:row>
    <x:row r="929" ht="15" hidden="0" customHeight="1">
      <x:c r="A929" s="12" t="str">
        <x:f>IF(Leads!A929="","",Leads!A929)</x:f>
      </x:c>
      <x:c r="B929" s="12" t="str">
        <x:f>IF(Leads!F929="","",Leads!F929)</x:f>
      </x:c>
      <x:c r="C929" s="12" t="str">
        <x:f>IF(Leads!G929="","",Leads!G929)</x:f>
      </x:c>
      <x:c r="D929" s="12" t="str">
        <x:f>IF(Leads!O929="","",Leads!O929)</x:f>
      </x:c>
      <x:c r="E929" s="12" t="str">
        <x:f>IF(Leads!AV929="","",Leads!AV929)</x:f>
      </x:c>
      <x:c r="F929" s="12" t="str">
        <x:f>IF(Leads!AX929="","",Leads!AX929)</x:f>
      </x:c>
      <x:c r="G929" s="12" t="str">
        <x:f>IF(Leads!BC929="","",Leads!BC929)</x:f>
      </x:c>
      <x:c r="H929" s="12" t="str">
        <x:f>IF(Leads!BE929="","",Leads!BE929)</x:f>
      </x:c>
      <x:c r="I929" s="12" t="str">
        <x:f>IF(Leads!BG929="","",Leads!BG929)</x:f>
      </x:c>
      <x:c r="J929" s="12" t="str">
        <x:f>IF(Leads!BH929="","",Leads!BH929)</x:f>
      </x:c>
      <x:c r="K929" s="12" t="str">
        <x:f>IF(A929="","","مرحبًا "&amp;C929&amp;CHAR(10)&amp;CHAR(10)&amp;"شكرًا لإتمام تقييم DBD الخاص بعيادة "&amp;B929&amp;"."&amp;CHAR(10)&amp;"نتيجتكم الحالية: "&amp;E929&amp;"%."&amp;CHAR(10)&amp;"أولوية التحسين الأولى: "&amp;F929&amp;"."&amp;IF(J929&lt;&gt;"",CHAR(10)&amp;CHAR(10)&amp;"رابط التقرير: "&amp;J929,"")&amp;CHAR(10)&amp;CHAR(10)&amp;"إذا أحببت، يمكننا مساعدتك في فهم التقرير وتحديد أفضل خطوة تالية لعيادتكم.")</x:f>
      </x:c>
      <x:c r="L929" s="12" t="str">
        <x:f>IF(D929="","",HYPERLINK("https://wa.me/"&amp;REGEXREPLACE(D929,"[^\d]","")&amp;"?text="&amp;ENCODEURL(K929),"واتساب 1"))</x:f>
      </x:c>
      <x:c r="M929" s="12" t="str">
        <x:f>IF(A929="","","مرحبًا "&amp;C929&amp;CHAR(10)&amp;CHAR(10)&amp;"بناءً على نتيجة تقييم عيادة "&amp;B929&amp;"، فإن الترشيح الأقوى لكم الآن هو: "&amp;G929&amp;"."&amp;CHAR(10)&amp;"هذا الخيار يساعدكم في معالجة أكبر فجوة حالية بشكل عملي ومباشر."&amp;IF(J929&lt;&gt;"",CHAR(10)&amp;CHAR(10)&amp;"رابط التقرير: "&amp;J929,"")&amp;CHAR(10)&amp;CHAR(10)&amp;"إذا رغبت، يمكننا توضيح لماذا هذا الكورس هو الأنسب لكم الآن.")</x:f>
      </x:c>
      <x:c r="N929" s="12" t="str">
        <x:f>IF(D929="","",HYPERLINK("https://wa.me/"&amp;REGEXREPLACE(D929,"[^\d]","")&amp;"?text="&amp;ENCODEURL(M929),"واتساب 2"))</x:f>
      </x:c>
      <x:c r="O929" s="12" t="str">
        <x:f>IF(A929="","","مرحبًا "&amp;C929&amp;CHAR(10)&amp;CHAR(10)&amp;"إذا كانت التحديات لديكم تحتاج حلًا أشمل، فالبرنامج الكامل المناسب لكم هو: "&amp;H929&amp;"."&amp;IF(I929&lt;&gt;"",CHAR(10)&amp;"كما يمكنكم أيضًا حجز: "&amp;I929&amp;".","")&amp;IF(J929&lt;&gt;"",CHAR(10)&amp;CHAR(10)&amp;"رابط التقرير: "&amp;J929,"")&amp;CHAR(10)&amp;CHAR(10)&amp;"يسعدنا مساعدتكم في اختيار المسار الأنسب حسب وضع العيادة الحالي.")</x:f>
      </x:c>
      <x:c r="P929" s="12" t="str">
        <x:f>IF(D929="","",HYPERLINK("https://wa.me/"&amp;REGEXREPLACE(D929,"[^\d]","")&amp;"?text="&amp;ENCODEURL(O929),"واتساب 3"))</x:f>
      </x:c>
    </x:row>
    <x:row r="930" ht="15" hidden="0" customHeight="1">
      <x:c r="A930" s="12" t="str">
        <x:f>IF(Leads!A930="","",Leads!A930)</x:f>
      </x:c>
      <x:c r="B930" s="12" t="str">
        <x:f>IF(Leads!F930="","",Leads!F930)</x:f>
      </x:c>
      <x:c r="C930" s="12" t="str">
        <x:f>IF(Leads!G930="","",Leads!G930)</x:f>
      </x:c>
      <x:c r="D930" s="12" t="str">
        <x:f>IF(Leads!O930="","",Leads!O930)</x:f>
      </x:c>
      <x:c r="E930" s="12" t="str">
        <x:f>IF(Leads!AV930="","",Leads!AV930)</x:f>
      </x:c>
      <x:c r="F930" s="12" t="str">
        <x:f>IF(Leads!AX930="","",Leads!AX930)</x:f>
      </x:c>
      <x:c r="G930" s="12" t="str">
        <x:f>IF(Leads!BC930="","",Leads!BC930)</x:f>
      </x:c>
      <x:c r="H930" s="12" t="str">
        <x:f>IF(Leads!BE930="","",Leads!BE930)</x:f>
      </x:c>
      <x:c r="I930" s="12" t="str">
        <x:f>IF(Leads!BG930="","",Leads!BG930)</x:f>
      </x:c>
      <x:c r="J930" s="12" t="str">
        <x:f>IF(Leads!BH930="","",Leads!BH930)</x:f>
      </x:c>
      <x:c r="K930" s="12" t="str">
        <x:f>IF(A930="","","مرحبًا "&amp;C930&amp;CHAR(10)&amp;CHAR(10)&amp;"شكرًا لإتمام تقييم DBD الخاص بعيادة "&amp;B930&amp;"."&amp;CHAR(10)&amp;"نتيجتكم الحالية: "&amp;E930&amp;"%."&amp;CHAR(10)&amp;"أولوية التحسين الأولى: "&amp;F930&amp;"."&amp;IF(J930&lt;&gt;"",CHAR(10)&amp;CHAR(10)&amp;"رابط التقرير: "&amp;J930,"")&amp;CHAR(10)&amp;CHAR(10)&amp;"إذا أحببت، يمكننا مساعدتك في فهم التقرير وتحديد أفضل خطوة تالية لعيادتكم.")</x:f>
      </x:c>
      <x:c r="L930" s="12" t="str">
        <x:f>IF(D930="","",HYPERLINK("https://wa.me/"&amp;REGEXREPLACE(D930,"[^\d]","")&amp;"?text="&amp;ENCODEURL(K930),"واتساب 1"))</x:f>
      </x:c>
      <x:c r="M930" s="12" t="str">
        <x:f>IF(A930="","","مرحبًا "&amp;C930&amp;CHAR(10)&amp;CHAR(10)&amp;"بناءً على نتيجة تقييم عيادة "&amp;B930&amp;"، فإن الترشيح الأقوى لكم الآن هو: "&amp;G930&amp;"."&amp;CHAR(10)&amp;"هذا الخيار يساعدكم في معالجة أكبر فجوة حالية بشكل عملي ومباشر."&amp;IF(J930&lt;&gt;"",CHAR(10)&amp;CHAR(10)&amp;"رابط التقرير: "&amp;J930,"")&amp;CHAR(10)&amp;CHAR(10)&amp;"إذا رغبت، يمكننا توضيح لماذا هذا الكورس هو الأنسب لكم الآن.")</x:f>
      </x:c>
      <x:c r="N930" s="12" t="str">
        <x:f>IF(D930="","",HYPERLINK("https://wa.me/"&amp;REGEXREPLACE(D930,"[^\d]","")&amp;"?text="&amp;ENCODEURL(M930),"واتساب 2"))</x:f>
      </x:c>
      <x:c r="O930" s="12" t="str">
        <x:f>IF(A930="","","مرحبًا "&amp;C930&amp;CHAR(10)&amp;CHAR(10)&amp;"إذا كانت التحديات لديكم تحتاج حلًا أشمل، فالبرنامج الكامل المناسب لكم هو: "&amp;H930&amp;"."&amp;IF(I930&lt;&gt;"",CHAR(10)&amp;"كما يمكنكم أيضًا حجز: "&amp;I930&amp;".","")&amp;IF(J930&lt;&gt;"",CHAR(10)&amp;CHAR(10)&amp;"رابط التقرير: "&amp;J930,"")&amp;CHAR(10)&amp;CHAR(10)&amp;"يسعدنا مساعدتكم في اختيار المسار الأنسب حسب وضع العيادة الحالي.")</x:f>
      </x:c>
      <x:c r="P930" s="12" t="str">
        <x:f>IF(D930="","",HYPERLINK("https://wa.me/"&amp;REGEXREPLACE(D930,"[^\d]","")&amp;"?text="&amp;ENCODEURL(O930),"واتساب 3"))</x:f>
      </x:c>
    </x:row>
    <x:row r="931" ht="15" hidden="0" customHeight="1">
      <x:c r="A931" s="12" t="str">
        <x:f>IF(Leads!A931="","",Leads!A931)</x:f>
      </x:c>
      <x:c r="B931" s="12" t="str">
        <x:f>IF(Leads!F931="","",Leads!F931)</x:f>
      </x:c>
      <x:c r="C931" s="12" t="str">
        <x:f>IF(Leads!G931="","",Leads!G931)</x:f>
      </x:c>
      <x:c r="D931" s="12" t="str">
        <x:f>IF(Leads!O931="","",Leads!O931)</x:f>
      </x:c>
      <x:c r="E931" s="12" t="str">
        <x:f>IF(Leads!AV931="","",Leads!AV931)</x:f>
      </x:c>
      <x:c r="F931" s="12" t="str">
        <x:f>IF(Leads!AX931="","",Leads!AX931)</x:f>
      </x:c>
      <x:c r="G931" s="12" t="str">
        <x:f>IF(Leads!BC931="","",Leads!BC931)</x:f>
      </x:c>
      <x:c r="H931" s="12" t="str">
        <x:f>IF(Leads!BE931="","",Leads!BE931)</x:f>
      </x:c>
      <x:c r="I931" s="12" t="str">
        <x:f>IF(Leads!BG931="","",Leads!BG931)</x:f>
      </x:c>
      <x:c r="J931" s="12" t="str">
        <x:f>IF(Leads!BH931="","",Leads!BH931)</x:f>
      </x:c>
      <x:c r="K931" s="12" t="str">
        <x:f>IF(A931="","","مرحبًا "&amp;C931&amp;CHAR(10)&amp;CHAR(10)&amp;"شكرًا لإتمام تقييم DBD الخاص بعيادة "&amp;B931&amp;"."&amp;CHAR(10)&amp;"نتيجتكم الحالية: "&amp;E931&amp;"%."&amp;CHAR(10)&amp;"أولوية التحسين الأولى: "&amp;F931&amp;"."&amp;IF(J931&lt;&gt;"",CHAR(10)&amp;CHAR(10)&amp;"رابط التقرير: "&amp;J931,"")&amp;CHAR(10)&amp;CHAR(10)&amp;"إذا أحببت، يمكننا مساعدتك في فهم التقرير وتحديد أفضل خطوة تالية لعيادتكم.")</x:f>
      </x:c>
      <x:c r="L931" s="12" t="str">
        <x:f>IF(D931="","",HYPERLINK("https://wa.me/"&amp;REGEXREPLACE(D931,"[^\d]","")&amp;"?text="&amp;ENCODEURL(K931),"واتساب 1"))</x:f>
      </x:c>
      <x:c r="M931" s="12" t="str">
        <x:f>IF(A931="","","مرحبًا "&amp;C931&amp;CHAR(10)&amp;CHAR(10)&amp;"بناءً على نتيجة تقييم عيادة "&amp;B931&amp;"، فإن الترشيح الأقوى لكم الآن هو: "&amp;G931&amp;"."&amp;CHAR(10)&amp;"هذا الخيار يساعدكم في معالجة أكبر فجوة حالية بشكل عملي ومباشر."&amp;IF(J931&lt;&gt;"",CHAR(10)&amp;CHAR(10)&amp;"رابط التقرير: "&amp;J931,"")&amp;CHAR(10)&amp;CHAR(10)&amp;"إذا رغبت، يمكننا توضيح لماذا هذا الكورس هو الأنسب لكم الآن.")</x:f>
      </x:c>
      <x:c r="N931" s="12" t="str">
        <x:f>IF(D931="","",HYPERLINK("https://wa.me/"&amp;REGEXREPLACE(D931,"[^\d]","")&amp;"?text="&amp;ENCODEURL(M931),"واتساب 2"))</x:f>
      </x:c>
      <x:c r="O931" s="12" t="str">
        <x:f>IF(A931="","","مرحبًا "&amp;C931&amp;CHAR(10)&amp;CHAR(10)&amp;"إذا كانت التحديات لديكم تحتاج حلًا أشمل، فالبرنامج الكامل المناسب لكم هو: "&amp;H931&amp;"."&amp;IF(I931&lt;&gt;"",CHAR(10)&amp;"كما يمكنكم أيضًا حجز: "&amp;I931&amp;".","")&amp;IF(J931&lt;&gt;"",CHAR(10)&amp;CHAR(10)&amp;"رابط التقرير: "&amp;J931,"")&amp;CHAR(10)&amp;CHAR(10)&amp;"يسعدنا مساعدتكم في اختيار المسار الأنسب حسب وضع العيادة الحالي.")</x:f>
      </x:c>
      <x:c r="P931" s="12" t="str">
        <x:f>IF(D931="","",HYPERLINK("https://wa.me/"&amp;REGEXREPLACE(D931,"[^\d]","")&amp;"?text="&amp;ENCODEURL(O931),"واتساب 3"))</x:f>
      </x:c>
    </x:row>
    <x:row r="932" ht="15" hidden="0" customHeight="1">
      <x:c r="A932" s="12" t="str">
        <x:f>IF(Leads!A932="","",Leads!A932)</x:f>
      </x:c>
      <x:c r="B932" s="12" t="str">
        <x:f>IF(Leads!F932="","",Leads!F932)</x:f>
      </x:c>
      <x:c r="C932" s="12" t="str">
        <x:f>IF(Leads!G932="","",Leads!G932)</x:f>
      </x:c>
      <x:c r="D932" s="12" t="str">
        <x:f>IF(Leads!O932="","",Leads!O932)</x:f>
      </x:c>
      <x:c r="E932" s="12" t="str">
        <x:f>IF(Leads!AV932="","",Leads!AV932)</x:f>
      </x:c>
      <x:c r="F932" s="12" t="str">
        <x:f>IF(Leads!AX932="","",Leads!AX932)</x:f>
      </x:c>
      <x:c r="G932" s="12" t="str">
        <x:f>IF(Leads!BC932="","",Leads!BC932)</x:f>
      </x:c>
      <x:c r="H932" s="12" t="str">
        <x:f>IF(Leads!BE932="","",Leads!BE932)</x:f>
      </x:c>
      <x:c r="I932" s="12" t="str">
        <x:f>IF(Leads!BG932="","",Leads!BG932)</x:f>
      </x:c>
      <x:c r="J932" s="12" t="str">
        <x:f>IF(Leads!BH932="","",Leads!BH932)</x:f>
      </x:c>
      <x:c r="K932" s="12" t="str">
        <x:f>IF(A932="","","مرحبًا "&amp;C932&amp;CHAR(10)&amp;CHAR(10)&amp;"شكرًا لإتمام تقييم DBD الخاص بعيادة "&amp;B932&amp;"."&amp;CHAR(10)&amp;"نتيجتكم الحالية: "&amp;E932&amp;"%."&amp;CHAR(10)&amp;"أولوية التحسين الأولى: "&amp;F932&amp;"."&amp;IF(J932&lt;&gt;"",CHAR(10)&amp;CHAR(10)&amp;"رابط التقرير: "&amp;J932,"")&amp;CHAR(10)&amp;CHAR(10)&amp;"إذا أحببت، يمكننا مساعدتك في فهم التقرير وتحديد أفضل خطوة تالية لعيادتكم.")</x:f>
      </x:c>
      <x:c r="L932" s="12" t="str">
        <x:f>IF(D932="","",HYPERLINK("https://wa.me/"&amp;REGEXREPLACE(D932,"[^\d]","")&amp;"?text="&amp;ENCODEURL(K932),"واتساب 1"))</x:f>
      </x:c>
      <x:c r="M932" s="12" t="str">
        <x:f>IF(A932="","","مرحبًا "&amp;C932&amp;CHAR(10)&amp;CHAR(10)&amp;"بناءً على نتيجة تقييم عيادة "&amp;B932&amp;"، فإن الترشيح الأقوى لكم الآن هو: "&amp;G932&amp;"."&amp;CHAR(10)&amp;"هذا الخيار يساعدكم في معالجة أكبر فجوة حالية بشكل عملي ومباشر."&amp;IF(J932&lt;&gt;"",CHAR(10)&amp;CHAR(10)&amp;"رابط التقرير: "&amp;J932,"")&amp;CHAR(10)&amp;CHAR(10)&amp;"إذا رغبت، يمكننا توضيح لماذا هذا الكورس هو الأنسب لكم الآن.")</x:f>
      </x:c>
      <x:c r="N932" s="12" t="str">
        <x:f>IF(D932="","",HYPERLINK("https://wa.me/"&amp;REGEXREPLACE(D932,"[^\d]","")&amp;"?text="&amp;ENCODEURL(M932),"واتساب 2"))</x:f>
      </x:c>
      <x:c r="O932" s="12" t="str">
        <x:f>IF(A932="","","مرحبًا "&amp;C932&amp;CHAR(10)&amp;CHAR(10)&amp;"إذا كانت التحديات لديكم تحتاج حلًا أشمل، فالبرنامج الكامل المناسب لكم هو: "&amp;H932&amp;"."&amp;IF(I932&lt;&gt;"",CHAR(10)&amp;"كما يمكنكم أيضًا حجز: "&amp;I932&amp;".","")&amp;IF(J932&lt;&gt;"",CHAR(10)&amp;CHAR(10)&amp;"رابط التقرير: "&amp;J932,"")&amp;CHAR(10)&amp;CHAR(10)&amp;"يسعدنا مساعدتكم في اختيار المسار الأنسب حسب وضع العيادة الحالي.")</x:f>
      </x:c>
      <x:c r="P932" s="12" t="str">
        <x:f>IF(D932="","",HYPERLINK("https://wa.me/"&amp;REGEXREPLACE(D932,"[^\d]","")&amp;"?text="&amp;ENCODEURL(O932),"واتساب 3"))</x:f>
      </x:c>
    </x:row>
    <x:row r="933" ht="15" hidden="0" customHeight="1">
      <x:c r="A933" s="12" t="str">
        <x:f>IF(Leads!A933="","",Leads!A933)</x:f>
      </x:c>
      <x:c r="B933" s="12" t="str">
        <x:f>IF(Leads!F933="","",Leads!F933)</x:f>
      </x:c>
      <x:c r="C933" s="12" t="str">
        <x:f>IF(Leads!G933="","",Leads!G933)</x:f>
      </x:c>
      <x:c r="D933" s="12" t="str">
        <x:f>IF(Leads!O933="","",Leads!O933)</x:f>
      </x:c>
      <x:c r="E933" s="12" t="str">
        <x:f>IF(Leads!AV933="","",Leads!AV933)</x:f>
      </x:c>
      <x:c r="F933" s="12" t="str">
        <x:f>IF(Leads!AX933="","",Leads!AX933)</x:f>
      </x:c>
      <x:c r="G933" s="12" t="str">
        <x:f>IF(Leads!BC933="","",Leads!BC933)</x:f>
      </x:c>
      <x:c r="H933" s="12" t="str">
        <x:f>IF(Leads!BE933="","",Leads!BE933)</x:f>
      </x:c>
      <x:c r="I933" s="12" t="str">
        <x:f>IF(Leads!BG933="","",Leads!BG933)</x:f>
      </x:c>
      <x:c r="J933" s="12" t="str">
        <x:f>IF(Leads!BH933="","",Leads!BH933)</x:f>
      </x:c>
      <x:c r="K933" s="12" t="str">
        <x:f>IF(A933="","","مرحبًا "&amp;C933&amp;CHAR(10)&amp;CHAR(10)&amp;"شكرًا لإتمام تقييم DBD الخاص بعيادة "&amp;B933&amp;"."&amp;CHAR(10)&amp;"نتيجتكم الحالية: "&amp;E933&amp;"%."&amp;CHAR(10)&amp;"أولوية التحسين الأولى: "&amp;F933&amp;"."&amp;IF(J933&lt;&gt;"",CHAR(10)&amp;CHAR(10)&amp;"رابط التقرير: "&amp;J933,"")&amp;CHAR(10)&amp;CHAR(10)&amp;"إذا أحببت، يمكننا مساعدتك في فهم التقرير وتحديد أفضل خطوة تالية لعيادتكم.")</x:f>
      </x:c>
      <x:c r="L933" s="12" t="str">
        <x:f>IF(D933="","",HYPERLINK("https://wa.me/"&amp;REGEXREPLACE(D933,"[^\d]","")&amp;"?text="&amp;ENCODEURL(K933),"واتساب 1"))</x:f>
      </x:c>
      <x:c r="M933" s="12" t="str">
        <x:f>IF(A933="","","مرحبًا "&amp;C933&amp;CHAR(10)&amp;CHAR(10)&amp;"بناءً على نتيجة تقييم عيادة "&amp;B933&amp;"، فإن الترشيح الأقوى لكم الآن هو: "&amp;G933&amp;"."&amp;CHAR(10)&amp;"هذا الخيار يساعدكم في معالجة أكبر فجوة حالية بشكل عملي ومباشر."&amp;IF(J933&lt;&gt;"",CHAR(10)&amp;CHAR(10)&amp;"رابط التقرير: "&amp;J933,"")&amp;CHAR(10)&amp;CHAR(10)&amp;"إذا رغبت، يمكننا توضيح لماذا هذا الكورس هو الأنسب لكم الآن.")</x:f>
      </x:c>
      <x:c r="N933" s="12" t="str">
        <x:f>IF(D933="","",HYPERLINK("https://wa.me/"&amp;REGEXREPLACE(D933,"[^\d]","")&amp;"?text="&amp;ENCODEURL(M933),"واتساب 2"))</x:f>
      </x:c>
      <x:c r="O933" s="12" t="str">
        <x:f>IF(A933="","","مرحبًا "&amp;C933&amp;CHAR(10)&amp;CHAR(10)&amp;"إذا كانت التحديات لديكم تحتاج حلًا أشمل، فالبرنامج الكامل المناسب لكم هو: "&amp;H933&amp;"."&amp;IF(I933&lt;&gt;"",CHAR(10)&amp;"كما يمكنكم أيضًا حجز: "&amp;I933&amp;".","")&amp;IF(J933&lt;&gt;"",CHAR(10)&amp;CHAR(10)&amp;"رابط التقرير: "&amp;J933,"")&amp;CHAR(10)&amp;CHAR(10)&amp;"يسعدنا مساعدتكم في اختيار المسار الأنسب حسب وضع العيادة الحالي.")</x:f>
      </x:c>
      <x:c r="P933" s="12" t="str">
        <x:f>IF(D933="","",HYPERLINK("https://wa.me/"&amp;REGEXREPLACE(D933,"[^\d]","")&amp;"?text="&amp;ENCODEURL(O933),"واتساب 3"))</x:f>
      </x:c>
    </x:row>
    <x:row r="934" ht="15" hidden="0" customHeight="1">
      <x:c r="A934" s="12" t="str">
        <x:f>IF(Leads!A934="","",Leads!A934)</x:f>
      </x:c>
      <x:c r="B934" s="12" t="str">
        <x:f>IF(Leads!F934="","",Leads!F934)</x:f>
      </x:c>
      <x:c r="C934" s="12" t="str">
        <x:f>IF(Leads!G934="","",Leads!G934)</x:f>
      </x:c>
      <x:c r="D934" s="12" t="str">
        <x:f>IF(Leads!O934="","",Leads!O934)</x:f>
      </x:c>
      <x:c r="E934" s="12" t="str">
        <x:f>IF(Leads!AV934="","",Leads!AV934)</x:f>
      </x:c>
      <x:c r="F934" s="12" t="str">
        <x:f>IF(Leads!AX934="","",Leads!AX934)</x:f>
      </x:c>
      <x:c r="G934" s="12" t="str">
        <x:f>IF(Leads!BC934="","",Leads!BC934)</x:f>
      </x:c>
      <x:c r="H934" s="12" t="str">
        <x:f>IF(Leads!BE934="","",Leads!BE934)</x:f>
      </x:c>
      <x:c r="I934" s="12" t="str">
        <x:f>IF(Leads!BG934="","",Leads!BG934)</x:f>
      </x:c>
      <x:c r="J934" s="12" t="str">
        <x:f>IF(Leads!BH934="","",Leads!BH934)</x:f>
      </x:c>
      <x:c r="K934" s="12" t="str">
        <x:f>IF(A934="","","مرحبًا "&amp;C934&amp;CHAR(10)&amp;CHAR(10)&amp;"شكرًا لإتمام تقييم DBD الخاص بعيادة "&amp;B934&amp;"."&amp;CHAR(10)&amp;"نتيجتكم الحالية: "&amp;E934&amp;"%."&amp;CHAR(10)&amp;"أولوية التحسين الأولى: "&amp;F934&amp;"."&amp;IF(J934&lt;&gt;"",CHAR(10)&amp;CHAR(10)&amp;"رابط التقرير: "&amp;J934,"")&amp;CHAR(10)&amp;CHAR(10)&amp;"إذا أحببت، يمكننا مساعدتك في فهم التقرير وتحديد أفضل خطوة تالية لعيادتكم.")</x:f>
      </x:c>
      <x:c r="L934" s="12" t="str">
        <x:f>IF(D934="","",HYPERLINK("https://wa.me/"&amp;REGEXREPLACE(D934,"[^\d]","")&amp;"?text="&amp;ENCODEURL(K934),"واتساب 1"))</x:f>
      </x:c>
      <x:c r="M934" s="12" t="str">
        <x:f>IF(A934="","","مرحبًا "&amp;C934&amp;CHAR(10)&amp;CHAR(10)&amp;"بناءً على نتيجة تقييم عيادة "&amp;B934&amp;"، فإن الترشيح الأقوى لكم الآن هو: "&amp;G934&amp;"."&amp;CHAR(10)&amp;"هذا الخيار يساعدكم في معالجة أكبر فجوة حالية بشكل عملي ومباشر."&amp;IF(J934&lt;&gt;"",CHAR(10)&amp;CHAR(10)&amp;"رابط التقرير: "&amp;J934,"")&amp;CHAR(10)&amp;CHAR(10)&amp;"إذا رغبت، يمكننا توضيح لماذا هذا الكورس هو الأنسب لكم الآن.")</x:f>
      </x:c>
      <x:c r="N934" s="12" t="str">
        <x:f>IF(D934="","",HYPERLINK("https://wa.me/"&amp;REGEXREPLACE(D934,"[^\d]","")&amp;"?text="&amp;ENCODEURL(M934),"واتساب 2"))</x:f>
      </x:c>
      <x:c r="O934" s="12" t="str">
        <x:f>IF(A934="","","مرحبًا "&amp;C934&amp;CHAR(10)&amp;CHAR(10)&amp;"إذا كانت التحديات لديكم تحتاج حلًا أشمل، فالبرنامج الكامل المناسب لكم هو: "&amp;H934&amp;"."&amp;IF(I934&lt;&gt;"",CHAR(10)&amp;"كما يمكنكم أيضًا حجز: "&amp;I934&amp;".","")&amp;IF(J934&lt;&gt;"",CHAR(10)&amp;CHAR(10)&amp;"رابط التقرير: "&amp;J934,"")&amp;CHAR(10)&amp;CHAR(10)&amp;"يسعدنا مساعدتكم في اختيار المسار الأنسب حسب وضع العيادة الحالي.")</x:f>
      </x:c>
      <x:c r="P934" s="12" t="str">
        <x:f>IF(D934="","",HYPERLINK("https://wa.me/"&amp;REGEXREPLACE(D934,"[^\d]","")&amp;"?text="&amp;ENCODEURL(O934),"واتساب 3"))</x:f>
      </x:c>
    </x:row>
    <x:row r="935" ht="15" hidden="0" customHeight="1">
      <x:c r="A935" s="12" t="str">
        <x:f>IF(Leads!A935="","",Leads!A935)</x:f>
      </x:c>
      <x:c r="B935" s="12" t="str">
        <x:f>IF(Leads!F935="","",Leads!F935)</x:f>
      </x:c>
      <x:c r="C935" s="12" t="str">
        <x:f>IF(Leads!G935="","",Leads!G935)</x:f>
      </x:c>
      <x:c r="D935" s="12" t="str">
        <x:f>IF(Leads!O935="","",Leads!O935)</x:f>
      </x:c>
      <x:c r="E935" s="12" t="str">
        <x:f>IF(Leads!AV935="","",Leads!AV935)</x:f>
      </x:c>
      <x:c r="F935" s="12" t="str">
        <x:f>IF(Leads!AX935="","",Leads!AX935)</x:f>
      </x:c>
      <x:c r="G935" s="12" t="str">
        <x:f>IF(Leads!BC935="","",Leads!BC935)</x:f>
      </x:c>
      <x:c r="H935" s="12" t="str">
        <x:f>IF(Leads!BE935="","",Leads!BE935)</x:f>
      </x:c>
      <x:c r="I935" s="12" t="str">
        <x:f>IF(Leads!BG935="","",Leads!BG935)</x:f>
      </x:c>
      <x:c r="J935" s="12" t="str">
        <x:f>IF(Leads!BH935="","",Leads!BH935)</x:f>
      </x:c>
      <x:c r="K935" s="12" t="str">
        <x:f>IF(A935="","","مرحبًا "&amp;C935&amp;CHAR(10)&amp;CHAR(10)&amp;"شكرًا لإتمام تقييم DBD الخاص بعيادة "&amp;B935&amp;"."&amp;CHAR(10)&amp;"نتيجتكم الحالية: "&amp;E935&amp;"%."&amp;CHAR(10)&amp;"أولوية التحسين الأولى: "&amp;F935&amp;"."&amp;IF(J935&lt;&gt;"",CHAR(10)&amp;CHAR(10)&amp;"رابط التقرير: "&amp;J935,"")&amp;CHAR(10)&amp;CHAR(10)&amp;"إذا أحببت، يمكننا مساعدتك في فهم التقرير وتحديد أفضل خطوة تالية لعيادتكم.")</x:f>
      </x:c>
      <x:c r="L935" s="12" t="str">
        <x:f>IF(D935="","",HYPERLINK("https://wa.me/"&amp;REGEXREPLACE(D935,"[^\d]","")&amp;"?text="&amp;ENCODEURL(K935),"واتساب 1"))</x:f>
      </x:c>
      <x:c r="M935" s="12" t="str">
        <x:f>IF(A935="","","مرحبًا "&amp;C935&amp;CHAR(10)&amp;CHAR(10)&amp;"بناءً على نتيجة تقييم عيادة "&amp;B935&amp;"، فإن الترشيح الأقوى لكم الآن هو: "&amp;G935&amp;"."&amp;CHAR(10)&amp;"هذا الخيار يساعدكم في معالجة أكبر فجوة حالية بشكل عملي ومباشر."&amp;IF(J935&lt;&gt;"",CHAR(10)&amp;CHAR(10)&amp;"رابط التقرير: "&amp;J935,"")&amp;CHAR(10)&amp;CHAR(10)&amp;"إذا رغبت، يمكننا توضيح لماذا هذا الكورس هو الأنسب لكم الآن.")</x:f>
      </x:c>
      <x:c r="N935" s="12" t="str">
        <x:f>IF(D935="","",HYPERLINK("https://wa.me/"&amp;REGEXREPLACE(D935,"[^\d]","")&amp;"?text="&amp;ENCODEURL(M935),"واتساب 2"))</x:f>
      </x:c>
      <x:c r="O935" s="12" t="str">
        <x:f>IF(A935="","","مرحبًا "&amp;C935&amp;CHAR(10)&amp;CHAR(10)&amp;"إذا كانت التحديات لديكم تحتاج حلًا أشمل، فالبرنامج الكامل المناسب لكم هو: "&amp;H935&amp;"."&amp;IF(I935&lt;&gt;"",CHAR(10)&amp;"كما يمكنكم أيضًا حجز: "&amp;I935&amp;".","")&amp;IF(J935&lt;&gt;"",CHAR(10)&amp;CHAR(10)&amp;"رابط التقرير: "&amp;J935,"")&amp;CHAR(10)&amp;CHAR(10)&amp;"يسعدنا مساعدتكم في اختيار المسار الأنسب حسب وضع العيادة الحالي.")</x:f>
      </x:c>
      <x:c r="P935" s="12" t="str">
        <x:f>IF(D935="","",HYPERLINK("https://wa.me/"&amp;REGEXREPLACE(D935,"[^\d]","")&amp;"?text="&amp;ENCODEURL(O935),"واتساب 3"))</x:f>
      </x:c>
    </x:row>
    <x:row r="936" ht="15" hidden="0" customHeight="1">
      <x:c r="A936" s="12" t="str">
        <x:f>IF(Leads!A936="","",Leads!A936)</x:f>
      </x:c>
      <x:c r="B936" s="12" t="str">
        <x:f>IF(Leads!F936="","",Leads!F936)</x:f>
      </x:c>
      <x:c r="C936" s="12" t="str">
        <x:f>IF(Leads!G936="","",Leads!G936)</x:f>
      </x:c>
      <x:c r="D936" s="12" t="str">
        <x:f>IF(Leads!O936="","",Leads!O936)</x:f>
      </x:c>
      <x:c r="E936" s="12" t="str">
        <x:f>IF(Leads!AV936="","",Leads!AV936)</x:f>
      </x:c>
      <x:c r="F936" s="12" t="str">
        <x:f>IF(Leads!AX936="","",Leads!AX936)</x:f>
      </x:c>
      <x:c r="G936" s="12" t="str">
        <x:f>IF(Leads!BC936="","",Leads!BC936)</x:f>
      </x:c>
      <x:c r="H936" s="12" t="str">
        <x:f>IF(Leads!BE936="","",Leads!BE936)</x:f>
      </x:c>
      <x:c r="I936" s="12" t="str">
        <x:f>IF(Leads!BG936="","",Leads!BG936)</x:f>
      </x:c>
      <x:c r="J936" s="12" t="str">
        <x:f>IF(Leads!BH936="","",Leads!BH936)</x:f>
      </x:c>
      <x:c r="K936" s="12" t="str">
        <x:f>IF(A936="","","مرحبًا "&amp;C936&amp;CHAR(10)&amp;CHAR(10)&amp;"شكرًا لإتمام تقييم DBD الخاص بعيادة "&amp;B936&amp;"."&amp;CHAR(10)&amp;"نتيجتكم الحالية: "&amp;E936&amp;"%."&amp;CHAR(10)&amp;"أولوية التحسين الأولى: "&amp;F936&amp;"."&amp;IF(J936&lt;&gt;"",CHAR(10)&amp;CHAR(10)&amp;"رابط التقرير: "&amp;J936,"")&amp;CHAR(10)&amp;CHAR(10)&amp;"إذا أحببت، يمكننا مساعدتك في فهم التقرير وتحديد أفضل خطوة تالية لعيادتكم.")</x:f>
      </x:c>
      <x:c r="L936" s="12" t="str">
        <x:f>IF(D936="","",HYPERLINK("https://wa.me/"&amp;REGEXREPLACE(D936,"[^\d]","")&amp;"?text="&amp;ENCODEURL(K936),"واتساب 1"))</x:f>
      </x:c>
      <x:c r="M936" s="12" t="str">
        <x:f>IF(A936="","","مرحبًا "&amp;C936&amp;CHAR(10)&amp;CHAR(10)&amp;"بناءً على نتيجة تقييم عيادة "&amp;B936&amp;"، فإن الترشيح الأقوى لكم الآن هو: "&amp;G936&amp;"."&amp;CHAR(10)&amp;"هذا الخيار يساعدكم في معالجة أكبر فجوة حالية بشكل عملي ومباشر."&amp;IF(J936&lt;&gt;"",CHAR(10)&amp;CHAR(10)&amp;"رابط التقرير: "&amp;J936,"")&amp;CHAR(10)&amp;CHAR(10)&amp;"إذا رغبت، يمكننا توضيح لماذا هذا الكورس هو الأنسب لكم الآن.")</x:f>
      </x:c>
      <x:c r="N936" s="12" t="str">
        <x:f>IF(D936="","",HYPERLINK("https://wa.me/"&amp;REGEXREPLACE(D936,"[^\d]","")&amp;"?text="&amp;ENCODEURL(M936),"واتساب 2"))</x:f>
      </x:c>
      <x:c r="O936" s="12" t="str">
        <x:f>IF(A936="","","مرحبًا "&amp;C936&amp;CHAR(10)&amp;CHAR(10)&amp;"إذا كانت التحديات لديكم تحتاج حلًا أشمل، فالبرنامج الكامل المناسب لكم هو: "&amp;H936&amp;"."&amp;IF(I936&lt;&gt;"",CHAR(10)&amp;"كما يمكنكم أيضًا حجز: "&amp;I936&amp;".","")&amp;IF(J936&lt;&gt;"",CHAR(10)&amp;CHAR(10)&amp;"رابط التقرير: "&amp;J936,"")&amp;CHAR(10)&amp;CHAR(10)&amp;"يسعدنا مساعدتكم في اختيار المسار الأنسب حسب وضع العيادة الحالي.")</x:f>
      </x:c>
      <x:c r="P936" s="12" t="str">
        <x:f>IF(D936="","",HYPERLINK("https://wa.me/"&amp;REGEXREPLACE(D936,"[^\d]","")&amp;"?text="&amp;ENCODEURL(O936),"واتساب 3"))</x:f>
      </x:c>
    </x:row>
    <x:row r="937" ht="15" hidden="0" customHeight="1">
      <x:c r="A937" s="12" t="str">
        <x:f>IF(Leads!A937="","",Leads!A937)</x:f>
      </x:c>
      <x:c r="B937" s="12" t="str">
        <x:f>IF(Leads!F937="","",Leads!F937)</x:f>
      </x:c>
      <x:c r="C937" s="12" t="str">
        <x:f>IF(Leads!G937="","",Leads!G937)</x:f>
      </x:c>
      <x:c r="D937" s="12" t="str">
        <x:f>IF(Leads!O937="","",Leads!O937)</x:f>
      </x:c>
      <x:c r="E937" s="12" t="str">
        <x:f>IF(Leads!AV937="","",Leads!AV937)</x:f>
      </x:c>
      <x:c r="F937" s="12" t="str">
        <x:f>IF(Leads!AX937="","",Leads!AX937)</x:f>
      </x:c>
      <x:c r="G937" s="12" t="str">
        <x:f>IF(Leads!BC937="","",Leads!BC937)</x:f>
      </x:c>
      <x:c r="H937" s="12" t="str">
        <x:f>IF(Leads!BE937="","",Leads!BE937)</x:f>
      </x:c>
      <x:c r="I937" s="12" t="str">
        <x:f>IF(Leads!BG937="","",Leads!BG937)</x:f>
      </x:c>
      <x:c r="J937" s="12" t="str">
        <x:f>IF(Leads!BH937="","",Leads!BH937)</x:f>
      </x:c>
      <x:c r="K937" s="12" t="str">
        <x:f>IF(A937="","","مرحبًا "&amp;C937&amp;CHAR(10)&amp;CHAR(10)&amp;"شكرًا لإتمام تقييم DBD الخاص بعيادة "&amp;B937&amp;"."&amp;CHAR(10)&amp;"نتيجتكم الحالية: "&amp;E937&amp;"%."&amp;CHAR(10)&amp;"أولوية التحسين الأولى: "&amp;F937&amp;"."&amp;IF(J937&lt;&gt;"",CHAR(10)&amp;CHAR(10)&amp;"رابط التقرير: "&amp;J937,"")&amp;CHAR(10)&amp;CHAR(10)&amp;"إذا أحببت، يمكننا مساعدتك في فهم التقرير وتحديد أفضل خطوة تالية لعيادتكم.")</x:f>
      </x:c>
      <x:c r="L937" s="12" t="str">
        <x:f>IF(D937="","",HYPERLINK("https://wa.me/"&amp;REGEXREPLACE(D937,"[^\d]","")&amp;"?text="&amp;ENCODEURL(K937),"واتساب 1"))</x:f>
      </x:c>
      <x:c r="M937" s="12" t="str">
        <x:f>IF(A937="","","مرحبًا "&amp;C937&amp;CHAR(10)&amp;CHAR(10)&amp;"بناءً على نتيجة تقييم عيادة "&amp;B937&amp;"، فإن الترشيح الأقوى لكم الآن هو: "&amp;G937&amp;"."&amp;CHAR(10)&amp;"هذا الخيار يساعدكم في معالجة أكبر فجوة حالية بشكل عملي ومباشر."&amp;IF(J937&lt;&gt;"",CHAR(10)&amp;CHAR(10)&amp;"رابط التقرير: "&amp;J937,"")&amp;CHAR(10)&amp;CHAR(10)&amp;"إذا رغبت، يمكننا توضيح لماذا هذا الكورس هو الأنسب لكم الآن.")</x:f>
      </x:c>
      <x:c r="N937" s="12" t="str">
        <x:f>IF(D937="","",HYPERLINK("https://wa.me/"&amp;REGEXREPLACE(D937,"[^\d]","")&amp;"?text="&amp;ENCODEURL(M937),"واتساب 2"))</x:f>
      </x:c>
      <x:c r="O937" s="12" t="str">
        <x:f>IF(A937="","","مرحبًا "&amp;C937&amp;CHAR(10)&amp;CHAR(10)&amp;"إذا كانت التحديات لديكم تحتاج حلًا أشمل، فالبرنامج الكامل المناسب لكم هو: "&amp;H937&amp;"."&amp;IF(I937&lt;&gt;"",CHAR(10)&amp;"كما يمكنكم أيضًا حجز: "&amp;I937&amp;".","")&amp;IF(J937&lt;&gt;"",CHAR(10)&amp;CHAR(10)&amp;"رابط التقرير: "&amp;J937,"")&amp;CHAR(10)&amp;CHAR(10)&amp;"يسعدنا مساعدتكم في اختيار المسار الأنسب حسب وضع العيادة الحالي.")</x:f>
      </x:c>
      <x:c r="P937" s="12" t="str">
        <x:f>IF(D937="","",HYPERLINK("https://wa.me/"&amp;REGEXREPLACE(D937,"[^\d]","")&amp;"?text="&amp;ENCODEURL(O937),"واتساب 3"))</x:f>
      </x:c>
    </x:row>
    <x:row r="938" ht="15" hidden="0" customHeight="1">
      <x:c r="A938" s="12" t="str">
        <x:f>IF(Leads!A938="","",Leads!A938)</x:f>
      </x:c>
      <x:c r="B938" s="12" t="str">
        <x:f>IF(Leads!F938="","",Leads!F938)</x:f>
      </x:c>
      <x:c r="C938" s="12" t="str">
        <x:f>IF(Leads!G938="","",Leads!G938)</x:f>
      </x:c>
      <x:c r="D938" s="12" t="str">
        <x:f>IF(Leads!O938="","",Leads!O938)</x:f>
      </x:c>
      <x:c r="E938" s="12" t="str">
        <x:f>IF(Leads!AV938="","",Leads!AV938)</x:f>
      </x:c>
      <x:c r="F938" s="12" t="str">
        <x:f>IF(Leads!AX938="","",Leads!AX938)</x:f>
      </x:c>
      <x:c r="G938" s="12" t="str">
        <x:f>IF(Leads!BC938="","",Leads!BC938)</x:f>
      </x:c>
      <x:c r="H938" s="12" t="str">
        <x:f>IF(Leads!BE938="","",Leads!BE938)</x:f>
      </x:c>
      <x:c r="I938" s="12" t="str">
        <x:f>IF(Leads!BG938="","",Leads!BG938)</x:f>
      </x:c>
      <x:c r="J938" s="12" t="str">
        <x:f>IF(Leads!BH938="","",Leads!BH938)</x:f>
      </x:c>
      <x:c r="K938" s="12" t="str">
        <x:f>IF(A938="","","مرحبًا "&amp;C938&amp;CHAR(10)&amp;CHAR(10)&amp;"شكرًا لإتمام تقييم DBD الخاص بعيادة "&amp;B938&amp;"."&amp;CHAR(10)&amp;"نتيجتكم الحالية: "&amp;E938&amp;"%."&amp;CHAR(10)&amp;"أولوية التحسين الأولى: "&amp;F938&amp;"."&amp;IF(J938&lt;&gt;"",CHAR(10)&amp;CHAR(10)&amp;"رابط التقرير: "&amp;J938,"")&amp;CHAR(10)&amp;CHAR(10)&amp;"إذا أحببت، يمكننا مساعدتك في فهم التقرير وتحديد أفضل خطوة تالية لعيادتكم.")</x:f>
      </x:c>
      <x:c r="L938" s="12" t="str">
        <x:f>IF(D938="","",HYPERLINK("https://wa.me/"&amp;REGEXREPLACE(D938,"[^\d]","")&amp;"?text="&amp;ENCODEURL(K938),"واتساب 1"))</x:f>
      </x:c>
      <x:c r="M938" s="12" t="str">
        <x:f>IF(A938="","","مرحبًا "&amp;C938&amp;CHAR(10)&amp;CHAR(10)&amp;"بناءً على نتيجة تقييم عيادة "&amp;B938&amp;"، فإن الترشيح الأقوى لكم الآن هو: "&amp;G938&amp;"."&amp;CHAR(10)&amp;"هذا الخيار يساعدكم في معالجة أكبر فجوة حالية بشكل عملي ومباشر."&amp;IF(J938&lt;&gt;"",CHAR(10)&amp;CHAR(10)&amp;"رابط التقرير: "&amp;J938,"")&amp;CHAR(10)&amp;CHAR(10)&amp;"إذا رغبت، يمكننا توضيح لماذا هذا الكورس هو الأنسب لكم الآن.")</x:f>
      </x:c>
      <x:c r="N938" s="12" t="str">
        <x:f>IF(D938="","",HYPERLINK("https://wa.me/"&amp;REGEXREPLACE(D938,"[^\d]","")&amp;"?text="&amp;ENCODEURL(M938),"واتساب 2"))</x:f>
      </x:c>
      <x:c r="O938" s="12" t="str">
        <x:f>IF(A938="","","مرحبًا "&amp;C938&amp;CHAR(10)&amp;CHAR(10)&amp;"إذا كانت التحديات لديكم تحتاج حلًا أشمل، فالبرنامج الكامل المناسب لكم هو: "&amp;H938&amp;"."&amp;IF(I938&lt;&gt;"",CHAR(10)&amp;"كما يمكنكم أيضًا حجز: "&amp;I938&amp;".","")&amp;IF(J938&lt;&gt;"",CHAR(10)&amp;CHAR(10)&amp;"رابط التقرير: "&amp;J938,"")&amp;CHAR(10)&amp;CHAR(10)&amp;"يسعدنا مساعدتكم في اختيار المسار الأنسب حسب وضع العيادة الحالي.")</x:f>
      </x:c>
      <x:c r="P938" s="12" t="str">
        <x:f>IF(D938="","",HYPERLINK("https://wa.me/"&amp;REGEXREPLACE(D938,"[^\d]","")&amp;"?text="&amp;ENCODEURL(O938),"واتساب 3"))</x:f>
      </x:c>
    </x:row>
    <x:row r="939" ht="15" hidden="0" customHeight="1">
      <x:c r="A939" s="12" t="str">
        <x:f>IF(Leads!A939="","",Leads!A939)</x:f>
      </x:c>
      <x:c r="B939" s="12" t="str">
        <x:f>IF(Leads!F939="","",Leads!F939)</x:f>
      </x:c>
      <x:c r="C939" s="12" t="str">
        <x:f>IF(Leads!G939="","",Leads!G939)</x:f>
      </x:c>
      <x:c r="D939" s="12" t="str">
        <x:f>IF(Leads!O939="","",Leads!O939)</x:f>
      </x:c>
      <x:c r="E939" s="12" t="str">
        <x:f>IF(Leads!AV939="","",Leads!AV939)</x:f>
      </x:c>
      <x:c r="F939" s="12" t="str">
        <x:f>IF(Leads!AX939="","",Leads!AX939)</x:f>
      </x:c>
      <x:c r="G939" s="12" t="str">
        <x:f>IF(Leads!BC939="","",Leads!BC939)</x:f>
      </x:c>
      <x:c r="H939" s="12" t="str">
        <x:f>IF(Leads!BE939="","",Leads!BE939)</x:f>
      </x:c>
      <x:c r="I939" s="12" t="str">
        <x:f>IF(Leads!BG939="","",Leads!BG939)</x:f>
      </x:c>
      <x:c r="J939" s="12" t="str">
        <x:f>IF(Leads!BH939="","",Leads!BH939)</x:f>
      </x:c>
      <x:c r="K939" s="12" t="str">
        <x:f>IF(A939="","","مرحبًا "&amp;C939&amp;CHAR(10)&amp;CHAR(10)&amp;"شكرًا لإتمام تقييم DBD الخاص بعيادة "&amp;B939&amp;"."&amp;CHAR(10)&amp;"نتيجتكم الحالية: "&amp;E939&amp;"%."&amp;CHAR(10)&amp;"أولوية التحسين الأولى: "&amp;F939&amp;"."&amp;IF(J939&lt;&gt;"",CHAR(10)&amp;CHAR(10)&amp;"رابط التقرير: "&amp;J939,"")&amp;CHAR(10)&amp;CHAR(10)&amp;"إذا أحببت، يمكننا مساعدتك في فهم التقرير وتحديد أفضل خطوة تالية لعيادتكم.")</x:f>
      </x:c>
      <x:c r="L939" s="12" t="str">
        <x:f>IF(D939="","",HYPERLINK("https://wa.me/"&amp;REGEXREPLACE(D939,"[^\d]","")&amp;"?text="&amp;ENCODEURL(K939),"واتساب 1"))</x:f>
      </x:c>
      <x:c r="M939" s="12" t="str">
        <x:f>IF(A939="","","مرحبًا "&amp;C939&amp;CHAR(10)&amp;CHAR(10)&amp;"بناءً على نتيجة تقييم عيادة "&amp;B939&amp;"، فإن الترشيح الأقوى لكم الآن هو: "&amp;G939&amp;"."&amp;CHAR(10)&amp;"هذا الخيار يساعدكم في معالجة أكبر فجوة حالية بشكل عملي ومباشر."&amp;IF(J939&lt;&gt;"",CHAR(10)&amp;CHAR(10)&amp;"رابط التقرير: "&amp;J939,"")&amp;CHAR(10)&amp;CHAR(10)&amp;"إذا رغبت، يمكننا توضيح لماذا هذا الكورس هو الأنسب لكم الآن.")</x:f>
      </x:c>
      <x:c r="N939" s="12" t="str">
        <x:f>IF(D939="","",HYPERLINK("https://wa.me/"&amp;REGEXREPLACE(D939,"[^\d]","")&amp;"?text="&amp;ENCODEURL(M939),"واتساب 2"))</x:f>
      </x:c>
      <x:c r="O939" s="12" t="str">
        <x:f>IF(A939="","","مرحبًا "&amp;C939&amp;CHAR(10)&amp;CHAR(10)&amp;"إذا كانت التحديات لديكم تحتاج حلًا أشمل، فالبرنامج الكامل المناسب لكم هو: "&amp;H939&amp;"."&amp;IF(I939&lt;&gt;"",CHAR(10)&amp;"كما يمكنكم أيضًا حجز: "&amp;I939&amp;".","")&amp;IF(J939&lt;&gt;"",CHAR(10)&amp;CHAR(10)&amp;"رابط التقرير: "&amp;J939,"")&amp;CHAR(10)&amp;CHAR(10)&amp;"يسعدنا مساعدتكم في اختيار المسار الأنسب حسب وضع العيادة الحالي.")</x:f>
      </x:c>
      <x:c r="P939" s="12" t="str">
        <x:f>IF(D939="","",HYPERLINK("https://wa.me/"&amp;REGEXREPLACE(D939,"[^\d]","")&amp;"?text="&amp;ENCODEURL(O939),"واتساب 3"))</x:f>
      </x:c>
    </x:row>
    <x:row r="940" ht="15" hidden="0" customHeight="1">
      <x:c r="A940" s="12" t="str">
        <x:f>IF(Leads!A940="","",Leads!A940)</x:f>
      </x:c>
      <x:c r="B940" s="12" t="str">
        <x:f>IF(Leads!F940="","",Leads!F940)</x:f>
      </x:c>
      <x:c r="C940" s="12" t="str">
        <x:f>IF(Leads!G940="","",Leads!G940)</x:f>
      </x:c>
      <x:c r="D940" s="12" t="str">
        <x:f>IF(Leads!O940="","",Leads!O940)</x:f>
      </x:c>
      <x:c r="E940" s="12" t="str">
        <x:f>IF(Leads!AV940="","",Leads!AV940)</x:f>
      </x:c>
      <x:c r="F940" s="12" t="str">
        <x:f>IF(Leads!AX940="","",Leads!AX940)</x:f>
      </x:c>
      <x:c r="G940" s="12" t="str">
        <x:f>IF(Leads!BC940="","",Leads!BC940)</x:f>
      </x:c>
      <x:c r="H940" s="12" t="str">
        <x:f>IF(Leads!BE940="","",Leads!BE940)</x:f>
      </x:c>
      <x:c r="I940" s="12" t="str">
        <x:f>IF(Leads!BG940="","",Leads!BG940)</x:f>
      </x:c>
      <x:c r="J940" s="12" t="str">
        <x:f>IF(Leads!BH940="","",Leads!BH940)</x:f>
      </x:c>
      <x:c r="K940" s="12" t="str">
        <x:f>IF(A940="","","مرحبًا "&amp;C940&amp;CHAR(10)&amp;CHAR(10)&amp;"شكرًا لإتمام تقييم DBD الخاص بعيادة "&amp;B940&amp;"."&amp;CHAR(10)&amp;"نتيجتكم الحالية: "&amp;E940&amp;"%."&amp;CHAR(10)&amp;"أولوية التحسين الأولى: "&amp;F940&amp;"."&amp;IF(J940&lt;&gt;"",CHAR(10)&amp;CHAR(10)&amp;"رابط التقرير: "&amp;J940,"")&amp;CHAR(10)&amp;CHAR(10)&amp;"إذا أحببت، يمكننا مساعدتك في فهم التقرير وتحديد أفضل خطوة تالية لعيادتكم.")</x:f>
      </x:c>
      <x:c r="L940" s="12" t="str">
        <x:f>IF(D940="","",HYPERLINK("https://wa.me/"&amp;REGEXREPLACE(D940,"[^\d]","")&amp;"?text="&amp;ENCODEURL(K940),"واتساب 1"))</x:f>
      </x:c>
      <x:c r="M940" s="12" t="str">
        <x:f>IF(A940="","","مرحبًا "&amp;C940&amp;CHAR(10)&amp;CHAR(10)&amp;"بناءً على نتيجة تقييم عيادة "&amp;B940&amp;"، فإن الترشيح الأقوى لكم الآن هو: "&amp;G940&amp;"."&amp;CHAR(10)&amp;"هذا الخيار يساعدكم في معالجة أكبر فجوة حالية بشكل عملي ومباشر."&amp;IF(J940&lt;&gt;"",CHAR(10)&amp;CHAR(10)&amp;"رابط التقرير: "&amp;J940,"")&amp;CHAR(10)&amp;CHAR(10)&amp;"إذا رغبت، يمكننا توضيح لماذا هذا الكورس هو الأنسب لكم الآن.")</x:f>
      </x:c>
      <x:c r="N940" s="12" t="str">
        <x:f>IF(D940="","",HYPERLINK("https://wa.me/"&amp;REGEXREPLACE(D940,"[^\d]","")&amp;"?text="&amp;ENCODEURL(M940),"واتساب 2"))</x:f>
      </x:c>
      <x:c r="O940" s="12" t="str">
        <x:f>IF(A940="","","مرحبًا "&amp;C940&amp;CHAR(10)&amp;CHAR(10)&amp;"إذا كانت التحديات لديكم تحتاج حلًا أشمل، فالبرنامج الكامل المناسب لكم هو: "&amp;H940&amp;"."&amp;IF(I940&lt;&gt;"",CHAR(10)&amp;"كما يمكنكم أيضًا حجز: "&amp;I940&amp;".","")&amp;IF(J940&lt;&gt;"",CHAR(10)&amp;CHAR(10)&amp;"رابط التقرير: "&amp;J940,"")&amp;CHAR(10)&amp;CHAR(10)&amp;"يسعدنا مساعدتكم في اختيار المسار الأنسب حسب وضع العيادة الحالي.")</x:f>
      </x:c>
      <x:c r="P940" s="12" t="str">
        <x:f>IF(D940="","",HYPERLINK("https://wa.me/"&amp;REGEXREPLACE(D940,"[^\d]","")&amp;"?text="&amp;ENCODEURL(O940),"واتساب 3"))</x:f>
      </x:c>
    </x:row>
    <x:row r="941" ht="15" hidden="0" customHeight="1">
      <x:c r="A941" s="12" t="str">
        <x:f>IF(Leads!A941="","",Leads!A941)</x:f>
      </x:c>
      <x:c r="B941" s="12" t="str">
        <x:f>IF(Leads!F941="","",Leads!F941)</x:f>
      </x:c>
      <x:c r="C941" s="12" t="str">
        <x:f>IF(Leads!G941="","",Leads!G941)</x:f>
      </x:c>
      <x:c r="D941" s="12" t="str">
        <x:f>IF(Leads!O941="","",Leads!O941)</x:f>
      </x:c>
      <x:c r="E941" s="12" t="str">
        <x:f>IF(Leads!AV941="","",Leads!AV941)</x:f>
      </x:c>
      <x:c r="F941" s="12" t="str">
        <x:f>IF(Leads!AX941="","",Leads!AX941)</x:f>
      </x:c>
      <x:c r="G941" s="12" t="str">
        <x:f>IF(Leads!BC941="","",Leads!BC941)</x:f>
      </x:c>
      <x:c r="H941" s="12" t="str">
        <x:f>IF(Leads!BE941="","",Leads!BE941)</x:f>
      </x:c>
      <x:c r="I941" s="12" t="str">
        <x:f>IF(Leads!BG941="","",Leads!BG941)</x:f>
      </x:c>
      <x:c r="J941" s="12" t="str">
        <x:f>IF(Leads!BH941="","",Leads!BH941)</x:f>
      </x:c>
      <x:c r="K941" s="12" t="str">
        <x:f>IF(A941="","","مرحبًا "&amp;C941&amp;CHAR(10)&amp;CHAR(10)&amp;"شكرًا لإتمام تقييم DBD الخاص بعيادة "&amp;B941&amp;"."&amp;CHAR(10)&amp;"نتيجتكم الحالية: "&amp;E941&amp;"%."&amp;CHAR(10)&amp;"أولوية التحسين الأولى: "&amp;F941&amp;"."&amp;IF(J941&lt;&gt;"",CHAR(10)&amp;CHAR(10)&amp;"رابط التقرير: "&amp;J941,"")&amp;CHAR(10)&amp;CHAR(10)&amp;"إذا أحببت، يمكننا مساعدتك في فهم التقرير وتحديد أفضل خطوة تالية لعيادتكم.")</x:f>
      </x:c>
      <x:c r="L941" s="12" t="str">
        <x:f>IF(D941="","",HYPERLINK("https://wa.me/"&amp;REGEXREPLACE(D941,"[^\d]","")&amp;"?text="&amp;ENCODEURL(K941),"واتساب 1"))</x:f>
      </x:c>
      <x:c r="M941" s="12" t="str">
        <x:f>IF(A941="","","مرحبًا "&amp;C941&amp;CHAR(10)&amp;CHAR(10)&amp;"بناءً على نتيجة تقييم عيادة "&amp;B941&amp;"، فإن الترشيح الأقوى لكم الآن هو: "&amp;G941&amp;"."&amp;CHAR(10)&amp;"هذا الخيار يساعدكم في معالجة أكبر فجوة حالية بشكل عملي ومباشر."&amp;IF(J941&lt;&gt;"",CHAR(10)&amp;CHAR(10)&amp;"رابط التقرير: "&amp;J941,"")&amp;CHAR(10)&amp;CHAR(10)&amp;"إذا رغبت، يمكننا توضيح لماذا هذا الكورس هو الأنسب لكم الآن.")</x:f>
      </x:c>
      <x:c r="N941" s="12" t="str">
        <x:f>IF(D941="","",HYPERLINK("https://wa.me/"&amp;REGEXREPLACE(D941,"[^\d]","")&amp;"?text="&amp;ENCODEURL(M941),"واتساب 2"))</x:f>
      </x:c>
      <x:c r="O941" s="12" t="str">
        <x:f>IF(A941="","","مرحبًا "&amp;C941&amp;CHAR(10)&amp;CHAR(10)&amp;"إذا كانت التحديات لديكم تحتاج حلًا أشمل، فالبرنامج الكامل المناسب لكم هو: "&amp;H941&amp;"."&amp;IF(I941&lt;&gt;"",CHAR(10)&amp;"كما يمكنكم أيضًا حجز: "&amp;I941&amp;".","")&amp;IF(J941&lt;&gt;"",CHAR(10)&amp;CHAR(10)&amp;"رابط التقرير: "&amp;J941,"")&amp;CHAR(10)&amp;CHAR(10)&amp;"يسعدنا مساعدتكم في اختيار المسار الأنسب حسب وضع العيادة الحالي.")</x:f>
      </x:c>
      <x:c r="P941" s="12" t="str">
        <x:f>IF(D941="","",HYPERLINK("https://wa.me/"&amp;REGEXREPLACE(D941,"[^\d]","")&amp;"?text="&amp;ENCODEURL(O941),"واتساب 3"))</x:f>
      </x:c>
    </x:row>
    <x:row r="942" ht="15" hidden="0" customHeight="1">
      <x:c r="A942" s="12" t="str">
        <x:f>IF(Leads!A942="","",Leads!A942)</x:f>
      </x:c>
      <x:c r="B942" s="12" t="str">
        <x:f>IF(Leads!F942="","",Leads!F942)</x:f>
      </x:c>
      <x:c r="C942" s="12" t="str">
        <x:f>IF(Leads!G942="","",Leads!G942)</x:f>
      </x:c>
      <x:c r="D942" s="12" t="str">
        <x:f>IF(Leads!O942="","",Leads!O942)</x:f>
      </x:c>
      <x:c r="E942" s="12" t="str">
        <x:f>IF(Leads!AV942="","",Leads!AV942)</x:f>
      </x:c>
      <x:c r="F942" s="12" t="str">
        <x:f>IF(Leads!AX942="","",Leads!AX942)</x:f>
      </x:c>
      <x:c r="G942" s="12" t="str">
        <x:f>IF(Leads!BC942="","",Leads!BC942)</x:f>
      </x:c>
      <x:c r="H942" s="12" t="str">
        <x:f>IF(Leads!BE942="","",Leads!BE942)</x:f>
      </x:c>
      <x:c r="I942" s="12" t="str">
        <x:f>IF(Leads!BG942="","",Leads!BG942)</x:f>
      </x:c>
      <x:c r="J942" s="12" t="str">
        <x:f>IF(Leads!BH942="","",Leads!BH942)</x:f>
      </x:c>
      <x:c r="K942" s="12" t="str">
        <x:f>IF(A942="","","مرحبًا "&amp;C942&amp;CHAR(10)&amp;CHAR(10)&amp;"شكرًا لإتمام تقييم DBD الخاص بعيادة "&amp;B942&amp;"."&amp;CHAR(10)&amp;"نتيجتكم الحالية: "&amp;E942&amp;"%."&amp;CHAR(10)&amp;"أولوية التحسين الأولى: "&amp;F942&amp;"."&amp;IF(J942&lt;&gt;"",CHAR(10)&amp;CHAR(10)&amp;"رابط التقرير: "&amp;J942,"")&amp;CHAR(10)&amp;CHAR(10)&amp;"إذا أحببت، يمكننا مساعدتك في فهم التقرير وتحديد أفضل خطوة تالية لعيادتكم.")</x:f>
      </x:c>
      <x:c r="L942" s="12" t="str">
        <x:f>IF(D942="","",HYPERLINK("https://wa.me/"&amp;REGEXREPLACE(D942,"[^\d]","")&amp;"?text="&amp;ENCODEURL(K942),"واتساب 1"))</x:f>
      </x:c>
      <x:c r="M942" s="12" t="str">
        <x:f>IF(A942="","","مرحبًا "&amp;C942&amp;CHAR(10)&amp;CHAR(10)&amp;"بناءً على نتيجة تقييم عيادة "&amp;B942&amp;"، فإن الترشيح الأقوى لكم الآن هو: "&amp;G942&amp;"."&amp;CHAR(10)&amp;"هذا الخيار يساعدكم في معالجة أكبر فجوة حالية بشكل عملي ومباشر."&amp;IF(J942&lt;&gt;"",CHAR(10)&amp;CHAR(10)&amp;"رابط التقرير: "&amp;J942,"")&amp;CHAR(10)&amp;CHAR(10)&amp;"إذا رغبت، يمكننا توضيح لماذا هذا الكورس هو الأنسب لكم الآن.")</x:f>
      </x:c>
      <x:c r="N942" s="12" t="str">
        <x:f>IF(D942="","",HYPERLINK("https://wa.me/"&amp;REGEXREPLACE(D942,"[^\d]","")&amp;"?text="&amp;ENCODEURL(M942),"واتساب 2"))</x:f>
      </x:c>
      <x:c r="O942" s="12" t="str">
        <x:f>IF(A942="","","مرحبًا "&amp;C942&amp;CHAR(10)&amp;CHAR(10)&amp;"إذا كانت التحديات لديكم تحتاج حلًا أشمل، فالبرنامج الكامل المناسب لكم هو: "&amp;H942&amp;"."&amp;IF(I942&lt;&gt;"",CHAR(10)&amp;"كما يمكنكم أيضًا حجز: "&amp;I942&amp;".","")&amp;IF(J942&lt;&gt;"",CHAR(10)&amp;CHAR(10)&amp;"رابط التقرير: "&amp;J942,"")&amp;CHAR(10)&amp;CHAR(10)&amp;"يسعدنا مساعدتكم في اختيار المسار الأنسب حسب وضع العيادة الحالي.")</x:f>
      </x:c>
      <x:c r="P942" s="12" t="str">
        <x:f>IF(D942="","",HYPERLINK("https://wa.me/"&amp;REGEXREPLACE(D942,"[^\d]","")&amp;"?text="&amp;ENCODEURL(O942),"واتساب 3"))</x:f>
      </x:c>
    </x:row>
    <x:row r="943" ht="15" hidden="0" customHeight="1">
      <x:c r="A943" s="12" t="str">
        <x:f>IF(Leads!A943="","",Leads!A943)</x:f>
      </x:c>
      <x:c r="B943" s="12" t="str">
        <x:f>IF(Leads!F943="","",Leads!F943)</x:f>
      </x:c>
      <x:c r="C943" s="12" t="str">
        <x:f>IF(Leads!G943="","",Leads!G943)</x:f>
      </x:c>
      <x:c r="D943" s="12" t="str">
        <x:f>IF(Leads!O943="","",Leads!O943)</x:f>
      </x:c>
      <x:c r="E943" s="12" t="str">
        <x:f>IF(Leads!AV943="","",Leads!AV943)</x:f>
      </x:c>
      <x:c r="F943" s="12" t="str">
        <x:f>IF(Leads!AX943="","",Leads!AX943)</x:f>
      </x:c>
      <x:c r="G943" s="12" t="str">
        <x:f>IF(Leads!BC943="","",Leads!BC943)</x:f>
      </x:c>
      <x:c r="H943" s="12" t="str">
        <x:f>IF(Leads!BE943="","",Leads!BE943)</x:f>
      </x:c>
      <x:c r="I943" s="12" t="str">
        <x:f>IF(Leads!BG943="","",Leads!BG943)</x:f>
      </x:c>
      <x:c r="J943" s="12" t="str">
        <x:f>IF(Leads!BH943="","",Leads!BH943)</x:f>
      </x:c>
      <x:c r="K943" s="12" t="str">
        <x:f>IF(A943="","","مرحبًا "&amp;C943&amp;CHAR(10)&amp;CHAR(10)&amp;"شكرًا لإتمام تقييم DBD الخاص بعيادة "&amp;B943&amp;"."&amp;CHAR(10)&amp;"نتيجتكم الحالية: "&amp;E943&amp;"%."&amp;CHAR(10)&amp;"أولوية التحسين الأولى: "&amp;F943&amp;"."&amp;IF(J943&lt;&gt;"",CHAR(10)&amp;CHAR(10)&amp;"رابط التقرير: "&amp;J943,"")&amp;CHAR(10)&amp;CHAR(10)&amp;"إذا أحببت، يمكننا مساعدتك في فهم التقرير وتحديد أفضل خطوة تالية لعيادتكم.")</x:f>
      </x:c>
      <x:c r="L943" s="12" t="str">
        <x:f>IF(D943="","",HYPERLINK("https://wa.me/"&amp;REGEXREPLACE(D943,"[^\d]","")&amp;"?text="&amp;ENCODEURL(K943),"واتساب 1"))</x:f>
      </x:c>
      <x:c r="M943" s="12" t="str">
        <x:f>IF(A943="","","مرحبًا "&amp;C943&amp;CHAR(10)&amp;CHAR(10)&amp;"بناءً على نتيجة تقييم عيادة "&amp;B943&amp;"، فإن الترشيح الأقوى لكم الآن هو: "&amp;G943&amp;"."&amp;CHAR(10)&amp;"هذا الخيار يساعدكم في معالجة أكبر فجوة حالية بشكل عملي ومباشر."&amp;IF(J943&lt;&gt;"",CHAR(10)&amp;CHAR(10)&amp;"رابط التقرير: "&amp;J943,"")&amp;CHAR(10)&amp;CHAR(10)&amp;"إذا رغبت، يمكننا توضيح لماذا هذا الكورس هو الأنسب لكم الآن.")</x:f>
      </x:c>
      <x:c r="N943" s="12" t="str">
        <x:f>IF(D943="","",HYPERLINK("https://wa.me/"&amp;REGEXREPLACE(D943,"[^\d]","")&amp;"?text="&amp;ENCODEURL(M943),"واتساب 2"))</x:f>
      </x:c>
      <x:c r="O943" s="12" t="str">
        <x:f>IF(A943="","","مرحبًا "&amp;C943&amp;CHAR(10)&amp;CHAR(10)&amp;"إذا كانت التحديات لديكم تحتاج حلًا أشمل، فالبرنامج الكامل المناسب لكم هو: "&amp;H943&amp;"."&amp;IF(I943&lt;&gt;"",CHAR(10)&amp;"كما يمكنكم أيضًا حجز: "&amp;I943&amp;".","")&amp;IF(J943&lt;&gt;"",CHAR(10)&amp;CHAR(10)&amp;"رابط التقرير: "&amp;J943,"")&amp;CHAR(10)&amp;CHAR(10)&amp;"يسعدنا مساعدتكم في اختيار المسار الأنسب حسب وضع العيادة الحالي.")</x:f>
      </x:c>
      <x:c r="P943" s="12" t="str">
        <x:f>IF(D943="","",HYPERLINK("https://wa.me/"&amp;REGEXREPLACE(D943,"[^\d]","")&amp;"?text="&amp;ENCODEURL(O943),"واتساب 3"))</x:f>
      </x:c>
    </x:row>
    <x:row r="944" ht="15" hidden="0" customHeight="1">
      <x:c r="A944" s="12" t="str">
        <x:f>IF(Leads!A944="","",Leads!A944)</x:f>
      </x:c>
      <x:c r="B944" s="12" t="str">
        <x:f>IF(Leads!F944="","",Leads!F944)</x:f>
      </x:c>
      <x:c r="C944" s="12" t="str">
        <x:f>IF(Leads!G944="","",Leads!G944)</x:f>
      </x:c>
      <x:c r="D944" s="12" t="str">
        <x:f>IF(Leads!O944="","",Leads!O944)</x:f>
      </x:c>
      <x:c r="E944" s="12" t="str">
        <x:f>IF(Leads!AV944="","",Leads!AV944)</x:f>
      </x:c>
      <x:c r="F944" s="12" t="str">
        <x:f>IF(Leads!AX944="","",Leads!AX944)</x:f>
      </x:c>
      <x:c r="G944" s="12" t="str">
        <x:f>IF(Leads!BC944="","",Leads!BC944)</x:f>
      </x:c>
      <x:c r="H944" s="12" t="str">
        <x:f>IF(Leads!BE944="","",Leads!BE944)</x:f>
      </x:c>
      <x:c r="I944" s="12" t="str">
        <x:f>IF(Leads!BG944="","",Leads!BG944)</x:f>
      </x:c>
      <x:c r="J944" s="12" t="str">
        <x:f>IF(Leads!BH944="","",Leads!BH944)</x:f>
      </x:c>
      <x:c r="K944" s="12" t="str">
        <x:f>IF(A944="","","مرحبًا "&amp;C944&amp;CHAR(10)&amp;CHAR(10)&amp;"شكرًا لإتمام تقييم DBD الخاص بعيادة "&amp;B944&amp;"."&amp;CHAR(10)&amp;"نتيجتكم الحالية: "&amp;E944&amp;"%."&amp;CHAR(10)&amp;"أولوية التحسين الأولى: "&amp;F944&amp;"."&amp;IF(J944&lt;&gt;"",CHAR(10)&amp;CHAR(10)&amp;"رابط التقرير: "&amp;J944,"")&amp;CHAR(10)&amp;CHAR(10)&amp;"إذا أحببت، يمكننا مساعدتك في فهم التقرير وتحديد أفضل خطوة تالية لعيادتكم.")</x:f>
      </x:c>
      <x:c r="L944" s="12" t="str">
        <x:f>IF(D944="","",HYPERLINK("https://wa.me/"&amp;REGEXREPLACE(D944,"[^\d]","")&amp;"?text="&amp;ENCODEURL(K944),"واتساب 1"))</x:f>
      </x:c>
      <x:c r="M944" s="12" t="str">
        <x:f>IF(A944="","","مرحبًا "&amp;C944&amp;CHAR(10)&amp;CHAR(10)&amp;"بناءً على نتيجة تقييم عيادة "&amp;B944&amp;"، فإن الترشيح الأقوى لكم الآن هو: "&amp;G944&amp;"."&amp;CHAR(10)&amp;"هذا الخيار يساعدكم في معالجة أكبر فجوة حالية بشكل عملي ومباشر."&amp;IF(J944&lt;&gt;"",CHAR(10)&amp;CHAR(10)&amp;"رابط التقرير: "&amp;J944,"")&amp;CHAR(10)&amp;CHAR(10)&amp;"إذا رغبت، يمكننا توضيح لماذا هذا الكورس هو الأنسب لكم الآن.")</x:f>
      </x:c>
      <x:c r="N944" s="12" t="str">
        <x:f>IF(D944="","",HYPERLINK("https://wa.me/"&amp;REGEXREPLACE(D944,"[^\d]","")&amp;"?text="&amp;ENCODEURL(M944),"واتساب 2"))</x:f>
      </x:c>
      <x:c r="O944" s="12" t="str">
        <x:f>IF(A944="","","مرحبًا "&amp;C944&amp;CHAR(10)&amp;CHAR(10)&amp;"إذا كانت التحديات لديكم تحتاج حلًا أشمل، فالبرنامج الكامل المناسب لكم هو: "&amp;H944&amp;"."&amp;IF(I944&lt;&gt;"",CHAR(10)&amp;"كما يمكنكم أيضًا حجز: "&amp;I944&amp;".","")&amp;IF(J944&lt;&gt;"",CHAR(10)&amp;CHAR(10)&amp;"رابط التقرير: "&amp;J944,"")&amp;CHAR(10)&amp;CHAR(10)&amp;"يسعدنا مساعدتكم في اختيار المسار الأنسب حسب وضع العيادة الحالي.")</x:f>
      </x:c>
      <x:c r="P944" s="12" t="str">
        <x:f>IF(D944="","",HYPERLINK("https://wa.me/"&amp;REGEXREPLACE(D944,"[^\d]","")&amp;"?text="&amp;ENCODEURL(O944),"واتساب 3"))</x:f>
      </x:c>
    </x:row>
    <x:row r="945" ht="15" hidden="0" customHeight="1">
      <x:c r="A945" s="12" t="str">
        <x:f>IF(Leads!A945="","",Leads!A945)</x:f>
      </x:c>
      <x:c r="B945" s="12" t="str">
        <x:f>IF(Leads!F945="","",Leads!F945)</x:f>
      </x:c>
      <x:c r="C945" s="12" t="str">
        <x:f>IF(Leads!G945="","",Leads!G945)</x:f>
      </x:c>
      <x:c r="D945" s="12" t="str">
        <x:f>IF(Leads!O945="","",Leads!O945)</x:f>
      </x:c>
      <x:c r="E945" s="12" t="str">
        <x:f>IF(Leads!AV945="","",Leads!AV945)</x:f>
      </x:c>
      <x:c r="F945" s="12" t="str">
        <x:f>IF(Leads!AX945="","",Leads!AX945)</x:f>
      </x:c>
      <x:c r="G945" s="12" t="str">
        <x:f>IF(Leads!BC945="","",Leads!BC945)</x:f>
      </x:c>
      <x:c r="H945" s="12" t="str">
        <x:f>IF(Leads!BE945="","",Leads!BE945)</x:f>
      </x:c>
      <x:c r="I945" s="12" t="str">
        <x:f>IF(Leads!BG945="","",Leads!BG945)</x:f>
      </x:c>
      <x:c r="J945" s="12" t="str">
        <x:f>IF(Leads!BH945="","",Leads!BH945)</x:f>
      </x:c>
      <x:c r="K945" s="12" t="str">
        <x:f>IF(A945="","","مرحبًا "&amp;C945&amp;CHAR(10)&amp;CHAR(10)&amp;"شكرًا لإتمام تقييم DBD الخاص بعيادة "&amp;B945&amp;"."&amp;CHAR(10)&amp;"نتيجتكم الحالية: "&amp;E945&amp;"%."&amp;CHAR(10)&amp;"أولوية التحسين الأولى: "&amp;F945&amp;"."&amp;IF(J945&lt;&gt;"",CHAR(10)&amp;CHAR(10)&amp;"رابط التقرير: "&amp;J945,"")&amp;CHAR(10)&amp;CHAR(10)&amp;"إذا أحببت، يمكننا مساعدتك في فهم التقرير وتحديد أفضل خطوة تالية لعيادتكم.")</x:f>
      </x:c>
      <x:c r="L945" s="12" t="str">
        <x:f>IF(D945="","",HYPERLINK("https://wa.me/"&amp;REGEXREPLACE(D945,"[^\d]","")&amp;"?text="&amp;ENCODEURL(K945),"واتساب 1"))</x:f>
      </x:c>
      <x:c r="M945" s="12" t="str">
        <x:f>IF(A945="","","مرحبًا "&amp;C945&amp;CHAR(10)&amp;CHAR(10)&amp;"بناءً على نتيجة تقييم عيادة "&amp;B945&amp;"، فإن الترشيح الأقوى لكم الآن هو: "&amp;G945&amp;"."&amp;CHAR(10)&amp;"هذا الخيار يساعدكم في معالجة أكبر فجوة حالية بشكل عملي ومباشر."&amp;IF(J945&lt;&gt;"",CHAR(10)&amp;CHAR(10)&amp;"رابط التقرير: "&amp;J945,"")&amp;CHAR(10)&amp;CHAR(10)&amp;"إذا رغبت، يمكننا توضيح لماذا هذا الكورس هو الأنسب لكم الآن.")</x:f>
      </x:c>
      <x:c r="N945" s="12" t="str">
        <x:f>IF(D945="","",HYPERLINK("https://wa.me/"&amp;REGEXREPLACE(D945,"[^\d]","")&amp;"?text="&amp;ENCODEURL(M945),"واتساب 2"))</x:f>
      </x:c>
      <x:c r="O945" s="12" t="str">
        <x:f>IF(A945="","","مرحبًا "&amp;C945&amp;CHAR(10)&amp;CHAR(10)&amp;"إذا كانت التحديات لديكم تحتاج حلًا أشمل، فالبرنامج الكامل المناسب لكم هو: "&amp;H945&amp;"."&amp;IF(I945&lt;&gt;"",CHAR(10)&amp;"كما يمكنكم أيضًا حجز: "&amp;I945&amp;".","")&amp;IF(J945&lt;&gt;"",CHAR(10)&amp;CHAR(10)&amp;"رابط التقرير: "&amp;J945,"")&amp;CHAR(10)&amp;CHAR(10)&amp;"يسعدنا مساعدتكم في اختيار المسار الأنسب حسب وضع العيادة الحالي.")</x:f>
      </x:c>
      <x:c r="P945" s="12" t="str">
        <x:f>IF(D945="","",HYPERLINK("https://wa.me/"&amp;REGEXREPLACE(D945,"[^\d]","")&amp;"?text="&amp;ENCODEURL(O945),"واتساب 3"))</x:f>
      </x:c>
    </x:row>
    <x:row r="946" ht="15" hidden="0" customHeight="1">
      <x:c r="A946" s="12" t="str">
        <x:f>IF(Leads!A946="","",Leads!A946)</x:f>
      </x:c>
      <x:c r="B946" s="12" t="str">
        <x:f>IF(Leads!F946="","",Leads!F946)</x:f>
      </x:c>
      <x:c r="C946" s="12" t="str">
        <x:f>IF(Leads!G946="","",Leads!G946)</x:f>
      </x:c>
      <x:c r="D946" s="12" t="str">
        <x:f>IF(Leads!O946="","",Leads!O946)</x:f>
      </x:c>
      <x:c r="E946" s="12" t="str">
        <x:f>IF(Leads!AV946="","",Leads!AV946)</x:f>
      </x:c>
      <x:c r="F946" s="12" t="str">
        <x:f>IF(Leads!AX946="","",Leads!AX946)</x:f>
      </x:c>
      <x:c r="G946" s="12" t="str">
        <x:f>IF(Leads!BC946="","",Leads!BC946)</x:f>
      </x:c>
      <x:c r="H946" s="12" t="str">
        <x:f>IF(Leads!BE946="","",Leads!BE946)</x:f>
      </x:c>
      <x:c r="I946" s="12" t="str">
        <x:f>IF(Leads!BG946="","",Leads!BG946)</x:f>
      </x:c>
      <x:c r="J946" s="12" t="str">
        <x:f>IF(Leads!BH946="","",Leads!BH946)</x:f>
      </x:c>
      <x:c r="K946" s="12" t="str">
        <x:f>IF(A946="","","مرحبًا "&amp;C946&amp;CHAR(10)&amp;CHAR(10)&amp;"شكرًا لإتمام تقييم DBD الخاص بعيادة "&amp;B946&amp;"."&amp;CHAR(10)&amp;"نتيجتكم الحالية: "&amp;E946&amp;"%."&amp;CHAR(10)&amp;"أولوية التحسين الأولى: "&amp;F946&amp;"."&amp;IF(J946&lt;&gt;"",CHAR(10)&amp;CHAR(10)&amp;"رابط التقرير: "&amp;J946,"")&amp;CHAR(10)&amp;CHAR(10)&amp;"إذا أحببت، يمكننا مساعدتك في فهم التقرير وتحديد أفضل خطوة تالية لعيادتكم.")</x:f>
      </x:c>
      <x:c r="L946" s="12" t="str">
        <x:f>IF(D946="","",HYPERLINK("https://wa.me/"&amp;REGEXREPLACE(D946,"[^\d]","")&amp;"?text="&amp;ENCODEURL(K946),"واتساب 1"))</x:f>
      </x:c>
      <x:c r="M946" s="12" t="str">
        <x:f>IF(A946="","","مرحبًا "&amp;C946&amp;CHAR(10)&amp;CHAR(10)&amp;"بناءً على نتيجة تقييم عيادة "&amp;B946&amp;"، فإن الترشيح الأقوى لكم الآن هو: "&amp;G946&amp;"."&amp;CHAR(10)&amp;"هذا الخيار يساعدكم في معالجة أكبر فجوة حالية بشكل عملي ومباشر."&amp;IF(J946&lt;&gt;"",CHAR(10)&amp;CHAR(10)&amp;"رابط التقرير: "&amp;J946,"")&amp;CHAR(10)&amp;CHAR(10)&amp;"إذا رغبت، يمكننا توضيح لماذا هذا الكورس هو الأنسب لكم الآن.")</x:f>
      </x:c>
      <x:c r="N946" s="12" t="str">
        <x:f>IF(D946="","",HYPERLINK("https://wa.me/"&amp;REGEXREPLACE(D946,"[^\d]","")&amp;"?text="&amp;ENCODEURL(M946),"واتساب 2"))</x:f>
      </x:c>
      <x:c r="O946" s="12" t="str">
        <x:f>IF(A946="","","مرحبًا "&amp;C946&amp;CHAR(10)&amp;CHAR(10)&amp;"إذا كانت التحديات لديكم تحتاج حلًا أشمل، فالبرنامج الكامل المناسب لكم هو: "&amp;H946&amp;"."&amp;IF(I946&lt;&gt;"",CHAR(10)&amp;"كما يمكنكم أيضًا حجز: "&amp;I946&amp;".","")&amp;IF(J946&lt;&gt;"",CHAR(10)&amp;CHAR(10)&amp;"رابط التقرير: "&amp;J946,"")&amp;CHAR(10)&amp;CHAR(10)&amp;"يسعدنا مساعدتكم في اختيار المسار الأنسب حسب وضع العيادة الحالي.")</x:f>
      </x:c>
      <x:c r="P946" s="12" t="str">
        <x:f>IF(D946="","",HYPERLINK("https://wa.me/"&amp;REGEXREPLACE(D946,"[^\d]","")&amp;"?text="&amp;ENCODEURL(O946),"واتساب 3"))</x:f>
      </x:c>
    </x:row>
    <x:row r="947" ht="15" hidden="0" customHeight="1">
      <x:c r="A947" s="12" t="str">
        <x:f>IF(Leads!A947="","",Leads!A947)</x:f>
      </x:c>
      <x:c r="B947" s="12" t="str">
        <x:f>IF(Leads!F947="","",Leads!F947)</x:f>
      </x:c>
      <x:c r="C947" s="12" t="str">
        <x:f>IF(Leads!G947="","",Leads!G947)</x:f>
      </x:c>
      <x:c r="D947" s="12" t="str">
        <x:f>IF(Leads!O947="","",Leads!O947)</x:f>
      </x:c>
      <x:c r="E947" s="12" t="str">
        <x:f>IF(Leads!AV947="","",Leads!AV947)</x:f>
      </x:c>
      <x:c r="F947" s="12" t="str">
        <x:f>IF(Leads!AX947="","",Leads!AX947)</x:f>
      </x:c>
      <x:c r="G947" s="12" t="str">
        <x:f>IF(Leads!BC947="","",Leads!BC947)</x:f>
      </x:c>
      <x:c r="H947" s="12" t="str">
        <x:f>IF(Leads!BE947="","",Leads!BE947)</x:f>
      </x:c>
      <x:c r="I947" s="12" t="str">
        <x:f>IF(Leads!BG947="","",Leads!BG947)</x:f>
      </x:c>
      <x:c r="J947" s="12" t="str">
        <x:f>IF(Leads!BH947="","",Leads!BH947)</x:f>
      </x:c>
      <x:c r="K947" s="12" t="str">
        <x:f>IF(A947="","","مرحبًا "&amp;C947&amp;CHAR(10)&amp;CHAR(10)&amp;"شكرًا لإتمام تقييم DBD الخاص بعيادة "&amp;B947&amp;"."&amp;CHAR(10)&amp;"نتيجتكم الحالية: "&amp;E947&amp;"%."&amp;CHAR(10)&amp;"أولوية التحسين الأولى: "&amp;F947&amp;"."&amp;IF(J947&lt;&gt;"",CHAR(10)&amp;CHAR(10)&amp;"رابط التقرير: "&amp;J947,"")&amp;CHAR(10)&amp;CHAR(10)&amp;"إذا أحببت، يمكننا مساعدتك في فهم التقرير وتحديد أفضل خطوة تالية لعيادتكم.")</x:f>
      </x:c>
      <x:c r="L947" s="12" t="str">
        <x:f>IF(D947="","",HYPERLINK("https://wa.me/"&amp;REGEXREPLACE(D947,"[^\d]","")&amp;"?text="&amp;ENCODEURL(K947),"واتساب 1"))</x:f>
      </x:c>
      <x:c r="M947" s="12" t="str">
        <x:f>IF(A947="","","مرحبًا "&amp;C947&amp;CHAR(10)&amp;CHAR(10)&amp;"بناءً على نتيجة تقييم عيادة "&amp;B947&amp;"، فإن الترشيح الأقوى لكم الآن هو: "&amp;G947&amp;"."&amp;CHAR(10)&amp;"هذا الخيار يساعدكم في معالجة أكبر فجوة حالية بشكل عملي ومباشر."&amp;IF(J947&lt;&gt;"",CHAR(10)&amp;CHAR(10)&amp;"رابط التقرير: "&amp;J947,"")&amp;CHAR(10)&amp;CHAR(10)&amp;"إذا رغبت، يمكننا توضيح لماذا هذا الكورس هو الأنسب لكم الآن.")</x:f>
      </x:c>
      <x:c r="N947" s="12" t="str">
        <x:f>IF(D947="","",HYPERLINK("https://wa.me/"&amp;REGEXREPLACE(D947,"[^\d]","")&amp;"?text="&amp;ENCODEURL(M947),"واتساب 2"))</x:f>
      </x:c>
      <x:c r="O947" s="12" t="str">
        <x:f>IF(A947="","","مرحبًا "&amp;C947&amp;CHAR(10)&amp;CHAR(10)&amp;"إذا كانت التحديات لديكم تحتاج حلًا أشمل، فالبرنامج الكامل المناسب لكم هو: "&amp;H947&amp;"."&amp;IF(I947&lt;&gt;"",CHAR(10)&amp;"كما يمكنكم أيضًا حجز: "&amp;I947&amp;".","")&amp;IF(J947&lt;&gt;"",CHAR(10)&amp;CHAR(10)&amp;"رابط التقرير: "&amp;J947,"")&amp;CHAR(10)&amp;CHAR(10)&amp;"يسعدنا مساعدتكم في اختيار المسار الأنسب حسب وضع العيادة الحالي.")</x:f>
      </x:c>
      <x:c r="P947" s="12" t="str">
        <x:f>IF(D947="","",HYPERLINK("https://wa.me/"&amp;REGEXREPLACE(D947,"[^\d]","")&amp;"?text="&amp;ENCODEURL(O947),"واتساب 3"))</x:f>
      </x:c>
    </x:row>
    <x:row r="948" ht="15" hidden="0" customHeight="1">
      <x:c r="A948" s="12" t="str">
        <x:f>IF(Leads!A948="","",Leads!A948)</x:f>
      </x:c>
      <x:c r="B948" s="12" t="str">
        <x:f>IF(Leads!F948="","",Leads!F948)</x:f>
      </x:c>
      <x:c r="C948" s="12" t="str">
        <x:f>IF(Leads!G948="","",Leads!G948)</x:f>
      </x:c>
      <x:c r="D948" s="12" t="str">
        <x:f>IF(Leads!O948="","",Leads!O948)</x:f>
      </x:c>
      <x:c r="E948" s="12" t="str">
        <x:f>IF(Leads!AV948="","",Leads!AV948)</x:f>
      </x:c>
      <x:c r="F948" s="12" t="str">
        <x:f>IF(Leads!AX948="","",Leads!AX948)</x:f>
      </x:c>
      <x:c r="G948" s="12" t="str">
        <x:f>IF(Leads!BC948="","",Leads!BC948)</x:f>
      </x:c>
      <x:c r="H948" s="12" t="str">
        <x:f>IF(Leads!BE948="","",Leads!BE948)</x:f>
      </x:c>
      <x:c r="I948" s="12" t="str">
        <x:f>IF(Leads!BG948="","",Leads!BG948)</x:f>
      </x:c>
      <x:c r="J948" s="12" t="str">
        <x:f>IF(Leads!BH948="","",Leads!BH948)</x:f>
      </x:c>
      <x:c r="K948" s="12" t="str">
        <x:f>IF(A948="","","مرحبًا "&amp;C948&amp;CHAR(10)&amp;CHAR(10)&amp;"شكرًا لإتمام تقييم DBD الخاص بعيادة "&amp;B948&amp;"."&amp;CHAR(10)&amp;"نتيجتكم الحالية: "&amp;E948&amp;"%."&amp;CHAR(10)&amp;"أولوية التحسين الأولى: "&amp;F948&amp;"."&amp;IF(J948&lt;&gt;"",CHAR(10)&amp;CHAR(10)&amp;"رابط التقرير: "&amp;J948,"")&amp;CHAR(10)&amp;CHAR(10)&amp;"إذا أحببت، يمكننا مساعدتك في فهم التقرير وتحديد أفضل خطوة تالية لعيادتكم.")</x:f>
      </x:c>
      <x:c r="L948" s="12" t="str">
        <x:f>IF(D948="","",HYPERLINK("https://wa.me/"&amp;REGEXREPLACE(D948,"[^\d]","")&amp;"?text="&amp;ENCODEURL(K948),"واتساب 1"))</x:f>
      </x:c>
      <x:c r="M948" s="12" t="str">
        <x:f>IF(A948="","","مرحبًا "&amp;C948&amp;CHAR(10)&amp;CHAR(10)&amp;"بناءً على نتيجة تقييم عيادة "&amp;B948&amp;"، فإن الترشيح الأقوى لكم الآن هو: "&amp;G948&amp;"."&amp;CHAR(10)&amp;"هذا الخيار يساعدكم في معالجة أكبر فجوة حالية بشكل عملي ومباشر."&amp;IF(J948&lt;&gt;"",CHAR(10)&amp;CHAR(10)&amp;"رابط التقرير: "&amp;J948,"")&amp;CHAR(10)&amp;CHAR(10)&amp;"إذا رغبت، يمكننا توضيح لماذا هذا الكورس هو الأنسب لكم الآن.")</x:f>
      </x:c>
      <x:c r="N948" s="12" t="str">
        <x:f>IF(D948="","",HYPERLINK("https://wa.me/"&amp;REGEXREPLACE(D948,"[^\d]","")&amp;"?text="&amp;ENCODEURL(M948),"واتساب 2"))</x:f>
      </x:c>
      <x:c r="O948" s="12" t="str">
        <x:f>IF(A948="","","مرحبًا "&amp;C948&amp;CHAR(10)&amp;CHAR(10)&amp;"إذا كانت التحديات لديكم تحتاج حلًا أشمل، فالبرنامج الكامل المناسب لكم هو: "&amp;H948&amp;"."&amp;IF(I948&lt;&gt;"",CHAR(10)&amp;"كما يمكنكم أيضًا حجز: "&amp;I948&amp;".","")&amp;IF(J948&lt;&gt;"",CHAR(10)&amp;CHAR(10)&amp;"رابط التقرير: "&amp;J948,"")&amp;CHAR(10)&amp;CHAR(10)&amp;"يسعدنا مساعدتكم في اختيار المسار الأنسب حسب وضع العيادة الحالي.")</x:f>
      </x:c>
      <x:c r="P948" s="12" t="str">
        <x:f>IF(D948="","",HYPERLINK("https://wa.me/"&amp;REGEXREPLACE(D948,"[^\d]","")&amp;"?text="&amp;ENCODEURL(O948),"واتساب 3"))</x:f>
      </x:c>
    </x:row>
    <x:row r="949" ht="15" hidden="0" customHeight="1">
      <x:c r="A949" s="12" t="str">
        <x:f>IF(Leads!A949="","",Leads!A949)</x:f>
      </x:c>
      <x:c r="B949" s="12" t="str">
        <x:f>IF(Leads!F949="","",Leads!F949)</x:f>
      </x:c>
      <x:c r="C949" s="12" t="str">
        <x:f>IF(Leads!G949="","",Leads!G949)</x:f>
      </x:c>
      <x:c r="D949" s="12" t="str">
        <x:f>IF(Leads!O949="","",Leads!O949)</x:f>
      </x:c>
      <x:c r="E949" s="12" t="str">
        <x:f>IF(Leads!AV949="","",Leads!AV949)</x:f>
      </x:c>
      <x:c r="F949" s="12" t="str">
        <x:f>IF(Leads!AX949="","",Leads!AX949)</x:f>
      </x:c>
      <x:c r="G949" s="12" t="str">
        <x:f>IF(Leads!BC949="","",Leads!BC949)</x:f>
      </x:c>
      <x:c r="H949" s="12" t="str">
        <x:f>IF(Leads!BE949="","",Leads!BE949)</x:f>
      </x:c>
      <x:c r="I949" s="12" t="str">
        <x:f>IF(Leads!BG949="","",Leads!BG949)</x:f>
      </x:c>
      <x:c r="J949" s="12" t="str">
        <x:f>IF(Leads!BH949="","",Leads!BH949)</x:f>
      </x:c>
      <x:c r="K949" s="12" t="str">
        <x:f>IF(A949="","","مرحبًا "&amp;C949&amp;CHAR(10)&amp;CHAR(10)&amp;"شكرًا لإتمام تقييم DBD الخاص بعيادة "&amp;B949&amp;"."&amp;CHAR(10)&amp;"نتيجتكم الحالية: "&amp;E949&amp;"%."&amp;CHAR(10)&amp;"أولوية التحسين الأولى: "&amp;F949&amp;"."&amp;IF(J949&lt;&gt;"",CHAR(10)&amp;CHAR(10)&amp;"رابط التقرير: "&amp;J949,"")&amp;CHAR(10)&amp;CHAR(10)&amp;"إذا أحببت، يمكننا مساعدتك في فهم التقرير وتحديد أفضل خطوة تالية لعيادتكم.")</x:f>
      </x:c>
      <x:c r="L949" s="12" t="str">
        <x:f>IF(D949="","",HYPERLINK("https://wa.me/"&amp;REGEXREPLACE(D949,"[^\d]","")&amp;"?text="&amp;ENCODEURL(K949),"واتساب 1"))</x:f>
      </x:c>
      <x:c r="M949" s="12" t="str">
        <x:f>IF(A949="","","مرحبًا "&amp;C949&amp;CHAR(10)&amp;CHAR(10)&amp;"بناءً على نتيجة تقييم عيادة "&amp;B949&amp;"، فإن الترشيح الأقوى لكم الآن هو: "&amp;G949&amp;"."&amp;CHAR(10)&amp;"هذا الخيار يساعدكم في معالجة أكبر فجوة حالية بشكل عملي ومباشر."&amp;IF(J949&lt;&gt;"",CHAR(10)&amp;CHAR(10)&amp;"رابط التقرير: "&amp;J949,"")&amp;CHAR(10)&amp;CHAR(10)&amp;"إذا رغبت، يمكننا توضيح لماذا هذا الكورس هو الأنسب لكم الآن.")</x:f>
      </x:c>
      <x:c r="N949" s="12" t="str">
        <x:f>IF(D949="","",HYPERLINK("https://wa.me/"&amp;REGEXREPLACE(D949,"[^\d]","")&amp;"?text="&amp;ENCODEURL(M949),"واتساب 2"))</x:f>
      </x:c>
      <x:c r="O949" s="12" t="str">
        <x:f>IF(A949="","","مرحبًا "&amp;C949&amp;CHAR(10)&amp;CHAR(10)&amp;"إذا كانت التحديات لديكم تحتاج حلًا أشمل، فالبرنامج الكامل المناسب لكم هو: "&amp;H949&amp;"."&amp;IF(I949&lt;&gt;"",CHAR(10)&amp;"كما يمكنكم أيضًا حجز: "&amp;I949&amp;".","")&amp;IF(J949&lt;&gt;"",CHAR(10)&amp;CHAR(10)&amp;"رابط التقرير: "&amp;J949,"")&amp;CHAR(10)&amp;CHAR(10)&amp;"يسعدنا مساعدتكم في اختيار المسار الأنسب حسب وضع العيادة الحالي.")</x:f>
      </x:c>
      <x:c r="P949" s="12" t="str">
        <x:f>IF(D949="","",HYPERLINK("https://wa.me/"&amp;REGEXREPLACE(D949,"[^\d]","")&amp;"?text="&amp;ENCODEURL(O949),"واتساب 3"))</x:f>
      </x:c>
    </x:row>
    <x:row r="950" ht="15" hidden="0" customHeight="1">
      <x:c r="A950" s="12" t="str">
        <x:f>IF(Leads!A950="","",Leads!A950)</x:f>
      </x:c>
      <x:c r="B950" s="12" t="str">
        <x:f>IF(Leads!F950="","",Leads!F950)</x:f>
      </x:c>
      <x:c r="C950" s="12" t="str">
        <x:f>IF(Leads!G950="","",Leads!G950)</x:f>
      </x:c>
      <x:c r="D950" s="12" t="str">
        <x:f>IF(Leads!O950="","",Leads!O950)</x:f>
      </x:c>
      <x:c r="E950" s="12" t="str">
        <x:f>IF(Leads!AV950="","",Leads!AV950)</x:f>
      </x:c>
      <x:c r="F950" s="12" t="str">
        <x:f>IF(Leads!AX950="","",Leads!AX950)</x:f>
      </x:c>
      <x:c r="G950" s="12" t="str">
        <x:f>IF(Leads!BC950="","",Leads!BC950)</x:f>
      </x:c>
      <x:c r="H950" s="12" t="str">
        <x:f>IF(Leads!BE950="","",Leads!BE950)</x:f>
      </x:c>
      <x:c r="I950" s="12" t="str">
        <x:f>IF(Leads!BG950="","",Leads!BG950)</x:f>
      </x:c>
      <x:c r="J950" s="12" t="str">
        <x:f>IF(Leads!BH950="","",Leads!BH950)</x:f>
      </x:c>
      <x:c r="K950" s="12" t="str">
        <x:f>IF(A950="","","مرحبًا "&amp;C950&amp;CHAR(10)&amp;CHAR(10)&amp;"شكرًا لإتمام تقييم DBD الخاص بعيادة "&amp;B950&amp;"."&amp;CHAR(10)&amp;"نتيجتكم الحالية: "&amp;E950&amp;"%."&amp;CHAR(10)&amp;"أولوية التحسين الأولى: "&amp;F950&amp;"."&amp;IF(J950&lt;&gt;"",CHAR(10)&amp;CHAR(10)&amp;"رابط التقرير: "&amp;J950,"")&amp;CHAR(10)&amp;CHAR(10)&amp;"إذا أحببت، يمكننا مساعدتك في فهم التقرير وتحديد أفضل خطوة تالية لعيادتكم.")</x:f>
      </x:c>
      <x:c r="L950" s="12" t="str">
        <x:f>IF(D950="","",HYPERLINK("https://wa.me/"&amp;REGEXREPLACE(D950,"[^\d]","")&amp;"?text="&amp;ENCODEURL(K950),"واتساب 1"))</x:f>
      </x:c>
      <x:c r="M950" s="12" t="str">
        <x:f>IF(A950="","","مرحبًا "&amp;C950&amp;CHAR(10)&amp;CHAR(10)&amp;"بناءً على نتيجة تقييم عيادة "&amp;B950&amp;"، فإن الترشيح الأقوى لكم الآن هو: "&amp;G950&amp;"."&amp;CHAR(10)&amp;"هذا الخيار يساعدكم في معالجة أكبر فجوة حالية بشكل عملي ومباشر."&amp;IF(J950&lt;&gt;"",CHAR(10)&amp;CHAR(10)&amp;"رابط التقرير: "&amp;J950,"")&amp;CHAR(10)&amp;CHAR(10)&amp;"إذا رغبت، يمكننا توضيح لماذا هذا الكورس هو الأنسب لكم الآن.")</x:f>
      </x:c>
      <x:c r="N950" s="12" t="str">
        <x:f>IF(D950="","",HYPERLINK("https://wa.me/"&amp;REGEXREPLACE(D950,"[^\d]","")&amp;"?text="&amp;ENCODEURL(M950),"واتساب 2"))</x:f>
      </x:c>
      <x:c r="O950" s="12" t="str">
        <x:f>IF(A950="","","مرحبًا "&amp;C950&amp;CHAR(10)&amp;CHAR(10)&amp;"إذا كانت التحديات لديكم تحتاج حلًا أشمل، فالبرنامج الكامل المناسب لكم هو: "&amp;H950&amp;"."&amp;IF(I950&lt;&gt;"",CHAR(10)&amp;"كما يمكنكم أيضًا حجز: "&amp;I950&amp;".","")&amp;IF(J950&lt;&gt;"",CHAR(10)&amp;CHAR(10)&amp;"رابط التقرير: "&amp;J950,"")&amp;CHAR(10)&amp;CHAR(10)&amp;"يسعدنا مساعدتكم في اختيار المسار الأنسب حسب وضع العيادة الحالي.")</x:f>
      </x:c>
      <x:c r="P950" s="12" t="str">
        <x:f>IF(D950="","",HYPERLINK("https://wa.me/"&amp;REGEXREPLACE(D950,"[^\d]","")&amp;"?text="&amp;ENCODEURL(O950),"واتساب 3"))</x:f>
      </x:c>
    </x:row>
    <x:row r="951" ht="15" hidden="0" customHeight="1">
      <x:c r="A951" s="12" t="str">
        <x:f>IF(Leads!A951="","",Leads!A951)</x:f>
      </x:c>
      <x:c r="B951" s="12" t="str">
        <x:f>IF(Leads!F951="","",Leads!F951)</x:f>
      </x:c>
      <x:c r="C951" s="12" t="str">
        <x:f>IF(Leads!G951="","",Leads!G951)</x:f>
      </x:c>
      <x:c r="D951" s="12" t="str">
        <x:f>IF(Leads!O951="","",Leads!O951)</x:f>
      </x:c>
      <x:c r="E951" s="12" t="str">
        <x:f>IF(Leads!AV951="","",Leads!AV951)</x:f>
      </x:c>
      <x:c r="F951" s="12" t="str">
        <x:f>IF(Leads!AX951="","",Leads!AX951)</x:f>
      </x:c>
      <x:c r="G951" s="12" t="str">
        <x:f>IF(Leads!BC951="","",Leads!BC951)</x:f>
      </x:c>
      <x:c r="H951" s="12" t="str">
        <x:f>IF(Leads!BE951="","",Leads!BE951)</x:f>
      </x:c>
      <x:c r="I951" s="12" t="str">
        <x:f>IF(Leads!BG951="","",Leads!BG951)</x:f>
      </x:c>
      <x:c r="J951" s="12" t="str">
        <x:f>IF(Leads!BH951="","",Leads!BH951)</x:f>
      </x:c>
      <x:c r="K951" s="12" t="str">
        <x:f>IF(A951="","","مرحبًا "&amp;C951&amp;CHAR(10)&amp;CHAR(10)&amp;"شكرًا لإتمام تقييم DBD الخاص بعيادة "&amp;B951&amp;"."&amp;CHAR(10)&amp;"نتيجتكم الحالية: "&amp;E951&amp;"%."&amp;CHAR(10)&amp;"أولوية التحسين الأولى: "&amp;F951&amp;"."&amp;IF(J951&lt;&gt;"",CHAR(10)&amp;CHAR(10)&amp;"رابط التقرير: "&amp;J951,"")&amp;CHAR(10)&amp;CHAR(10)&amp;"إذا أحببت، يمكننا مساعدتك في فهم التقرير وتحديد أفضل خطوة تالية لعيادتكم.")</x:f>
      </x:c>
      <x:c r="L951" s="12" t="str">
        <x:f>IF(D951="","",HYPERLINK("https://wa.me/"&amp;REGEXREPLACE(D951,"[^\d]","")&amp;"?text="&amp;ENCODEURL(K951),"واتساب 1"))</x:f>
      </x:c>
      <x:c r="M951" s="12" t="str">
        <x:f>IF(A951="","","مرحبًا "&amp;C951&amp;CHAR(10)&amp;CHAR(10)&amp;"بناءً على نتيجة تقييم عيادة "&amp;B951&amp;"، فإن الترشيح الأقوى لكم الآن هو: "&amp;G951&amp;"."&amp;CHAR(10)&amp;"هذا الخيار يساعدكم في معالجة أكبر فجوة حالية بشكل عملي ومباشر."&amp;IF(J951&lt;&gt;"",CHAR(10)&amp;CHAR(10)&amp;"رابط التقرير: "&amp;J951,"")&amp;CHAR(10)&amp;CHAR(10)&amp;"إذا رغبت، يمكننا توضيح لماذا هذا الكورس هو الأنسب لكم الآن.")</x:f>
      </x:c>
      <x:c r="N951" s="12" t="str">
        <x:f>IF(D951="","",HYPERLINK("https://wa.me/"&amp;REGEXREPLACE(D951,"[^\d]","")&amp;"?text="&amp;ENCODEURL(M951),"واتساب 2"))</x:f>
      </x:c>
      <x:c r="O951" s="12" t="str">
        <x:f>IF(A951="","","مرحبًا "&amp;C951&amp;CHAR(10)&amp;CHAR(10)&amp;"إذا كانت التحديات لديكم تحتاج حلًا أشمل، فالبرنامج الكامل المناسب لكم هو: "&amp;H951&amp;"."&amp;IF(I951&lt;&gt;"",CHAR(10)&amp;"كما يمكنكم أيضًا حجز: "&amp;I951&amp;".","")&amp;IF(J951&lt;&gt;"",CHAR(10)&amp;CHAR(10)&amp;"رابط التقرير: "&amp;J951,"")&amp;CHAR(10)&amp;CHAR(10)&amp;"يسعدنا مساعدتكم في اختيار المسار الأنسب حسب وضع العيادة الحالي.")</x:f>
      </x:c>
      <x:c r="P951" s="12" t="str">
        <x:f>IF(D951="","",HYPERLINK("https://wa.me/"&amp;REGEXREPLACE(D951,"[^\d]","")&amp;"?text="&amp;ENCODEURL(O951),"واتساب 3"))</x:f>
      </x:c>
    </x:row>
    <x:row r="952" ht="15" hidden="0" customHeight="1">
      <x:c r="A952" s="12" t="str">
        <x:f>IF(Leads!A952="","",Leads!A952)</x:f>
      </x:c>
      <x:c r="B952" s="12" t="str">
        <x:f>IF(Leads!F952="","",Leads!F952)</x:f>
      </x:c>
      <x:c r="C952" s="12" t="str">
        <x:f>IF(Leads!G952="","",Leads!G952)</x:f>
      </x:c>
      <x:c r="D952" s="12" t="str">
        <x:f>IF(Leads!O952="","",Leads!O952)</x:f>
      </x:c>
      <x:c r="E952" s="12" t="str">
        <x:f>IF(Leads!AV952="","",Leads!AV952)</x:f>
      </x:c>
      <x:c r="F952" s="12" t="str">
        <x:f>IF(Leads!AX952="","",Leads!AX952)</x:f>
      </x:c>
      <x:c r="G952" s="12" t="str">
        <x:f>IF(Leads!BC952="","",Leads!BC952)</x:f>
      </x:c>
      <x:c r="H952" s="12" t="str">
        <x:f>IF(Leads!BE952="","",Leads!BE952)</x:f>
      </x:c>
      <x:c r="I952" s="12" t="str">
        <x:f>IF(Leads!BG952="","",Leads!BG952)</x:f>
      </x:c>
      <x:c r="J952" s="12" t="str">
        <x:f>IF(Leads!BH952="","",Leads!BH952)</x:f>
      </x:c>
      <x:c r="K952" s="12" t="str">
        <x:f>IF(A952="","","مرحبًا "&amp;C952&amp;CHAR(10)&amp;CHAR(10)&amp;"شكرًا لإتمام تقييم DBD الخاص بعيادة "&amp;B952&amp;"."&amp;CHAR(10)&amp;"نتيجتكم الحالية: "&amp;E952&amp;"%."&amp;CHAR(10)&amp;"أولوية التحسين الأولى: "&amp;F952&amp;"."&amp;IF(J952&lt;&gt;"",CHAR(10)&amp;CHAR(10)&amp;"رابط التقرير: "&amp;J952,"")&amp;CHAR(10)&amp;CHAR(10)&amp;"إذا أحببت، يمكننا مساعدتك في فهم التقرير وتحديد أفضل خطوة تالية لعيادتكم.")</x:f>
      </x:c>
      <x:c r="L952" s="12" t="str">
        <x:f>IF(D952="","",HYPERLINK("https://wa.me/"&amp;REGEXREPLACE(D952,"[^\d]","")&amp;"?text="&amp;ENCODEURL(K952),"واتساب 1"))</x:f>
      </x:c>
      <x:c r="M952" s="12" t="str">
        <x:f>IF(A952="","","مرحبًا "&amp;C952&amp;CHAR(10)&amp;CHAR(10)&amp;"بناءً على نتيجة تقييم عيادة "&amp;B952&amp;"، فإن الترشيح الأقوى لكم الآن هو: "&amp;G952&amp;"."&amp;CHAR(10)&amp;"هذا الخيار يساعدكم في معالجة أكبر فجوة حالية بشكل عملي ومباشر."&amp;IF(J952&lt;&gt;"",CHAR(10)&amp;CHAR(10)&amp;"رابط التقرير: "&amp;J952,"")&amp;CHAR(10)&amp;CHAR(10)&amp;"إذا رغبت، يمكننا توضيح لماذا هذا الكورس هو الأنسب لكم الآن.")</x:f>
      </x:c>
      <x:c r="N952" s="12" t="str">
        <x:f>IF(D952="","",HYPERLINK("https://wa.me/"&amp;REGEXREPLACE(D952,"[^\d]","")&amp;"?text="&amp;ENCODEURL(M952),"واتساب 2"))</x:f>
      </x:c>
      <x:c r="O952" s="12" t="str">
        <x:f>IF(A952="","","مرحبًا "&amp;C952&amp;CHAR(10)&amp;CHAR(10)&amp;"إذا كانت التحديات لديكم تحتاج حلًا أشمل، فالبرنامج الكامل المناسب لكم هو: "&amp;H952&amp;"."&amp;IF(I952&lt;&gt;"",CHAR(10)&amp;"كما يمكنكم أيضًا حجز: "&amp;I952&amp;".","")&amp;IF(J952&lt;&gt;"",CHAR(10)&amp;CHAR(10)&amp;"رابط التقرير: "&amp;J952,"")&amp;CHAR(10)&amp;CHAR(10)&amp;"يسعدنا مساعدتكم في اختيار المسار الأنسب حسب وضع العيادة الحالي.")</x:f>
      </x:c>
      <x:c r="P952" s="12" t="str">
        <x:f>IF(D952="","",HYPERLINK("https://wa.me/"&amp;REGEXREPLACE(D952,"[^\d]","")&amp;"?text="&amp;ENCODEURL(O952),"واتساب 3"))</x:f>
      </x:c>
    </x:row>
    <x:row r="953" ht="15" hidden="0" customHeight="1">
      <x:c r="A953" s="12" t="str">
        <x:f>IF(Leads!A953="","",Leads!A953)</x:f>
      </x:c>
      <x:c r="B953" s="12" t="str">
        <x:f>IF(Leads!F953="","",Leads!F953)</x:f>
      </x:c>
      <x:c r="C953" s="12" t="str">
        <x:f>IF(Leads!G953="","",Leads!G953)</x:f>
      </x:c>
      <x:c r="D953" s="12" t="str">
        <x:f>IF(Leads!O953="","",Leads!O953)</x:f>
      </x:c>
      <x:c r="E953" s="12" t="str">
        <x:f>IF(Leads!AV953="","",Leads!AV953)</x:f>
      </x:c>
      <x:c r="F953" s="12" t="str">
        <x:f>IF(Leads!AX953="","",Leads!AX953)</x:f>
      </x:c>
      <x:c r="G953" s="12" t="str">
        <x:f>IF(Leads!BC953="","",Leads!BC953)</x:f>
      </x:c>
      <x:c r="H953" s="12" t="str">
        <x:f>IF(Leads!BE953="","",Leads!BE953)</x:f>
      </x:c>
      <x:c r="I953" s="12" t="str">
        <x:f>IF(Leads!BG953="","",Leads!BG953)</x:f>
      </x:c>
      <x:c r="J953" s="12" t="str">
        <x:f>IF(Leads!BH953="","",Leads!BH953)</x:f>
      </x:c>
      <x:c r="K953" s="12" t="str">
        <x:f>IF(A953="","","مرحبًا "&amp;C953&amp;CHAR(10)&amp;CHAR(10)&amp;"شكرًا لإتمام تقييم DBD الخاص بعيادة "&amp;B953&amp;"."&amp;CHAR(10)&amp;"نتيجتكم الحالية: "&amp;E953&amp;"%."&amp;CHAR(10)&amp;"أولوية التحسين الأولى: "&amp;F953&amp;"."&amp;IF(J953&lt;&gt;"",CHAR(10)&amp;CHAR(10)&amp;"رابط التقرير: "&amp;J953,"")&amp;CHAR(10)&amp;CHAR(10)&amp;"إذا أحببت، يمكننا مساعدتك في فهم التقرير وتحديد أفضل خطوة تالية لعيادتكم.")</x:f>
      </x:c>
      <x:c r="L953" s="12" t="str">
        <x:f>IF(D953="","",HYPERLINK("https://wa.me/"&amp;REGEXREPLACE(D953,"[^\d]","")&amp;"?text="&amp;ENCODEURL(K953),"واتساب 1"))</x:f>
      </x:c>
      <x:c r="M953" s="12" t="str">
        <x:f>IF(A953="","","مرحبًا "&amp;C953&amp;CHAR(10)&amp;CHAR(10)&amp;"بناءً على نتيجة تقييم عيادة "&amp;B953&amp;"، فإن الترشيح الأقوى لكم الآن هو: "&amp;G953&amp;"."&amp;CHAR(10)&amp;"هذا الخيار يساعدكم في معالجة أكبر فجوة حالية بشكل عملي ومباشر."&amp;IF(J953&lt;&gt;"",CHAR(10)&amp;CHAR(10)&amp;"رابط التقرير: "&amp;J953,"")&amp;CHAR(10)&amp;CHAR(10)&amp;"إذا رغبت، يمكننا توضيح لماذا هذا الكورس هو الأنسب لكم الآن.")</x:f>
      </x:c>
      <x:c r="N953" s="12" t="str">
        <x:f>IF(D953="","",HYPERLINK("https://wa.me/"&amp;REGEXREPLACE(D953,"[^\d]","")&amp;"?text="&amp;ENCODEURL(M953),"واتساب 2"))</x:f>
      </x:c>
      <x:c r="O953" s="12" t="str">
        <x:f>IF(A953="","","مرحبًا "&amp;C953&amp;CHAR(10)&amp;CHAR(10)&amp;"إذا كانت التحديات لديكم تحتاج حلًا أشمل، فالبرنامج الكامل المناسب لكم هو: "&amp;H953&amp;"."&amp;IF(I953&lt;&gt;"",CHAR(10)&amp;"كما يمكنكم أيضًا حجز: "&amp;I953&amp;".","")&amp;IF(J953&lt;&gt;"",CHAR(10)&amp;CHAR(10)&amp;"رابط التقرير: "&amp;J953,"")&amp;CHAR(10)&amp;CHAR(10)&amp;"يسعدنا مساعدتكم في اختيار المسار الأنسب حسب وضع العيادة الحالي.")</x:f>
      </x:c>
      <x:c r="P953" s="12" t="str">
        <x:f>IF(D953="","",HYPERLINK("https://wa.me/"&amp;REGEXREPLACE(D953,"[^\d]","")&amp;"?text="&amp;ENCODEURL(O953),"واتساب 3"))</x:f>
      </x:c>
    </x:row>
    <x:row r="954" ht="15" hidden="0" customHeight="1">
      <x:c r="A954" s="12" t="str">
        <x:f>IF(Leads!A954="","",Leads!A954)</x:f>
      </x:c>
      <x:c r="B954" s="12" t="str">
        <x:f>IF(Leads!F954="","",Leads!F954)</x:f>
      </x:c>
      <x:c r="C954" s="12" t="str">
        <x:f>IF(Leads!G954="","",Leads!G954)</x:f>
      </x:c>
      <x:c r="D954" s="12" t="str">
        <x:f>IF(Leads!O954="","",Leads!O954)</x:f>
      </x:c>
      <x:c r="E954" s="12" t="str">
        <x:f>IF(Leads!AV954="","",Leads!AV954)</x:f>
      </x:c>
      <x:c r="F954" s="12" t="str">
        <x:f>IF(Leads!AX954="","",Leads!AX954)</x:f>
      </x:c>
      <x:c r="G954" s="12" t="str">
        <x:f>IF(Leads!BC954="","",Leads!BC954)</x:f>
      </x:c>
      <x:c r="H954" s="12" t="str">
        <x:f>IF(Leads!BE954="","",Leads!BE954)</x:f>
      </x:c>
      <x:c r="I954" s="12" t="str">
        <x:f>IF(Leads!BG954="","",Leads!BG954)</x:f>
      </x:c>
      <x:c r="J954" s="12" t="str">
        <x:f>IF(Leads!BH954="","",Leads!BH954)</x:f>
      </x:c>
      <x:c r="K954" s="12" t="str">
        <x:f>IF(A954="","","مرحبًا "&amp;C954&amp;CHAR(10)&amp;CHAR(10)&amp;"شكرًا لإتمام تقييم DBD الخاص بعيادة "&amp;B954&amp;"."&amp;CHAR(10)&amp;"نتيجتكم الحالية: "&amp;E954&amp;"%."&amp;CHAR(10)&amp;"أولوية التحسين الأولى: "&amp;F954&amp;"."&amp;IF(J954&lt;&gt;"",CHAR(10)&amp;CHAR(10)&amp;"رابط التقرير: "&amp;J954,"")&amp;CHAR(10)&amp;CHAR(10)&amp;"إذا أحببت، يمكننا مساعدتك في فهم التقرير وتحديد أفضل خطوة تالية لعيادتكم.")</x:f>
      </x:c>
      <x:c r="L954" s="12" t="str">
        <x:f>IF(D954="","",HYPERLINK("https://wa.me/"&amp;REGEXREPLACE(D954,"[^\d]","")&amp;"?text="&amp;ENCODEURL(K954),"واتساب 1"))</x:f>
      </x:c>
      <x:c r="M954" s="12" t="str">
        <x:f>IF(A954="","","مرحبًا "&amp;C954&amp;CHAR(10)&amp;CHAR(10)&amp;"بناءً على نتيجة تقييم عيادة "&amp;B954&amp;"، فإن الترشيح الأقوى لكم الآن هو: "&amp;G954&amp;"."&amp;CHAR(10)&amp;"هذا الخيار يساعدكم في معالجة أكبر فجوة حالية بشكل عملي ومباشر."&amp;IF(J954&lt;&gt;"",CHAR(10)&amp;CHAR(10)&amp;"رابط التقرير: "&amp;J954,"")&amp;CHAR(10)&amp;CHAR(10)&amp;"إذا رغبت، يمكننا توضيح لماذا هذا الكورس هو الأنسب لكم الآن.")</x:f>
      </x:c>
      <x:c r="N954" s="12" t="str">
        <x:f>IF(D954="","",HYPERLINK("https://wa.me/"&amp;REGEXREPLACE(D954,"[^\d]","")&amp;"?text="&amp;ENCODEURL(M954),"واتساب 2"))</x:f>
      </x:c>
      <x:c r="O954" s="12" t="str">
        <x:f>IF(A954="","","مرحبًا "&amp;C954&amp;CHAR(10)&amp;CHAR(10)&amp;"إذا كانت التحديات لديكم تحتاج حلًا أشمل، فالبرنامج الكامل المناسب لكم هو: "&amp;H954&amp;"."&amp;IF(I954&lt;&gt;"",CHAR(10)&amp;"كما يمكنكم أيضًا حجز: "&amp;I954&amp;".","")&amp;IF(J954&lt;&gt;"",CHAR(10)&amp;CHAR(10)&amp;"رابط التقرير: "&amp;J954,"")&amp;CHAR(10)&amp;CHAR(10)&amp;"يسعدنا مساعدتكم في اختيار المسار الأنسب حسب وضع العيادة الحالي.")</x:f>
      </x:c>
      <x:c r="P954" s="12" t="str">
        <x:f>IF(D954="","",HYPERLINK("https://wa.me/"&amp;REGEXREPLACE(D954,"[^\d]","")&amp;"?text="&amp;ENCODEURL(O954),"واتساب 3"))</x:f>
      </x:c>
    </x:row>
    <x:row r="955" ht="15" hidden="0" customHeight="1">
      <x:c r="A955" s="12" t="str">
        <x:f>IF(Leads!A955="","",Leads!A955)</x:f>
      </x:c>
      <x:c r="B955" s="12" t="str">
        <x:f>IF(Leads!F955="","",Leads!F955)</x:f>
      </x:c>
      <x:c r="C955" s="12" t="str">
        <x:f>IF(Leads!G955="","",Leads!G955)</x:f>
      </x:c>
      <x:c r="D955" s="12" t="str">
        <x:f>IF(Leads!O955="","",Leads!O955)</x:f>
      </x:c>
      <x:c r="E955" s="12" t="str">
        <x:f>IF(Leads!AV955="","",Leads!AV955)</x:f>
      </x:c>
      <x:c r="F955" s="12" t="str">
        <x:f>IF(Leads!AX955="","",Leads!AX955)</x:f>
      </x:c>
      <x:c r="G955" s="12" t="str">
        <x:f>IF(Leads!BC955="","",Leads!BC955)</x:f>
      </x:c>
      <x:c r="H955" s="12" t="str">
        <x:f>IF(Leads!BE955="","",Leads!BE955)</x:f>
      </x:c>
      <x:c r="I955" s="12" t="str">
        <x:f>IF(Leads!BG955="","",Leads!BG955)</x:f>
      </x:c>
      <x:c r="J955" s="12" t="str">
        <x:f>IF(Leads!BH955="","",Leads!BH955)</x:f>
      </x:c>
      <x:c r="K955" s="12" t="str">
        <x:f>IF(A955="","","مرحبًا "&amp;C955&amp;CHAR(10)&amp;CHAR(10)&amp;"شكرًا لإتمام تقييم DBD الخاص بعيادة "&amp;B955&amp;"."&amp;CHAR(10)&amp;"نتيجتكم الحالية: "&amp;E955&amp;"%."&amp;CHAR(10)&amp;"أولوية التحسين الأولى: "&amp;F955&amp;"."&amp;IF(J955&lt;&gt;"",CHAR(10)&amp;CHAR(10)&amp;"رابط التقرير: "&amp;J955,"")&amp;CHAR(10)&amp;CHAR(10)&amp;"إذا أحببت، يمكننا مساعدتك في فهم التقرير وتحديد أفضل خطوة تالية لعيادتكم.")</x:f>
      </x:c>
      <x:c r="L955" s="12" t="str">
        <x:f>IF(D955="","",HYPERLINK("https://wa.me/"&amp;REGEXREPLACE(D955,"[^\d]","")&amp;"?text="&amp;ENCODEURL(K955),"واتساب 1"))</x:f>
      </x:c>
      <x:c r="M955" s="12" t="str">
        <x:f>IF(A955="","","مرحبًا "&amp;C955&amp;CHAR(10)&amp;CHAR(10)&amp;"بناءً على نتيجة تقييم عيادة "&amp;B955&amp;"، فإن الترشيح الأقوى لكم الآن هو: "&amp;G955&amp;"."&amp;CHAR(10)&amp;"هذا الخيار يساعدكم في معالجة أكبر فجوة حالية بشكل عملي ومباشر."&amp;IF(J955&lt;&gt;"",CHAR(10)&amp;CHAR(10)&amp;"رابط التقرير: "&amp;J955,"")&amp;CHAR(10)&amp;CHAR(10)&amp;"إذا رغبت، يمكننا توضيح لماذا هذا الكورس هو الأنسب لكم الآن.")</x:f>
      </x:c>
      <x:c r="N955" s="12" t="str">
        <x:f>IF(D955="","",HYPERLINK("https://wa.me/"&amp;REGEXREPLACE(D955,"[^\d]","")&amp;"?text="&amp;ENCODEURL(M955),"واتساب 2"))</x:f>
      </x:c>
      <x:c r="O955" s="12" t="str">
        <x:f>IF(A955="","","مرحبًا "&amp;C955&amp;CHAR(10)&amp;CHAR(10)&amp;"إذا كانت التحديات لديكم تحتاج حلًا أشمل، فالبرنامج الكامل المناسب لكم هو: "&amp;H955&amp;"."&amp;IF(I955&lt;&gt;"",CHAR(10)&amp;"كما يمكنكم أيضًا حجز: "&amp;I955&amp;".","")&amp;IF(J955&lt;&gt;"",CHAR(10)&amp;CHAR(10)&amp;"رابط التقرير: "&amp;J955,"")&amp;CHAR(10)&amp;CHAR(10)&amp;"يسعدنا مساعدتكم في اختيار المسار الأنسب حسب وضع العيادة الحالي.")</x:f>
      </x:c>
      <x:c r="P955" s="12" t="str">
        <x:f>IF(D955="","",HYPERLINK("https://wa.me/"&amp;REGEXREPLACE(D955,"[^\d]","")&amp;"?text="&amp;ENCODEURL(O955),"واتساب 3"))</x:f>
      </x:c>
    </x:row>
    <x:row r="956" ht="15" hidden="0" customHeight="1">
      <x:c r="A956" s="12" t="str">
        <x:f>IF(Leads!A956="","",Leads!A956)</x:f>
      </x:c>
      <x:c r="B956" s="12" t="str">
        <x:f>IF(Leads!F956="","",Leads!F956)</x:f>
      </x:c>
      <x:c r="C956" s="12" t="str">
        <x:f>IF(Leads!G956="","",Leads!G956)</x:f>
      </x:c>
      <x:c r="D956" s="12" t="str">
        <x:f>IF(Leads!O956="","",Leads!O956)</x:f>
      </x:c>
      <x:c r="E956" s="12" t="str">
        <x:f>IF(Leads!AV956="","",Leads!AV956)</x:f>
      </x:c>
      <x:c r="F956" s="12" t="str">
        <x:f>IF(Leads!AX956="","",Leads!AX956)</x:f>
      </x:c>
      <x:c r="G956" s="12" t="str">
        <x:f>IF(Leads!BC956="","",Leads!BC956)</x:f>
      </x:c>
      <x:c r="H956" s="12" t="str">
        <x:f>IF(Leads!BE956="","",Leads!BE956)</x:f>
      </x:c>
      <x:c r="I956" s="12" t="str">
        <x:f>IF(Leads!BG956="","",Leads!BG956)</x:f>
      </x:c>
      <x:c r="J956" s="12" t="str">
        <x:f>IF(Leads!BH956="","",Leads!BH956)</x:f>
      </x:c>
      <x:c r="K956" s="12" t="str">
        <x:f>IF(A956="","","مرحبًا "&amp;C956&amp;CHAR(10)&amp;CHAR(10)&amp;"شكرًا لإتمام تقييم DBD الخاص بعيادة "&amp;B956&amp;"."&amp;CHAR(10)&amp;"نتيجتكم الحالية: "&amp;E956&amp;"%."&amp;CHAR(10)&amp;"أولوية التحسين الأولى: "&amp;F956&amp;"."&amp;IF(J956&lt;&gt;"",CHAR(10)&amp;CHAR(10)&amp;"رابط التقرير: "&amp;J956,"")&amp;CHAR(10)&amp;CHAR(10)&amp;"إذا أحببت، يمكننا مساعدتك في فهم التقرير وتحديد أفضل خطوة تالية لعيادتكم.")</x:f>
      </x:c>
      <x:c r="L956" s="12" t="str">
        <x:f>IF(D956="","",HYPERLINK("https://wa.me/"&amp;REGEXREPLACE(D956,"[^\d]","")&amp;"?text="&amp;ENCODEURL(K956),"واتساب 1"))</x:f>
      </x:c>
      <x:c r="M956" s="12" t="str">
        <x:f>IF(A956="","","مرحبًا "&amp;C956&amp;CHAR(10)&amp;CHAR(10)&amp;"بناءً على نتيجة تقييم عيادة "&amp;B956&amp;"، فإن الترشيح الأقوى لكم الآن هو: "&amp;G956&amp;"."&amp;CHAR(10)&amp;"هذا الخيار يساعدكم في معالجة أكبر فجوة حالية بشكل عملي ومباشر."&amp;IF(J956&lt;&gt;"",CHAR(10)&amp;CHAR(10)&amp;"رابط التقرير: "&amp;J956,"")&amp;CHAR(10)&amp;CHAR(10)&amp;"إذا رغبت، يمكننا توضيح لماذا هذا الكورس هو الأنسب لكم الآن.")</x:f>
      </x:c>
      <x:c r="N956" s="12" t="str">
        <x:f>IF(D956="","",HYPERLINK("https://wa.me/"&amp;REGEXREPLACE(D956,"[^\d]","")&amp;"?text="&amp;ENCODEURL(M956),"واتساب 2"))</x:f>
      </x:c>
      <x:c r="O956" s="12" t="str">
        <x:f>IF(A956="","","مرحبًا "&amp;C956&amp;CHAR(10)&amp;CHAR(10)&amp;"إذا كانت التحديات لديكم تحتاج حلًا أشمل، فالبرنامج الكامل المناسب لكم هو: "&amp;H956&amp;"."&amp;IF(I956&lt;&gt;"",CHAR(10)&amp;"كما يمكنكم أيضًا حجز: "&amp;I956&amp;".","")&amp;IF(J956&lt;&gt;"",CHAR(10)&amp;CHAR(10)&amp;"رابط التقرير: "&amp;J956,"")&amp;CHAR(10)&amp;CHAR(10)&amp;"يسعدنا مساعدتكم في اختيار المسار الأنسب حسب وضع العيادة الحالي.")</x:f>
      </x:c>
      <x:c r="P956" s="12" t="str">
        <x:f>IF(D956="","",HYPERLINK("https://wa.me/"&amp;REGEXREPLACE(D956,"[^\d]","")&amp;"?text="&amp;ENCODEURL(O956),"واتساب 3"))</x:f>
      </x:c>
    </x:row>
    <x:row r="957" ht="15" hidden="0" customHeight="1">
      <x:c r="A957" s="12" t="str">
        <x:f>IF(Leads!A957="","",Leads!A957)</x:f>
      </x:c>
      <x:c r="B957" s="12" t="str">
        <x:f>IF(Leads!F957="","",Leads!F957)</x:f>
      </x:c>
      <x:c r="C957" s="12" t="str">
        <x:f>IF(Leads!G957="","",Leads!G957)</x:f>
      </x:c>
      <x:c r="D957" s="12" t="str">
        <x:f>IF(Leads!O957="","",Leads!O957)</x:f>
      </x:c>
      <x:c r="E957" s="12" t="str">
        <x:f>IF(Leads!AV957="","",Leads!AV957)</x:f>
      </x:c>
      <x:c r="F957" s="12" t="str">
        <x:f>IF(Leads!AX957="","",Leads!AX957)</x:f>
      </x:c>
      <x:c r="G957" s="12" t="str">
        <x:f>IF(Leads!BC957="","",Leads!BC957)</x:f>
      </x:c>
      <x:c r="H957" s="12" t="str">
        <x:f>IF(Leads!BE957="","",Leads!BE957)</x:f>
      </x:c>
      <x:c r="I957" s="12" t="str">
        <x:f>IF(Leads!BG957="","",Leads!BG957)</x:f>
      </x:c>
      <x:c r="J957" s="12" t="str">
        <x:f>IF(Leads!BH957="","",Leads!BH957)</x:f>
      </x:c>
      <x:c r="K957" s="12" t="str">
        <x:f>IF(A957="","","مرحبًا "&amp;C957&amp;CHAR(10)&amp;CHAR(10)&amp;"شكرًا لإتمام تقييم DBD الخاص بعيادة "&amp;B957&amp;"."&amp;CHAR(10)&amp;"نتيجتكم الحالية: "&amp;E957&amp;"%."&amp;CHAR(10)&amp;"أولوية التحسين الأولى: "&amp;F957&amp;"."&amp;IF(J957&lt;&gt;"",CHAR(10)&amp;CHAR(10)&amp;"رابط التقرير: "&amp;J957,"")&amp;CHAR(10)&amp;CHAR(10)&amp;"إذا أحببت، يمكننا مساعدتك في فهم التقرير وتحديد أفضل خطوة تالية لعيادتكم.")</x:f>
      </x:c>
      <x:c r="L957" s="12" t="str">
        <x:f>IF(D957="","",HYPERLINK("https://wa.me/"&amp;REGEXREPLACE(D957,"[^\d]","")&amp;"?text="&amp;ENCODEURL(K957),"واتساب 1"))</x:f>
      </x:c>
      <x:c r="M957" s="12" t="str">
        <x:f>IF(A957="","","مرحبًا "&amp;C957&amp;CHAR(10)&amp;CHAR(10)&amp;"بناءً على نتيجة تقييم عيادة "&amp;B957&amp;"، فإن الترشيح الأقوى لكم الآن هو: "&amp;G957&amp;"."&amp;CHAR(10)&amp;"هذا الخيار يساعدكم في معالجة أكبر فجوة حالية بشكل عملي ومباشر."&amp;IF(J957&lt;&gt;"",CHAR(10)&amp;CHAR(10)&amp;"رابط التقرير: "&amp;J957,"")&amp;CHAR(10)&amp;CHAR(10)&amp;"إذا رغبت، يمكننا توضيح لماذا هذا الكورس هو الأنسب لكم الآن.")</x:f>
      </x:c>
      <x:c r="N957" s="12" t="str">
        <x:f>IF(D957="","",HYPERLINK("https://wa.me/"&amp;REGEXREPLACE(D957,"[^\d]","")&amp;"?text="&amp;ENCODEURL(M957),"واتساب 2"))</x:f>
      </x:c>
      <x:c r="O957" s="12" t="str">
        <x:f>IF(A957="","","مرحبًا "&amp;C957&amp;CHAR(10)&amp;CHAR(10)&amp;"إذا كانت التحديات لديكم تحتاج حلًا أشمل، فالبرنامج الكامل المناسب لكم هو: "&amp;H957&amp;"."&amp;IF(I957&lt;&gt;"",CHAR(10)&amp;"كما يمكنكم أيضًا حجز: "&amp;I957&amp;".","")&amp;IF(J957&lt;&gt;"",CHAR(10)&amp;CHAR(10)&amp;"رابط التقرير: "&amp;J957,"")&amp;CHAR(10)&amp;CHAR(10)&amp;"يسعدنا مساعدتكم في اختيار المسار الأنسب حسب وضع العيادة الحالي.")</x:f>
      </x:c>
      <x:c r="P957" s="12" t="str">
        <x:f>IF(D957="","",HYPERLINK("https://wa.me/"&amp;REGEXREPLACE(D957,"[^\d]","")&amp;"?text="&amp;ENCODEURL(O957),"واتساب 3"))</x:f>
      </x:c>
    </x:row>
    <x:row r="958" ht="15" hidden="0" customHeight="1">
      <x:c r="A958" s="12" t="str">
        <x:f>IF(Leads!A958="","",Leads!A958)</x:f>
      </x:c>
      <x:c r="B958" s="12" t="str">
        <x:f>IF(Leads!F958="","",Leads!F958)</x:f>
      </x:c>
      <x:c r="C958" s="12" t="str">
        <x:f>IF(Leads!G958="","",Leads!G958)</x:f>
      </x:c>
      <x:c r="D958" s="12" t="str">
        <x:f>IF(Leads!O958="","",Leads!O958)</x:f>
      </x:c>
      <x:c r="E958" s="12" t="str">
        <x:f>IF(Leads!AV958="","",Leads!AV958)</x:f>
      </x:c>
      <x:c r="F958" s="12" t="str">
        <x:f>IF(Leads!AX958="","",Leads!AX958)</x:f>
      </x:c>
      <x:c r="G958" s="12" t="str">
        <x:f>IF(Leads!BC958="","",Leads!BC958)</x:f>
      </x:c>
      <x:c r="H958" s="12" t="str">
        <x:f>IF(Leads!BE958="","",Leads!BE958)</x:f>
      </x:c>
      <x:c r="I958" s="12" t="str">
        <x:f>IF(Leads!BG958="","",Leads!BG958)</x:f>
      </x:c>
      <x:c r="J958" s="12" t="str">
        <x:f>IF(Leads!BH958="","",Leads!BH958)</x:f>
      </x:c>
      <x:c r="K958" s="12" t="str">
        <x:f>IF(A958="","","مرحبًا "&amp;C958&amp;CHAR(10)&amp;CHAR(10)&amp;"شكرًا لإتمام تقييم DBD الخاص بعيادة "&amp;B958&amp;"."&amp;CHAR(10)&amp;"نتيجتكم الحالية: "&amp;E958&amp;"%."&amp;CHAR(10)&amp;"أولوية التحسين الأولى: "&amp;F958&amp;"."&amp;IF(J958&lt;&gt;"",CHAR(10)&amp;CHAR(10)&amp;"رابط التقرير: "&amp;J958,"")&amp;CHAR(10)&amp;CHAR(10)&amp;"إذا أحببت، يمكننا مساعدتك في فهم التقرير وتحديد أفضل خطوة تالية لعيادتكم.")</x:f>
      </x:c>
      <x:c r="L958" s="12" t="str">
        <x:f>IF(D958="","",HYPERLINK("https://wa.me/"&amp;REGEXREPLACE(D958,"[^\d]","")&amp;"?text="&amp;ENCODEURL(K958),"واتساب 1"))</x:f>
      </x:c>
      <x:c r="M958" s="12" t="str">
        <x:f>IF(A958="","","مرحبًا "&amp;C958&amp;CHAR(10)&amp;CHAR(10)&amp;"بناءً على نتيجة تقييم عيادة "&amp;B958&amp;"، فإن الترشيح الأقوى لكم الآن هو: "&amp;G958&amp;"."&amp;CHAR(10)&amp;"هذا الخيار يساعدكم في معالجة أكبر فجوة حالية بشكل عملي ومباشر."&amp;IF(J958&lt;&gt;"",CHAR(10)&amp;CHAR(10)&amp;"رابط التقرير: "&amp;J958,"")&amp;CHAR(10)&amp;CHAR(10)&amp;"إذا رغبت، يمكننا توضيح لماذا هذا الكورس هو الأنسب لكم الآن.")</x:f>
      </x:c>
      <x:c r="N958" s="12" t="str">
        <x:f>IF(D958="","",HYPERLINK("https://wa.me/"&amp;REGEXREPLACE(D958,"[^\d]","")&amp;"?text="&amp;ENCODEURL(M958),"واتساب 2"))</x:f>
      </x:c>
      <x:c r="O958" s="12" t="str">
        <x:f>IF(A958="","","مرحبًا "&amp;C958&amp;CHAR(10)&amp;CHAR(10)&amp;"إذا كانت التحديات لديكم تحتاج حلًا أشمل، فالبرنامج الكامل المناسب لكم هو: "&amp;H958&amp;"."&amp;IF(I958&lt;&gt;"",CHAR(10)&amp;"كما يمكنكم أيضًا حجز: "&amp;I958&amp;".","")&amp;IF(J958&lt;&gt;"",CHAR(10)&amp;CHAR(10)&amp;"رابط التقرير: "&amp;J958,"")&amp;CHAR(10)&amp;CHAR(10)&amp;"يسعدنا مساعدتكم في اختيار المسار الأنسب حسب وضع العيادة الحالي.")</x:f>
      </x:c>
      <x:c r="P958" s="12" t="str">
        <x:f>IF(D958="","",HYPERLINK("https://wa.me/"&amp;REGEXREPLACE(D958,"[^\d]","")&amp;"?text="&amp;ENCODEURL(O958),"واتساب 3"))</x:f>
      </x:c>
    </x:row>
    <x:row r="959" ht="15" hidden="0" customHeight="1">
      <x:c r="A959" s="12" t="str">
        <x:f>IF(Leads!A959="","",Leads!A959)</x:f>
      </x:c>
      <x:c r="B959" s="12" t="str">
        <x:f>IF(Leads!F959="","",Leads!F959)</x:f>
      </x:c>
      <x:c r="C959" s="12" t="str">
        <x:f>IF(Leads!G959="","",Leads!G959)</x:f>
      </x:c>
      <x:c r="D959" s="12" t="str">
        <x:f>IF(Leads!O959="","",Leads!O959)</x:f>
      </x:c>
      <x:c r="E959" s="12" t="str">
        <x:f>IF(Leads!AV959="","",Leads!AV959)</x:f>
      </x:c>
      <x:c r="F959" s="12" t="str">
        <x:f>IF(Leads!AX959="","",Leads!AX959)</x:f>
      </x:c>
      <x:c r="G959" s="12" t="str">
        <x:f>IF(Leads!BC959="","",Leads!BC959)</x:f>
      </x:c>
      <x:c r="H959" s="12" t="str">
        <x:f>IF(Leads!BE959="","",Leads!BE959)</x:f>
      </x:c>
      <x:c r="I959" s="12" t="str">
        <x:f>IF(Leads!BG959="","",Leads!BG959)</x:f>
      </x:c>
      <x:c r="J959" s="12" t="str">
        <x:f>IF(Leads!BH959="","",Leads!BH959)</x:f>
      </x:c>
      <x:c r="K959" s="12" t="str">
        <x:f>IF(A959="","","مرحبًا "&amp;C959&amp;CHAR(10)&amp;CHAR(10)&amp;"شكرًا لإتمام تقييم DBD الخاص بعيادة "&amp;B959&amp;"."&amp;CHAR(10)&amp;"نتيجتكم الحالية: "&amp;E959&amp;"%."&amp;CHAR(10)&amp;"أولوية التحسين الأولى: "&amp;F959&amp;"."&amp;IF(J959&lt;&gt;"",CHAR(10)&amp;CHAR(10)&amp;"رابط التقرير: "&amp;J959,"")&amp;CHAR(10)&amp;CHAR(10)&amp;"إذا أحببت، يمكننا مساعدتك في فهم التقرير وتحديد أفضل خطوة تالية لعيادتكم.")</x:f>
      </x:c>
      <x:c r="L959" s="12" t="str">
        <x:f>IF(D959="","",HYPERLINK("https://wa.me/"&amp;REGEXREPLACE(D959,"[^\d]","")&amp;"?text="&amp;ENCODEURL(K959),"واتساب 1"))</x:f>
      </x:c>
      <x:c r="M959" s="12" t="str">
        <x:f>IF(A959="","","مرحبًا "&amp;C959&amp;CHAR(10)&amp;CHAR(10)&amp;"بناءً على نتيجة تقييم عيادة "&amp;B959&amp;"، فإن الترشيح الأقوى لكم الآن هو: "&amp;G959&amp;"."&amp;CHAR(10)&amp;"هذا الخيار يساعدكم في معالجة أكبر فجوة حالية بشكل عملي ومباشر."&amp;IF(J959&lt;&gt;"",CHAR(10)&amp;CHAR(10)&amp;"رابط التقرير: "&amp;J959,"")&amp;CHAR(10)&amp;CHAR(10)&amp;"إذا رغبت، يمكننا توضيح لماذا هذا الكورس هو الأنسب لكم الآن.")</x:f>
      </x:c>
      <x:c r="N959" s="12" t="str">
        <x:f>IF(D959="","",HYPERLINK("https://wa.me/"&amp;REGEXREPLACE(D959,"[^\d]","")&amp;"?text="&amp;ENCODEURL(M959),"واتساب 2"))</x:f>
      </x:c>
      <x:c r="O959" s="12" t="str">
        <x:f>IF(A959="","","مرحبًا "&amp;C959&amp;CHAR(10)&amp;CHAR(10)&amp;"إذا كانت التحديات لديكم تحتاج حلًا أشمل، فالبرنامج الكامل المناسب لكم هو: "&amp;H959&amp;"."&amp;IF(I959&lt;&gt;"",CHAR(10)&amp;"كما يمكنكم أيضًا حجز: "&amp;I959&amp;".","")&amp;IF(J959&lt;&gt;"",CHAR(10)&amp;CHAR(10)&amp;"رابط التقرير: "&amp;J959,"")&amp;CHAR(10)&amp;CHAR(10)&amp;"يسعدنا مساعدتكم في اختيار المسار الأنسب حسب وضع العيادة الحالي.")</x:f>
      </x:c>
      <x:c r="P959" s="12" t="str">
        <x:f>IF(D959="","",HYPERLINK("https://wa.me/"&amp;REGEXREPLACE(D959,"[^\d]","")&amp;"?text="&amp;ENCODEURL(O959),"واتساب 3"))</x:f>
      </x:c>
    </x:row>
    <x:row r="960" ht="15" hidden="0" customHeight="1">
      <x:c r="A960" s="12" t="str">
        <x:f>IF(Leads!A960="","",Leads!A960)</x:f>
      </x:c>
      <x:c r="B960" s="12" t="str">
        <x:f>IF(Leads!F960="","",Leads!F960)</x:f>
      </x:c>
      <x:c r="C960" s="12" t="str">
        <x:f>IF(Leads!G960="","",Leads!G960)</x:f>
      </x:c>
      <x:c r="D960" s="12" t="str">
        <x:f>IF(Leads!O960="","",Leads!O960)</x:f>
      </x:c>
      <x:c r="E960" s="12" t="str">
        <x:f>IF(Leads!AV960="","",Leads!AV960)</x:f>
      </x:c>
      <x:c r="F960" s="12" t="str">
        <x:f>IF(Leads!AX960="","",Leads!AX960)</x:f>
      </x:c>
      <x:c r="G960" s="12" t="str">
        <x:f>IF(Leads!BC960="","",Leads!BC960)</x:f>
      </x:c>
      <x:c r="H960" s="12" t="str">
        <x:f>IF(Leads!BE960="","",Leads!BE960)</x:f>
      </x:c>
      <x:c r="I960" s="12" t="str">
        <x:f>IF(Leads!BG960="","",Leads!BG960)</x:f>
      </x:c>
      <x:c r="J960" s="12" t="str">
        <x:f>IF(Leads!BH960="","",Leads!BH960)</x:f>
      </x:c>
      <x:c r="K960" s="12" t="str">
        <x:f>IF(A960="","","مرحبًا "&amp;C960&amp;CHAR(10)&amp;CHAR(10)&amp;"شكرًا لإتمام تقييم DBD الخاص بعيادة "&amp;B960&amp;"."&amp;CHAR(10)&amp;"نتيجتكم الحالية: "&amp;E960&amp;"%."&amp;CHAR(10)&amp;"أولوية التحسين الأولى: "&amp;F960&amp;"."&amp;IF(J960&lt;&gt;"",CHAR(10)&amp;CHAR(10)&amp;"رابط التقرير: "&amp;J960,"")&amp;CHAR(10)&amp;CHAR(10)&amp;"إذا أحببت، يمكننا مساعدتك في فهم التقرير وتحديد أفضل خطوة تالية لعيادتكم.")</x:f>
      </x:c>
      <x:c r="L960" s="12" t="str">
        <x:f>IF(D960="","",HYPERLINK("https://wa.me/"&amp;REGEXREPLACE(D960,"[^\d]","")&amp;"?text="&amp;ENCODEURL(K960),"واتساب 1"))</x:f>
      </x:c>
      <x:c r="M960" s="12" t="str">
        <x:f>IF(A960="","","مرحبًا "&amp;C960&amp;CHAR(10)&amp;CHAR(10)&amp;"بناءً على نتيجة تقييم عيادة "&amp;B960&amp;"، فإن الترشيح الأقوى لكم الآن هو: "&amp;G960&amp;"."&amp;CHAR(10)&amp;"هذا الخيار يساعدكم في معالجة أكبر فجوة حالية بشكل عملي ومباشر."&amp;IF(J960&lt;&gt;"",CHAR(10)&amp;CHAR(10)&amp;"رابط التقرير: "&amp;J960,"")&amp;CHAR(10)&amp;CHAR(10)&amp;"إذا رغبت، يمكننا توضيح لماذا هذا الكورس هو الأنسب لكم الآن.")</x:f>
      </x:c>
      <x:c r="N960" s="12" t="str">
        <x:f>IF(D960="","",HYPERLINK("https://wa.me/"&amp;REGEXREPLACE(D960,"[^\d]","")&amp;"?text="&amp;ENCODEURL(M960),"واتساب 2"))</x:f>
      </x:c>
      <x:c r="O960" s="12" t="str">
        <x:f>IF(A960="","","مرحبًا "&amp;C960&amp;CHAR(10)&amp;CHAR(10)&amp;"إذا كانت التحديات لديكم تحتاج حلًا أشمل، فالبرنامج الكامل المناسب لكم هو: "&amp;H960&amp;"."&amp;IF(I960&lt;&gt;"",CHAR(10)&amp;"كما يمكنكم أيضًا حجز: "&amp;I960&amp;".","")&amp;IF(J960&lt;&gt;"",CHAR(10)&amp;CHAR(10)&amp;"رابط التقرير: "&amp;J960,"")&amp;CHAR(10)&amp;CHAR(10)&amp;"يسعدنا مساعدتكم في اختيار المسار الأنسب حسب وضع العيادة الحالي.")</x:f>
      </x:c>
      <x:c r="P960" s="12" t="str">
        <x:f>IF(D960="","",HYPERLINK("https://wa.me/"&amp;REGEXREPLACE(D960,"[^\d]","")&amp;"?text="&amp;ENCODEURL(O960),"واتساب 3"))</x:f>
      </x:c>
    </x:row>
    <x:row r="961" ht="15" hidden="0" customHeight="1">
      <x:c r="A961" s="12" t="str">
        <x:f>IF(Leads!A961="","",Leads!A961)</x:f>
      </x:c>
      <x:c r="B961" s="12" t="str">
        <x:f>IF(Leads!F961="","",Leads!F961)</x:f>
      </x:c>
      <x:c r="C961" s="12" t="str">
        <x:f>IF(Leads!G961="","",Leads!G961)</x:f>
      </x:c>
      <x:c r="D961" s="12" t="str">
        <x:f>IF(Leads!O961="","",Leads!O961)</x:f>
      </x:c>
      <x:c r="E961" s="12" t="str">
        <x:f>IF(Leads!AV961="","",Leads!AV961)</x:f>
      </x:c>
      <x:c r="F961" s="12" t="str">
        <x:f>IF(Leads!AX961="","",Leads!AX961)</x:f>
      </x:c>
      <x:c r="G961" s="12" t="str">
        <x:f>IF(Leads!BC961="","",Leads!BC961)</x:f>
      </x:c>
      <x:c r="H961" s="12" t="str">
        <x:f>IF(Leads!BE961="","",Leads!BE961)</x:f>
      </x:c>
      <x:c r="I961" s="12" t="str">
        <x:f>IF(Leads!BG961="","",Leads!BG961)</x:f>
      </x:c>
      <x:c r="J961" s="12" t="str">
        <x:f>IF(Leads!BH961="","",Leads!BH961)</x:f>
      </x:c>
      <x:c r="K961" s="12" t="str">
        <x:f>IF(A961="","","مرحبًا "&amp;C961&amp;CHAR(10)&amp;CHAR(10)&amp;"شكرًا لإتمام تقييم DBD الخاص بعيادة "&amp;B961&amp;"."&amp;CHAR(10)&amp;"نتيجتكم الحالية: "&amp;E961&amp;"%."&amp;CHAR(10)&amp;"أولوية التحسين الأولى: "&amp;F961&amp;"."&amp;IF(J961&lt;&gt;"",CHAR(10)&amp;CHAR(10)&amp;"رابط التقرير: "&amp;J961,"")&amp;CHAR(10)&amp;CHAR(10)&amp;"إذا أحببت، يمكننا مساعدتك في فهم التقرير وتحديد أفضل خطوة تالية لعيادتكم.")</x:f>
      </x:c>
      <x:c r="L961" s="12" t="str">
        <x:f>IF(D961="","",HYPERLINK("https://wa.me/"&amp;REGEXREPLACE(D961,"[^\d]","")&amp;"?text="&amp;ENCODEURL(K961),"واتساب 1"))</x:f>
      </x:c>
      <x:c r="M961" s="12" t="str">
        <x:f>IF(A961="","","مرحبًا "&amp;C961&amp;CHAR(10)&amp;CHAR(10)&amp;"بناءً على نتيجة تقييم عيادة "&amp;B961&amp;"، فإن الترشيح الأقوى لكم الآن هو: "&amp;G961&amp;"."&amp;CHAR(10)&amp;"هذا الخيار يساعدكم في معالجة أكبر فجوة حالية بشكل عملي ومباشر."&amp;IF(J961&lt;&gt;"",CHAR(10)&amp;CHAR(10)&amp;"رابط التقرير: "&amp;J961,"")&amp;CHAR(10)&amp;CHAR(10)&amp;"إذا رغبت، يمكننا توضيح لماذا هذا الكورس هو الأنسب لكم الآن.")</x:f>
      </x:c>
      <x:c r="N961" s="12" t="str">
        <x:f>IF(D961="","",HYPERLINK("https://wa.me/"&amp;REGEXREPLACE(D961,"[^\d]","")&amp;"?text="&amp;ENCODEURL(M961),"واتساب 2"))</x:f>
      </x:c>
      <x:c r="O961" s="12" t="str">
        <x:f>IF(A961="","","مرحبًا "&amp;C961&amp;CHAR(10)&amp;CHAR(10)&amp;"إذا كانت التحديات لديكم تحتاج حلًا أشمل، فالبرنامج الكامل المناسب لكم هو: "&amp;H961&amp;"."&amp;IF(I961&lt;&gt;"",CHAR(10)&amp;"كما يمكنكم أيضًا حجز: "&amp;I961&amp;".","")&amp;IF(J961&lt;&gt;"",CHAR(10)&amp;CHAR(10)&amp;"رابط التقرير: "&amp;J961,"")&amp;CHAR(10)&amp;CHAR(10)&amp;"يسعدنا مساعدتكم في اختيار المسار الأنسب حسب وضع العيادة الحالي.")</x:f>
      </x:c>
      <x:c r="P961" s="12" t="str">
        <x:f>IF(D961="","",HYPERLINK("https://wa.me/"&amp;REGEXREPLACE(D961,"[^\d]","")&amp;"?text="&amp;ENCODEURL(O961),"واتساب 3"))</x:f>
      </x:c>
    </x:row>
    <x:row r="962" ht="15" hidden="0" customHeight="1">
      <x:c r="A962" s="12" t="str">
        <x:f>IF(Leads!A962="","",Leads!A962)</x:f>
      </x:c>
      <x:c r="B962" s="12" t="str">
        <x:f>IF(Leads!F962="","",Leads!F962)</x:f>
      </x:c>
      <x:c r="C962" s="12" t="str">
        <x:f>IF(Leads!G962="","",Leads!G962)</x:f>
      </x:c>
      <x:c r="D962" s="12" t="str">
        <x:f>IF(Leads!O962="","",Leads!O962)</x:f>
      </x:c>
      <x:c r="E962" s="12" t="str">
        <x:f>IF(Leads!AV962="","",Leads!AV962)</x:f>
      </x:c>
      <x:c r="F962" s="12" t="str">
        <x:f>IF(Leads!AX962="","",Leads!AX962)</x:f>
      </x:c>
      <x:c r="G962" s="12" t="str">
        <x:f>IF(Leads!BC962="","",Leads!BC962)</x:f>
      </x:c>
      <x:c r="H962" s="12" t="str">
        <x:f>IF(Leads!BE962="","",Leads!BE962)</x:f>
      </x:c>
      <x:c r="I962" s="12" t="str">
        <x:f>IF(Leads!BG962="","",Leads!BG962)</x:f>
      </x:c>
      <x:c r="J962" s="12" t="str">
        <x:f>IF(Leads!BH962="","",Leads!BH962)</x:f>
      </x:c>
      <x:c r="K962" s="12" t="str">
        <x:f>IF(A962="","","مرحبًا "&amp;C962&amp;CHAR(10)&amp;CHAR(10)&amp;"شكرًا لإتمام تقييم DBD الخاص بعيادة "&amp;B962&amp;"."&amp;CHAR(10)&amp;"نتيجتكم الحالية: "&amp;E962&amp;"%."&amp;CHAR(10)&amp;"أولوية التحسين الأولى: "&amp;F962&amp;"."&amp;IF(J962&lt;&gt;"",CHAR(10)&amp;CHAR(10)&amp;"رابط التقرير: "&amp;J962,"")&amp;CHAR(10)&amp;CHAR(10)&amp;"إذا أحببت، يمكننا مساعدتك في فهم التقرير وتحديد أفضل خطوة تالية لعيادتكم.")</x:f>
      </x:c>
      <x:c r="L962" s="12" t="str">
        <x:f>IF(D962="","",HYPERLINK("https://wa.me/"&amp;REGEXREPLACE(D962,"[^\d]","")&amp;"?text="&amp;ENCODEURL(K962),"واتساب 1"))</x:f>
      </x:c>
      <x:c r="M962" s="12" t="str">
        <x:f>IF(A962="","","مرحبًا "&amp;C962&amp;CHAR(10)&amp;CHAR(10)&amp;"بناءً على نتيجة تقييم عيادة "&amp;B962&amp;"، فإن الترشيح الأقوى لكم الآن هو: "&amp;G962&amp;"."&amp;CHAR(10)&amp;"هذا الخيار يساعدكم في معالجة أكبر فجوة حالية بشكل عملي ومباشر."&amp;IF(J962&lt;&gt;"",CHAR(10)&amp;CHAR(10)&amp;"رابط التقرير: "&amp;J962,"")&amp;CHAR(10)&amp;CHAR(10)&amp;"إذا رغبت، يمكننا توضيح لماذا هذا الكورس هو الأنسب لكم الآن.")</x:f>
      </x:c>
      <x:c r="N962" s="12" t="str">
        <x:f>IF(D962="","",HYPERLINK("https://wa.me/"&amp;REGEXREPLACE(D962,"[^\d]","")&amp;"?text="&amp;ENCODEURL(M962),"واتساب 2"))</x:f>
      </x:c>
      <x:c r="O962" s="12" t="str">
        <x:f>IF(A962="","","مرحبًا "&amp;C962&amp;CHAR(10)&amp;CHAR(10)&amp;"إذا كانت التحديات لديكم تحتاج حلًا أشمل، فالبرنامج الكامل المناسب لكم هو: "&amp;H962&amp;"."&amp;IF(I962&lt;&gt;"",CHAR(10)&amp;"كما يمكنكم أيضًا حجز: "&amp;I962&amp;".","")&amp;IF(J962&lt;&gt;"",CHAR(10)&amp;CHAR(10)&amp;"رابط التقرير: "&amp;J962,"")&amp;CHAR(10)&amp;CHAR(10)&amp;"يسعدنا مساعدتكم في اختيار المسار الأنسب حسب وضع العيادة الحالي.")</x:f>
      </x:c>
      <x:c r="P962" s="12" t="str">
        <x:f>IF(D962="","",HYPERLINK("https://wa.me/"&amp;REGEXREPLACE(D962,"[^\d]","")&amp;"?text="&amp;ENCODEURL(O962),"واتساب 3"))</x:f>
      </x:c>
    </x:row>
    <x:row r="963" ht="15" hidden="0" customHeight="1">
      <x:c r="A963" s="12" t="str">
        <x:f>IF(Leads!A963="","",Leads!A963)</x:f>
      </x:c>
      <x:c r="B963" s="12" t="str">
        <x:f>IF(Leads!F963="","",Leads!F963)</x:f>
      </x:c>
      <x:c r="C963" s="12" t="str">
        <x:f>IF(Leads!G963="","",Leads!G963)</x:f>
      </x:c>
      <x:c r="D963" s="12" t="str">
        <x:f>IF(Leads!O963="","",Leads!O963)</x:f>
      </x:c>
      <x:c r="E963" s="12" t="str">
        <x:f>IF(Leads!AV963="","",Leads!AV963)</x:f>
      </x:c>
      <x:c r="F963" s="12" t="str">
        <x:f>IF(Leads!AX963="","",Leads!AX963)</x:f>
      </x:c>
      <x:c r="G963" s="12" t="str">
        <x:f>IF(Leads!BC963="","",Leads!BC963)</x:f>
      </x:c>
      <x:c r="H963" s="12" t="str">
        <x:f>IF(Leads!BE963="","",Leads!BE963)</x:f>
      </x:c>
      <x:c r="I963" s="12" t="str">
        <x:f>IF(Leads!BG963="","",Leads!BG963)</x:f>
      </x:c>
      <x:c r="J963" s="12" t="str">
        <x:f>IF(Leads!BH963="","",Leads!BH963)</x:f>
      </x:c>
      <x:c r="K963" s="12" t="str">
        <x:f>IF(A963="","","مرحبًا "&amp;C963&amp;CHAR(10)&amp;CHAR(10)&amp;"شكرًا لإتمام تقييم DBD الخاص بعيادة "&amp;B963&amp;"."&amp;CHAR(10)&amp;"نتيجتكم الحالية: "&amp;E963&amp;"%."&amp;CHAR(10)&amp;"أولوية التحسين الأولى: "&amp;F963&amp;"."&amp;IF(J963&lt;&gt;"",CHAR(10)&amp;CHAR(10)&amp;"رابط التقرير: "&amp;J963,"")&amp;CHAR(10)&amp;CHAR(10)&amp;"إذا أحببت، يمكننا مساعدتك في فهم التقرير وتحديد أفضل خطوة تالية لعيادتكم.")</x:f>
      </x:c>
      <x:c r="L963" s="12" t="str">
        <x:f>IF(D963="","",HYPERLINK("https://wa.me/"&amp;REGEXREPLACE(D963,"[^\d]","")&amp;"?text="&amp;ENCODEURL(K963),"واتساب 1"))</x:f>
      </x:c>
      <x:c r="M963" s="12" t="str">
        <x:f>IF(A963="","","مرحبًا "&amp;C963&amp;CHAR(10)&amp;CHAR(10)&amp;"بناءً على نتيجة تقييم عيادة "&amp;B963&amp;"، فإن الترشيح الأقوى لكم الآن هو: "&amp;G963&amp;"."&amp;CHAR(10)&amp;"هذا الخيار يساعدكم في معالجة أكبر فجوة حالية بشكل عملي ومباشر."&amp;IF(J963&lt;&gt;"",CHAR(10)&amp;CHAR(10)&amp;"رابط التقرير: "&amp;J963,"")&amp;CHAR(10)&amp;CHAR(10)&amp;"إذا رغبت، يمكننا توضيح لماذا هذا الكورس هو الأنسب لكم الآن.")</x:f>
      </x:c>
      <x:c r="N963" s="12" t="str">
        <x:f>IF(D963="","",HYPERLINK("https://wa.me/"&amp;REGEXREPLACE(D963,"[^\d]","")&amp;"?text="&amp;ENCODEURL(M963),"واتساب 2"))</x:f>
      </x:c>
      <x:c r="O963" s="12" t="str">
        <x:f>IF(A963="","","مرحبًا "&amp;C963&amp;CHAR(10)&amp;CHAR(10)&amp;"إذا كانت التحديات لديكم تحتاج حلًا أشمل، فالبرنامج الكامل المناسب لكم هو: "&amp;H963&amp;"."&amp;IF(I963&lt;&gt;"",CHAR(10)&amp;"كما يمكنكم أيضًا حجز: "&amp;I963&amp;".","")&amp;IF(J963&lt;&gt;"",CHAR(10)&amp;CHAR(10)&amp;"رابط التقرير: "&amp;J963,"")&amp;CHAR(10)&amp;CHAR(10)&amp;"يسعدنا مساعدتكم في اختيار المسار الأنسب حسب وضع العيادة الحالي.")</x:f>
      </x:c>
      <x:c r="P963" s="12" t="str">
        <x:f>IF(D963="","",HYPERLINK("https://wa.me/"&amp;REGEXREPLACE(D963,"[^\d]","")&amp;"?text="&amp;ENCODEURL(O963),"واتساب 3"))</x:f>
      </x:c>
    </x:row>
    <x:row r="964" ht="15" hidden="0" customHeight="1">
      <x:c r="A964" s="12" t="str">
        <x:f>IF(Leads!A964="","",Leads!A964)</x:f>
      </x:c>
      <x:c r="B964" s="12" t="str">
        <x:f>IF(Leads!F964="","",Leads!F964)</x:f>
      </x:c>
      <x:c r="C964" s="12" t="str">
        <x:f>IF(Leads!G964="","",Leads!G964)</x:f>
      </x:c>
      <x:c r="D964" s="12" t="str">
        <x:f>IF(Leads!O964="","",Leads!O964)</x:f>
      </x:c>
      <x:c r="E964" s="12" t="str">
        <x:f>IF(Leads!AV964="","",Leads!AV964)</x:f>
      </x:c>
      <x:c r="F964" s="12" t="str">
        <x:f>IF(Leads!AX964="","",Leads!AX964)</x:f>
      </x:c>
      <x:c r="G964" s="12" t="str">
        <x:f>IF(Leads!BC964="","",Leads!BC964)</x:f>
      </x:c>
      <x:c r="H964" s="12" t="str">
        <x:f>IF(Leads!BE964="","",Leads!BE964)</x:f>
      </x:c>
      <x:c r="I964" s="12" t="str">
        <x:f>IF(Leads!BG964="","",Leads!BG964)</x:f>
      </x:c>
      <x:c r="J964" s="12" t="str">
        <x:f>IF(Leads!BH964="","",Leads!BH964)</x:f>
      </x:c>
      <x:c r="K964" s="12" t="str">
        <x:f>IF(A964="","","مرحبًا "&amp;C964&amp;CHAR(10)&amp;CHAR(10)&amp;"شكرًا لإتمام تقييم DBD الخاص بعيادة "&amp;B964&amp;"."&amp;CHAR(10)&amp;"نتيجتكم الحالية: "&amp;E964&amp;"%."&amp;CHAR(10)&amp;"أولوية التحسين الأولى: "&amp;F964&amp;"."&amp;IF(J964&lt;&gt;"",CHAR(10)&amp;CHAR(10)&amp;"رابط التقرير: "&amp;J964,"")&amp;CHAR(10)&amp;CHAR(10)&amp;"إذا أحببت، يمكننا مساعدتك في فهم التقرير وتحديد أفضل خطوة تالية لعيادتكم.")</x:f>
      </x:c>
      <x:c r="L964" s="12" t="str">
        <x:f>IF(D964="","",HYPERLINK("https://wa.me/"&amp;REGEXREPLACE(D964,"[^\d]","")&amp;"?text="&amp;ENCODEURL(K964),"واتساب 1"))</x:f>
      </x:c>
      <x:c r="M964" s="12" t="str">
        <x:f>IF(A964="","","مرحبًا "&amp;C964&amp;CHAR(10)&amp;CHAR(10)&amp;"بناءً على نتيجة تقييم عيادة "&amp;B964&amp;"، فإن الترشيح الأقوى لكم الآن هو: "&amp;G964&amp;"."&amp;CHAR(10)&amp;"هذا الخيار يساعدكم في معالجة أكبر فجوة حالية بشكل عملي ومباشر."&amp;IF(J964&lt;&gt;"",CHAR(10)&amp;CHAR(10)&amp;"رابط التقرير: "&amp;J964,"")&amp;CHAR(10)&amp;CHAR(10)&amp;"إذا رغبت، يمكننا توضيح لماذا هذا الكورس هو الأنسب لكم الآن.")</x:f>
      </x:c>
      <x:c r="N964" s="12" t="str">
        <x:f>IF(D964="","",HYPERLINK("https://wa.me/"&amp;REGEXREPLACE(D964,"[^\d]","")&amp;"?text="&amp;ENCODEURL(M964),"واتساب 2"))</x:f>
      </x:c>
      <x:c r="O964" s="12" t="str">
        <x:f>IF(A964="","","مرحبًا "&amp;C964&amp;CHAR(10)&amp;CHAR(10)&amp;"إذا كانت التحديات لديكم تحتاج حلًا أشمل، فالبرنامج الكامل المناسب لكم هو: "&amp;H964&amp;"."&amp;IF(I964&lt;&gt;"",CHAR(10)&amp;"كما يمكنكم أيضًا حجز: "&amp;I964&amp;".","")&amp;IF(J964&lt;&gt;"",CHAR(10)&amp;CHAR(10)&amp;"رابط التقرير: "&amp;J964,"")&amp;CHAR(10)&amp;CHAR(10)&amp;"يسعدنا مساعدتكم في اختيار المسار الأنسب حسب وضع العيادة الحالي.")</x:f>
      </x:c>
      <x:c r="P964" s="12" t="str">
        <x:f>IF(D964="","",HYPERLINK("https://wa.me/"&amp;REGEXREPLACE(D964,"[^\d]","")&amp;"?text="&amp;ENCODEURL(O964),"واتساب 3"))</x:f>
      </x:c>
    </x:row>
    <x:row r="965" ht="15" hidden="0" customHeight="1">
      <x:c r="A965" s="12" t="str">
        <x:f>IF(Leads!A965="","",Leads!A965)</x:f>
      </x:c>
      <x:c r="B965" s="12" t="str">
        <x:f>IF(Leads!F965="","",Leads!F965)</x:f>
      </x:c>
      <x:c r="C965" s="12" t="str">
        <x:f>IF(Leads!G965="","",Leads!G965)</x:f>
      </x:c>
      <x:c r="D965" s="12" t="str">
        <x:f>IF(Leads!O965="","",Leads!O965)</x:f>
      </x:c>
      <x:c r="E965" s="12" t="str">
        <x:f>IF(Leads!AV965="","",Leads!AV965)</x:f>
      </x:c>
      <x:c r="F965" s="12" t="str">
        <x:f>IF(Leads!AX965="","",Leads!AX965)</x:f>
      </x:c>
      <x:c r="G965" s="12" t="str">
        <x:f>IF(Leads!BC965="","",Leads!BC965)</x:f>
      </x:c>
      <x:c r="H965" s="12" t="str">
        <x:f>IF(Leads!BE965="","",Leads!BE965)</x:f>
      </x:c>
      <x:c r="I965" s="12" t="str">
        <x:f>IF(Leads!BG965="","",Leads!BG965)</x:f>
      </x:c>
      <x:c r="J965" s="12" t="str">
        <x:f>IF(Leads!BH965="","",Leads!BH965)</x:f>
      </x:c>
      <x:c r="K965" s="12" t="str">
        <x:f>IF(A965="","","مرحبًا "&amp;C965&amp;CHAR(10)&amp;CHAR(10)&amp;"شكرًا لإتمام تقييم DBD الخاص بعيادة "&amp;B965&amp;"."&amp;CHAR(10)&amp;"نتيجتكم الحالية: "&amp;E965&amp;"%."&amp;CHAR(10)&amp;"أولوية التحسين الأولى: "&amp;F965&amp;"."&amp;IF(J965&lt;&gt;"",CHAR(10)&amp;CHAR(10)&amp;"رابط التقرير: "&amp;J965,"")&amp;CHAR(10)&amp;CHAR(10)&amp;"إذا أحببت، يمكننا مساعدتك في فهم التقرير وتحديد أفضل خطوة تالية لعيادتكم.")</x:f>
      </x:c>
      <x:c r="L965" s="12" t="str">
        <x:f>IF(D965="","",HYPERLINK("https://wa.me/"&amp;REGEXREPLACE(D965,"[^\d]","")&amp;"?text="&amp;ENCODEURL(K965),"واتساب 1"))</x:f>
      </x:c>
      <x:c r="M965" s="12" t="str">
        <x:f>IF(A965="","","مرحبًا "&amp;C965&amp;CHAR(10)&amp;CHAR(10)&amp;"بناءً على نتيجة تقييم عيادة "&amp;B965&amp;"، فإن الترشيح الأقوى لكم الآن هو: "&amp;G965&amp;"."&amp;CHAR(10)&amp;"هذا الخيار يساعدكم في معالجة أكبر فجوة حالية بشكل عملي ومباشر."&amp;IF(J965&lt;&gt;"",CHAR(10)&amp;CHAR(10)&amp;"رابط التقرير: "&amp;J965,"")&amp;CHAR(10)&amp;CHAR(10)&amp;"إذا رغبت، يمكننا توضيح لماذا هذا الكورس هو الأنسب لكم الآن.")</x:f>
      </x:c>
      <x:c r="N965" s="12" t="str">
        <x:f>IF(D965="","",HYPERLINK("https://wa.me/"&amp;REGEXREPLACE(D965,"[^\d]","")&amp;"?text="&amp;ENCODEURL(M965),"واتساب 2"))</x:f>
      </x:c>
      <x:c r="O965" s="12" t="str">
        <x:f>IF(A965="","","مرحبًا "&amp;C965&amp;CHAR(10)&amp;CHAR(10)&amp;"إذا كانت التحديات لديكم تحتاج حلًا أشمل، فالبرنامج الكامل المناسب لكم هو: "&amp;H965&amp;"."&amp;IF(I965&lt;&gt;"",CHAR(10)&amp;"كما يمكنكم أيضًا حجز: "&amp;I965&amp;".","")&amp;IF(J965&lt;&gt;"",CHAR(10)&amp;CHAR(10)&amp;"رابط التقرير: "&amp;J965,"")&amp;CHAR(10)&amp;CHAR(10)&amp;"يسعدنا مساعدتكم في اختيار المسار الأنسب حسب وضع العيادة الحالي.")</x:f>
      </x:c>
      <x:c r="P965" s="12" t="str">
        <x:f>IF(D965="","",HYPERLINK("https://wa.me/"&amp;REGEXREPLACE(D965,"[^\d]","")&amp;"?text="&amp;ENCODEURL(O965),"واتساب 3"))</x:f>
      </x:c>
    </x:row>
    <x:row r="966" ht="15" hidden="0" customHeight="1">
      <x:c r="A966" s="12" t="str">
        <x:f>IF(Leads!A966="","",Leads!A966)</x:f>
      </x:c>
      <x:c r="B966" s="12" t="str">
        <x:f>IF(Leads!F966="","",Leads!F966)</x:f>
      </x:c>
      <x:c r="C966" s="12" t="str">
        <x:f>IF(Leads!G966="","",Leads!G966)</x:f>
      </x:c>
      <x:c r="D966" s="12" t="str">
        <x:f>IF(Leads!O966="","",Leads!O966)</x:f>
      </x:c>
      <x:c r="E966" s="12" t="str">
        <x:f>IF(Leads!AV966="","",Leads!AV966)</x:f>
      </x:c>
      <x:c r="F966" s="12" t="str">
        <x:f>IF(Leads!AX966="","",Leads!AX966)</x:f>
      </x:c>
      <x:c r="G966" s="12" t="str">
        <x:f>IF(Leads!BC966="","",Leads!BC966)</x:f>
      </x:c>
      <x:c r="H966" s="12" t="str">
        <x:f>IF(Leads!BE966="","",Leads!BE966)</x:f>
      </x:c>
      <x:c r="I966" s="12" t="str">
        <x:f>IF(Leads!BG966="","",Leads!BG966)</x:f>
      </x:c>
      <x:c r="J966" s="12" t="str">
        <x:f>IF(Leads!BH966="","",Leads!BH966)</x:f>
      </x:c>
      <x:c r="K966" s="12" t="str">
        <x:f>IF(A966="","","مرحبًا "&amp;C966&amp;CHAR(10)&amp;CHAR(10)&amp;"شكرًا لإتمام تقييم DBD الخاص بعيادة "&amp;B966&amp;"."&amp;CHAR(10)&amp;"نتيجتكم الحالية: "&amp;E966&amp;"%."&amp;CHAR(10)&amp;"أولوية التحسين الأولى: "&amp;F966&amp;"."&amp;IF(J966&lt;&gt;"",CHAR(10)&amp;CHAR(10)&amp;"رابط التقرير: "&amp;J966,"")&amp;CHAR(10)&amp;CHAR(10)&amp;"إذا أحببت، يمكننا مساعدتك في فهم التقرير وتحديد أفضل خطوة تالية لعيادتكم.")</x:f>
      </x:c>
      <x:c r="L966" s="12" t="str">
        <x:f>IF(D966="","",HYPERLINK("https://wa.me/"&amp;REGEXREPLACE(D966,"[^\d]","")&amp;"?text="&amp;ENCODEURL(K966),"واتساب 1"))</x:f>
      </x:c>
      <x:c r="M966" s="12" t="str">
        <x:f>IF(A966="","","مرحبًا "&amp;C966&amp;CHAR(10)&amp;CHAR(10)&amp;"بناءً على نتيجة تقييم عيادة "&amp;B966&amp;"، فإن الترشيح الأقوى لكم الآن هو: "&amp;G966&amp;"."&amp;CHAR(10)&amp;"هذا الخيار يساعدكم في معالجة أكبر فجوة حالية بشكل عملي ومباشر."&amp;IF(J966&lt;&gt;"",CHAR(10)&amp;CHAR(10)&amp;"رابط التقرير: "&amp;J966,"")&amp;CHAR(10)&amp;CHAR(10)&amp;"إذا رغبت، يمكننا توضيح لماذا هذا الكورس هو الأنسب لكم الآن.")</x:f>
      </x:c>
      <x:c r="N966" s="12" t="str">
        <x:f>IF(D966="","",HYPERLINK("https://wa.me/"&amp;REGEXREPLACE(D966,"[^\d]","")&amp;"?text="&amp;ENCODEURL(M966),"واتساب 2"))</x:f>
      </x:c>
      <x:c r="O966" s="12" t="str">
        <x:f>IF(A966="","","مرحبًا "&amp;C966&amp;CHAR(10)&amp;CHAR(10)&amp;"إذا كانت التحديات لديكم تحتاج حلًا أشمل، فالبرنامج الكامل المناسب لكم هو: "&amp;H966&amp;"."&amp;IF(I966&lt;&gt;"",CHAR(10)&amp;"كما يمكنكم أيضًا حجز: "&amp;I966&amp;".","")&amp;IF(J966&lt;&gt;"",CHAR(10)&amp;CHAR(10)&amp;"رابط التقرير: "&amp;J966,"")&amp;CHAR(10)&amp;CHAR(10)&amp;"يسعدنا مساعدتكم في اختيار المسار الأنسب حسب وضع العيادة الحالي.")</x:f>
      </x:c>
      <x:c r="P966" s="12" t="str">
        <x:f>IF(D966="","",HYPERLINK("https://wa.me/"&amp;REGEXREPLACE(D966,"[^\d]","")&amp;"?text="&amp;ENCODEURL(O966),"واتساب 3"))</x:f>
      </x:c>
    </x:row>
    <x:row r="967" ht="15" hidden="0" customHeight="1">
      <x:c r="A967" s="12" t="str">
        <x:f>IF(Leads!A967="","",Leads!A967)</x:f>
      </x:c>
      <x:c r="B967" s="12" t="str">
        <x:f>IF(Leads!F967="","",Leads!F967)</x:f>
      </x:c>
      <x:c r="C967" s="12" t="str">
        <x:f>IF(Leads!G967="","",Leads!G967)</x:f>
      </x:c>
      <x:c r="D967" s="12" t="str">
        <x:f>IF(Leads!O967="","",Leads!O967)</x:f>
      </x:c>
      <x:c r="E967" s="12" t="str">
        <x:f>IF(Leads!AV967="","",Leads!AV967)</x:f>
      </x:c>
      <x:c r="F967" s="12" t="str">
        <x:f>IF(Leads!AX967="","",Leads!AX967)</x:f>
      </x:c>
      <x:c r="G967" s="12" t="str">
        <x:f>IF(Leads!BC967="","",Leads!BC967)</x:f>
      </x:c>
      <x:c r="H967" s="12" t="str">
        <x:f>IF(Leads!BE967="","",Leads!BE967)</x:f>
      </x:c>
      <x:c r="I967" s="12" t="str">
        <x:f>IF(Leads!BG967="","",Leads!BG967)</x:f>
      </x:c>
      <x:c r="J967" s="12" t="str">
        <x:f>IF(Leads!BH967="","",Leads!BH967)</x:f>
      </x:c>
      <x:c r="K967" s="12" t="str">
        <x:f>IF(A967="","","مرحبًا "&amp;C967&amp;CHAR(10)&amp;CHAR(10)&amp;"شكرًا لإتمام تقييم DBD الخاص بعيادة "&amp;B967&amp;"."&amp;CHAR(10)&amp;"نتيجتكم الحالية: "&amp;E967&amp;"%."&amp;CHAR(10)&amp;"أولوية التحسين الأولى: "&amp;F967&amp;"."&amp;IF(J967&lt;&gt;"",CHAR(10)&amp;CHAR(10)&amp;"رابط التقرير: "&amp;J967,"")&amp;CHAR(10)&amp;CHAR(10)&amp;"إذا أحببت، يمكننا مساعدتك في فهم التقرير وتحديد أفضل خطوة تالية لعيادتكم.")</x:f>
      </x:c>
      <x:c r="L967" s="12" t="str">
        <x:f>IF(D967="","",HYPERLINK("https://wa.me/"&amp;REGEXREPLACE(D967,"[^\d]","")&amp;"?text="&amp;ENCODEURL(K967),"واتساب 1"))</x:f>
      </x:c>
      <x:c r="M967" s="12" t="str">
        <x:f>IF(A967="","","مرحبًا "&amp;C967&amp;CHAR(10)&amp;CHAR(10)&amp;"بناءً على نتيجة تقييم عيادة "&amp;B967&amp;"، فإن الترشيح الأقوى لكم الآن هو: "&amp;G967&amp;"."&amp;CHAR(10)&amp;"هذا الخيار يساعدكم في معالجة أكبر فجوة حالية بشكل عملي ومباشر."&amp;IF(J967&lt;&gt;"",CHAR(10)&amp;CHAR(10)&amp;"رابط التقرير: "&amp;J967,"")&amp;CHAR(10)&amp;CHAR(10)&amp;"إذا رغبت، يمكننا توضيح لماذا هذا الكورس هو الأنسب لكم الآن.")</x:f>
      </x:c>
      <x:c r="N967" s="12" t="str">
        <x:f>IF(D967="","",HYPERLINK("https://wa.me/"&amp;REGEXREPLACE(D967,"[^\d]","")&amp;"?text="&amp;ENCODEURL(M967),"واتساب 2"))</x:f>
      </x:c>
      <x:c r="O967" s="12" t="str">
        <x:f>IF(A967="","","مرحبًا "&amp;C967&amp;CHAR(10)&amp;CHAR(10)&amp;"إذا كانت التحديات لديكم تحتاج حلًا أشمل، فالبرنامج الكامل المناسب لكم هو: "&amp;H967&amp;"."&amp;IF(I967&lt;&gt;"",CHAR(10)&amp;"كما يمكنكم أيضًا حجز: "&amp;I967&amp;".","")&amp;IF(J967&lt;&gt;"",CHAR(10)&amp;CHAR(10)&amp;"رابط التقرير: "&amp;J967,"")&amp;CHAR(10)&amp;CHAR(10)&amp;"يسعدنا مساعدتكم في اختيار المسار الأنسب حسب وضع العيادة الحالي.")</x:f>
      </x:c>
      <x:c r="P967" s="12" t="str">
        <x:f>IF(D967="","",HYPERLINK("https://wa.me/"&amp;REGEXREPLACE(D967,"[^\d]","")&amp;"?text="&amp;ENCODEURL(O967),"واتساب 3"))</x:f>
      </x:c>
    </x:row>
    <x:row r="968" ht="15" hidden="0" customHeight="1">
      <x:c r="A968" s="12" t="str">
        <x:f>IF(Leads!A968="","",Leads!A968)</x:f>
      </x:c>
      <x:c r="B968" s="12" t="str">
        <x:f>IF(Leads!F968="","",Leads!F968)</x:f>
      </x:c>
      <x:c r="C968" s="12" t="str">
        <x:f>IF(Leads!G968="","",Leads!G968)</x:f>
      </x:c>
      <x:c r="D968" s="12" t="str">
        <x:f>IF(Leads!O968="","",Leads!O968)</x:f>
      </x:c>
      <x:c r="E968" s="12" t="str">
        <x:f>IF(Leads!AV968="","",Leads!AV968)</x:f>
      </x:c>
      <x:c r="F968" s="12" t="str">
        <x:f>IF(Leads!AX968="","",Leads!AX968)</x:f>
      </x:c>
      <x:c r="G968" s="12" t="str">
        <x:f>IF(Leads!BC968="","",Leads!BC968)</x:f>
      </x:c>
      <x:c r="H968" s="12" t="str">
        <x:f>IF(Leads!BE968="","",Leads!BE968)</x:f>
      </x:c>
      <x:c r="I968" s="12" t="str">
        <x:f>IF(Leads!BG968="","",Leads!BG968)</x:f>
      </x:c>
      <x:c r="J968" s="12" t="str">
        <x:f>IF(Leads!BH968="","",Leads!BH968)</x:f>
      </x:c>
      <x:c r="K968" s="12" t="str">
        <x:f>IF(A968="","","مرحبًا "&amp;C968&amp;CHAR(10)&amp;CHAR(10)&amp;"شكرًا لإتمام تقييم DBD الخاص بعيادة "&amp;B968&amp;"."&amp;CHAR(10)&amp;"نتيجتكم الحالية: "&amp;E968&amp;"%."&amp;CHAR(10)&amp;"أولوية التحسين الأولى: "&amp;F968&amp;"."&amp;IF(J968&lt;&gt;"",CHAR(10)&amp;CHAR(10)&amp;"رابط التقرير: "&amp;J968,"")&amp;CHAR(10)&amp;CHAR(10)&amp;"إذا أحببت، يمكننا مساعدتك في فهم التقرير وتحديد أفضل خطوة تالية لعيادتكم.")</x:f>
      </x:c>
      <x:c r="L968" s="12" t="str">
        <x:f>IF(D968="","",HYPERLINK("https://wa.me/"&amp;REGEXREPLACE(D968,"[^\d]","")&amp;"?text="&amp;ENCODEURL(K968),"واتساب 1"))</x:f>
      </x:c>
      <x:c r="M968" s="12" t="str">
        <x:f>IF(A968="","","مرحبًا "&amp;C968&amp;CHAR(10)&amp;CHAR(10)&amp;"بناءً على نتيجة تقييم عيادة "&amp;B968&amp;"، فإن الترشيح الأقوى لكم الآن هو: "&amp;G968&amp;"."&amp;CHAR(10)&amp;"هذا الخيار يساعدكم في معالجة أكبر فجوة حالية بشكل عملي ومباشر."&amp;IF(J968&lt;&gt;"",CHAR(10)&amp;CHAR(10)&amp;"رابط التقرير: "&amp;J968,"")&amp;CHAR(10)&amp;CHAR(10)&amp;"إذا رغبت، يمكننا توضيح لماذا هذا الكورس هو الأنسب لكم الآن.")</x:f>
      </x:c>
      <x:c r="N968" s="12" t="str">
        <x:f>IF(D968="","",HYPERLINK("https://wa.me/"&amp;REGEXREPLACE(D968,"[^\d]","")&amp;"?text="&amp;ENCODEURL(M968),"واتساب 2"))</x:f>
      </x:c>
      <x:c r="O968" s="12" t="str">
        <x:f>IF(A968="","","مرحبًا "&amp;C968&amp;CHAR(10)&amp;CHAR(10)&amp;"إذا كانت التحديات لديكم تحتاج حلًا أشمل، فالبرنامج الكامل المناسب لكم هو: "&amp;H968&amp;"."&amp;IF(I968&lt;&gt;"",CHAR(10)&amp;"كما يمكنكم أيضًا حجز: "&amp;I968&amp;".","")&amp;IF(J968&lt;&gt;"",CHAR(10)&amp;CHAR(10)&amp;"رابط التقرير: "&amp;J968,"")&amp;CHAR(10)&amp;CHAR(10)&amp;"يسعدنا مساعدتكم في اختيار المسار الأنسب حسب وضع العيادة الحالي.")</x:f>
      </x:c>
      <x:c r="P968" s="12" t="str">
        <x:f>IF(D968="","",HYPERLINK("https://wa.me/"&amp;REGEXREPLACE(D968,"[^\d]","")&amp;"?text="&amp;ENCODEURL(O968),"واتساب 3"))</x:f>
      </x:c>
    </x:row>
    <x:row r="969" ht="15" hidden="0" customHeight="1">
      <x:c r="A969" s="12" t="str">
        <x:f>IF(Leads!A969="","",Leads!A969)</x:f>
      </x:c>
      <x:c r="B969" s="12" t="str">
        <x:f>IF(Leads!F969="","",Leads!F969)</x:f>
      </x:c>
      <x:c r="C969" s="12" t="str">
        <x:f>IF(Leads!G969="","",Leads!G969)</x:f>
      </x:c>
      <x:c r="D969" s="12" t="str">
        <x:f>IF(Leads!O969="","",Leads!O969)</x:f>
      </x:c>
      <x:c r="E969" s="12" t="str">
        <x:f>IF(Leads!AV969="","",Leads!AV969)</x:f>
      </x:c>
      <x:c r="F969" s="12" t="str">
        <x:f>IF(Leads!AX969="","",Leads!AX969)</x:f>
      </x:c>
      <x:c r="G969" s="12" t="str">
        <x:f>IF(Leads!BC969="","",Leads!BC969)</x:f>
      </x:c>
      <x:c r="H969" s="12" t="str">
        <x:f>IF(Leads!BE969="","",Leads!BE969)</x:f>
      </x:c>
      <x:c r="I969" s="12" t="str">
        <x:f>IF(Leads!BG969="","",Leads!BG969)</x:f>
      </x:c>
      <x:c r="J969" s="12" t="str">
        <x:f>IF(Leads!BH969="","",Leads!BH969)</x:f>
      </x:c>
      <x:c r="K969" s="12" t="str">
        <x:f>IF(A969="","","مرحبًا "&amp;C969&amp;CHAR(10)&amp;CHAR(10)&amp;"شكرًا لإتمام تقييم DBD الخاص بعيادة "&amp;B969&amp;"."&amp;CHAR(10)&amp;"نتيجتكم الحالية: "&amp;E969&amp;"%."&amp;CHAR(10)&amp;"أولوية التحسين الأولى: "&amp;F969&amp;"."&amp;IF(J969&lt;&gt;"",CHAR(10)&amp;CHAR(10)&amp;"رابط التقرير: "&amp;J969,"")&amp;CHAR(10)&amp;CHAR(10)&amp;"إذا أحببت، يمكننا مساعدتك في فهم التقرير وتحديد أفضل خطوة تالية لعيادتكم.")</x:f>
      </x:c>
      <x:c r="L969" s="12" t="str">
        <x:f>IF(D969="","",HYPERLINK("https://wa.me/"&amp;REGEXREPLACE(D969,"[^\d]","")&amp;"?text="&amp;ENCODEURL(K969),"واتساب 1"))</x:f>
      </x:c>
      <x:c r="M969" s="12" t="str">
        <x:f>IF(A969="","","مرحبًا "&amp;C969&amp;CHAR(10)&amp;CHAR(10)&amp;"بناءً على نتيجة تقييم عيادة "&amp;B969&amp;"، فإن الترشيح الأقوى لكم الآن هو: "&amp;G969&amp;"."&amp;CHAR(10)&amp;"هذا الخيار يساعدكم في معالجة أكبر فجوة حالية بشكل عملي ومباشر."&amp;IF(J969&lt;&gt;"",CHAR(10)&amp;CHAR(10)&amp;"رابط التقرير: "&amp;J969,"")&amp;CHAR(10)&amp;CHAR(10)&amp;"إذا رغبت، يمكننا توضيح لماذا هذا الكورس هو الأنسب لكم الآن.")</x:f>
      </x:c>
      <x:c r="N969" s="12" t="str">
        <x:f>IF(D969="","",HYPERLINK("https://wa.me/"&amp;REGEXREPLACE(D969,"[^\d]","")&amp;"?text="&amp;ENCODEURL(M969),"واتساب 2"))</x:f>
      </x:c>
      <x:c r="O969" s="12" t="str">
        <x:f>IF(A969="","","مرحبًا "&amp;C969&amp;CHAR(10)&amp;CHAR(10)&amp;"إذا كانت التحديات لديكم تحتاج حلًا أشمل، فالبرنامج الكامل المناسب لكم هو: "&amp;H969&amp;"."&amp;IF(I969&lt;&gt;"",CHAR(10)&amp;"كما يمكنكم أيضًا حجز: "&amp;I969&amp;".","")&amp;IF(J969&lt;&gt;"",CHAR(10)&amp;CHAR(10)&amp;"رابط التقرير: "&amp;J969,"")&amp;CHAR(10)&amp;CHAR(10)&amp;"يسعدنا مساعدتكم في اختيار المسار الأنسب حسب وضع العيادة الحالي.")</x:f>
      </x:c>
      <x:c r="P969" s="12" t="str">
        <x:f>IF(D969="","",HYPERLINK("https://wa.me/"&amp;REGEXREPLACE(D969,"[^\d]","")&amp;"?text="&amp;ENCODEURL(O969),"واتساب 3"))</x:f>
      </x:c>
    </x:row>
    <x:row r="970" ht="15" hidden="0" customHeight="1">
      <x:c r="A970" s="12" t="str">
        <x:f>IF(Leads!A970="","",Leads!A970)</x:f>
      </x:c>
      <x:c r="B970" s="12" t="str">
        <x:f>IF(Leads!F970="","",Leads!F970)</x:f>
      </x:c>
      <x:c r="C970" s="12" t="str">
        <x:f>IF(Leads!G970="","",Leads!G970)</x:f>
      </x:c>
      <x:c r="D970" s="12" t="str">
        <x:f>IF(Leads!O970="","",Leads!O970)</x:f>
      </x:c>
      <x:c r="E970" s="12" t="str">
        <x:f>IF(Leads!AV970="","",Leads!AV970)</x:f>
      </x:c>
      <x:c r="F970" s="12" t="str">
        <x:f>IF(Leads!AX970="","",Leads!AX970)</x:f>
      </x:c>
      <x:c r="G970" s="12" t="str">
        <x:f>IF(Leads!BC970="","",Leads!BC970)</x:f>
      </x:c>
      <x:c r="H970" s="12" t="str">
        <x:f>IF(Leads!BE970="","",Leads!BE970)</x:f>
      </x:c>
      <x:c r="I970" s="12" t="str">
        <x:f>IF(Leads!BG970="","",Leads!BG970)</x:f>
      </x:c>
      <x:c r="J970" s="12" t="str">
        <x:f>IF(Leads!BH970="","",Leads!BH970)</x:f>
      </x:c>
      <x:c r="K970" s="12" t="str">
        <x:f>IF(A970="","","مرحبًا "&amp;C970&amp;CHAR(10)&amp;CHAR(10)&amp;"شكرًا لإتمام تقييم DBD الخاص بعيادة "&amp;B970&amp;"."&amp;CHAR(10)&amp;"نتيجتكم الحالية: "&amp;E970&amp;"%."&amp;CHAR(10)&amp;"أولوية التحسين الأولى: "&amp;F970&amp;"."&amp;IF(J970&lt;&gt;"",CHAR(10)&amp;CHAR(10)&amp;"رابط التقرير: "&amp;J970,"")&amp;CHAR(10)&amp;CHAR(10)&amp;"إذا أحببت، يمكننا مساعدتك في فهم التقرير وتحديد أفضل خطوة تالية لعيادتكم.")</x:f>
      </x:c>
      <x:c r="L970" s="12" t="str">
        <x:f>IF(D970="","",HYPERLINK("https://wa.me/"&amp;REGEXREPLACE(D970,"[^\d]","")&amp;"?text="&amp;ENCODEURL(K970),"واتساب 1"))</x:f>
      </x:c>
      <x:c r="M970" s="12" t="str">
        <x:f>IF(A970="","","مرحبًا "&amp;C970&amp;CHAR(10)&amp;CHAR(10)&amp;"بناءً على نتيجة تقييم عيادة "&amp;B970&amp;"، فإن الترشيح الأقوى لكم الآن هو: "&amp;G970&amp;"."&amp;CHAR(10)&amp;"هذا الخيار يساعدكم في معالجة أكبر فجوة حالية بشكل عملي ومباشر."&amp;IF(J970&lt;&gt;"",CHAR(10)&amp;CHAR(10)&amp;"رابط التقرير: "&amp;J970,"")&amp;CHAR(10)&amp;CHAR(10)&amp;"إذا رغبت، يمكننا توضيح لماذا هذا الكورس هو الأنسب لكم الآن.")</x:f>
      </x:c>
      <x:c r="N970" s="12" t="str">
        <x:f>IF(D970="","",HYPERLINK("https://wa.me/"&amp;REGEXREPLACE(D970,"[^\d]","")&amp;"?text="&amp;ENCODEURL(M970),"واتساب 2"))</x:f>
      </x:c>
      <x:c r="O970" s="12" t="str">
        <x:f>IF(A970="","","مرحبًا "&amp;C970&amp;CHAR(10)&amp;CHAR(10)&amp;"إذا كانت التحديات لديكم تحتاج حلًا أشمل، فالبرنامج الكامل المناسب لكم هو: "&amp;H970&amp;"."&amp;IF(I970&lt;&gt;"",CHAR(10)&amp;"كما يمكنكم أيضًا حجز: "&amp;I970&amp;".","")&amp;IF(J970&lt;&gt;"",CHAR(10)&amp;CHAR(10)&amp;"رابط التقرير: "&amp;J970,"")&amp;CHAR(10)&amp;CHAR(10)&amp;"يسعدنا مساعدتكم في اختيار المسار الأنسب حسب وضع العيادة الحالي.")</x:f>
      </x:c>
      <x:c r="P970" s="12" t="str">
        <x:f>IF(D970="","",HYPERLINK("https://wa.me/"&amp;REGEXREPLACE(D970,"[^\d]","")&amp;"?text="&amp;ENCODEURL(O970),"واتساب 3"))</x:f>
      </x:c>
    </x:row>
    <x:row r="971" ht="15" hidden="0" customHeight="1">
      <x:c r="A971" s="12" t="str">
        <x:f>IF(Leads!A971="","",Leads!A971)</x:f>
      </x:c>
      <x:c r="B971" s="12" t="str">
        <x:f>IF(Leads!F971="","",Leads!F971)</x:f>
      </x:c>
      <x:c r="C971" s="12" t="str">
        <x:f>IF(Leads!G971="","",Leads!G971)</x:f>
      </x:c>
      <x:c r="D971" s="12" t="str">
        <x:f>IF(Leads!O971="","",Leads!O971)</x:f>
      </x:c>
      <x:c r="E971" s="12" t="str">
        <x:f>IF(Leads!AV971="","",Leads!AV971)</x:f>
      </x:c>
      <x:c r="F971" s="12" t="str">
        <x:f>IF(Leads!AX971="","",Leads!AX971)</x:f>
      </x:c>
      <x:c r="G971" s="12" t="str">
        <x:f>IF(Leads!BC971="","",Leads!BC971)</x:f>
      </x:c>
      <x:c r="H971" s="12" t="str">
        <x:f>IF(Leads!BE971="","",Leads!BE971)</x:f>
      </x:c>
      <x:c r="I971" s="12" t="str">
        <x:f>IF(Leads!BG971="","",Leads!BG971)</x:f>
      </x:c>
      <x:c r="J971" s="12" t="str">
        <x:f>IF(Leads!BH971="","",Leads!BH971)</x:f>
      </x:c>
      <x:c r="K971" s="12" t="str">
        <x:f>IF(A971="","","مرحبًا "&amp;C971&amp;CHAR(10)&amp;CHAR(10)&amp;"شكرًا لإتمام تقييم DBD الخاص بعيادة "&amp;B971&amp;"."&amp;CHAR(10)&amp;"نتيجتكم الحالية: "&amp;E971&amp;"%."&amp;CHAR(10)&amp;"أولوية التحسين الأولى: "&amp;F971&amp;"."&amp;IF(J971&lt;&gt;"",CHAR(10)&amp;CHAR(10)&amp;"رابط التقرير: "&amp;J971,"")&amp;CHAR(10)&amp;CHAR(10)&amp;"إذا أحببت، يمكننا مساعدتك في فهم التقرير وتحديد أفضل خطوة تالية لعيادتكم.")</x:f>
      </x:c>
      <x:c r="L971" s="12" t="str">
        <x:f>IF(D971="","",HYPERLINK("https://wa.me/"&amp;REGEXREPLACE(D971,"[^\d]","")&amp;"?text="&amp;ENCODEURL(K971),"واتساب 1"))</x:f>
      </x:c>
      <x:c r="M971" s="12" t="str">
        <x:f>IF(A971="","","مرحبًا "&amp;C971&amp;CHAR(10)&amp;CHAR(10)&amp;"بناءً على نتيجة تقييم عيادة "&amp;B971&amp;"، فإن الترشيح الأقوى لكم الآن هو: "&amp;G971&amp;"."&amp;CHAR(10)&amp;"هذا الخيار يساعدكم في معالجة أكبر فجوة حالية بشكل عملي ومباشر."&amp;IF(J971&lt;&gt;"",CHAR(10)&amp;CHAR(10)&amp;"رابط التقرير: "&amp;J971,"")&amp;CHAR(10)&amp;CHAR(10)&amp;"إذا رغبت، يمكننا توضيح لماذا هذا الكورس هو الأنسب لكم الآن.")</x:f>
      </x:c>
      <x:c r="N971" s="12" t="str">
        <x:f>IF(D971="","",HYPERLINK("https://wa.me/"&amp;REGEXREPLACE(D971,"[^\d]","")&amp;"?text="&amp;ENCODEURL(M971),"واتساب 2"))</x:f>
      </x:c>
      <x:c r="O971" s="12" t="str">
        <x:f>IF(A971="","","مرحبًا "&amp;C971&amp;CHAR(10)&amp;CHAR(10)&amp;"إذا كانت التحديات لديكم تحتاج حلًا أشمل، فالبرنامج الكامل المناسب لكم هو: "&amp;H971&amp;"."&amp;IF(I971&lt;&gt;"",CHAR(10)&amp;"كما يمكنكم أيضًا حجز: "&amp;I971&amp;".","")&amp;IF(J971&lt;&gt;"",CHAR(10)&amp;CHAR(10)&amp;"رابط التقرير: "&amp;J971,"")&amp;CHAR(10)&amp;CHAR(10)&amp;"يسعدنا مساعدتكم في اختيار المسار الأنسب حسب وضع العيادة الحالي.")</x:f>
      </x:c>
      <x:c r="P971" s="12" t="str">
        <x:f>IF(D971="","",HYPERLINK("https://wa.me/"&amp;REGEXREPLACE(D971,"[^\d]","")&amp;"?text="&amp;ENCODEURL(O971),"واتساب 3"))</x:f>
      </x:c>
    </x:row>
    <x:row r="972" ht="15" hidden="0" customHeight="1">
      <x:c r="A972" s="12" t="str">
        <x:f>IF(Leads!A972="","",Leads!A972)</x:f>
      </x:c>
      <x:c r="B972" s="12" t="str">
        <x:f>IF(Leads!F972="","",Leads!F972)</x:f>
      </x:c>
      <x:c r="C972" s="12" t="str">
        <x:f>IF(Leads!G972="","",Leads!G972)</x:f>
      </x:c>
      <x:c r="D972" s="12" t="str">
        <x:f>IF(Leads!O972="","",Leads!O972)</x:f>
      </x:c>
      <x:c r="E972" s="12" t="str">
        <x:f>IF(Leads!AV972="","",Leads!AV972)</x:f>
      </x:c>
      <x:c r="F972" s="12" t="str">
        <x:f>IF(Leads!AX972="","",Leads!AX972)</x:f>
      </x:c>
      <x:c r="G972" s="12" t="str">
        <x:f>IF(Leads!BC972="","",Leads!BC972)</x:f>
      </x:c>
      <x:c r="H972" s="12" t="str">
        <x:f>IF(Leads!BE972="","",Leads!BE972)</x:f>
      </x:c>
      <x:c r="I972" s="12" t="str">
        <x:f>IF(Leads!BG972="","",Leads!BG972)</x:f>
      </x:c>
      <x:c r="J972" s="12" t="str">
        <x:f>IF(Leads!BH972="","",Leads!BH972)</x:f>
      </x:c>
      <x:c r="K972" s="12" t="str">
        <x:f>IF(A972="","","مرحبًا "&amp;C972&amp;CHAR(10)&amp;CHAR(10)&amp;"شكرًا لإتمام تقييم DBD الخاص بعيادة "&amp;B972&amp;"."&amp;CHAR(10)&amp;"نتيجتكم الحالية: "&amp;E972&amp;"%."&amp;CHAR(10)&amp;"أولوية التحسين الأولى: "&amp;F972&amp;"."&amp;IF(J972&lt;&gt;"",CHAR(10)&amp;CHAR(10)&amp;"رابط التقرير: "&amp;J972,"")&amp;CHAR(10)&amp;CHAR(10)&amp;"إذا أحببت، يمكننا مساعدتك في فهم التقرير وتحديد أفضل خطوة تالية لعيادتكم.")</x:f>
      </x:c>
      <x:c r="L972" s="12" t="str">
        <x:f>IF(D972="","",HYPERLINK("https://wa.me/"&amp;REGEXREPLACE(D972,"[^\d]","")&amp;"?text="&amp;ENCODEURL(K972),"واتساب 1"))</x:f>
      </x:c>
      <x:c r="M972" s="12" t="str">
        <x:f>IF(A972="","","مرحبًا "&amp;C972&amp;CHAR(10)&amp;CHAR(10)&amp;"بناءً على نتيجة تقييم عيادة "&amp;B972&amp;"، فإن الترشيح الأقوى لكم الآن هو: "&amp;G972&amp;"."&amp;CHAR(10)&amp;"هذا الخيار يساعدكم في معالجة أكبر فجوة حالية بشكل عملي ومباشر."&amp;IF(J972&lt;&gt;"",CHAR(10)&amp;CHAR(10)&amp;"رابط التقرير: "&amp;J972,"")&amp;CHAR(10)&amp;CHAR(10)&amp;"إذا رغبت، يمكننا توضيح لماذا هذا الكورس هو الأنسب لكم الآن.")</x:f>
      </x:c>
      <x:c r="N972" s="12" t="str">
        <x:f>IF(D972="","",HYPERLINK("https://wa.me/"&amp;REGEXREPLACE(D972,"[^\d]","")&amp;"?text="&amp;ENCODEURL(M972),"واتساب 2"))</x:f>
      </x:c>
      <x:c r="O972" s="12" t="str">
        <x:f>IF(A972="","","مرحبًا "&amp;C972&amp;CHAR(10)&amp;CHAR(10)&amp;"إذا كانت التحديات لديكم تحتاج حلًا أشمل، فالبرنامج الكامل المناسب لكم هو: "&amp;H972&amp;"."&amp;IF(I972&lt;&gt;"",CHAR(10)&amp;"كما يمكنكم أيضًا حجز: "&amp;I972&amp;".","")&amp;IF(J972&lt;&gt;"",CHAR(10)&amp;CHAR(10)&amp;"رابط التقرير: "&amp;J972,"")&amp;CHAR(10)&amp;CHAR(10)&amp;"يسعدنا مساعدتكم في اختيار المسار الأنسب حسب وضع العيادة الحالي.")</x:f>
      </x:c>
      <x:c r="P972" s="12" t="str">
        <x:f>IF(D972="","",HYPERLINK("https://wa.me/"&amp;REGEXREPLACE(D972,"[^\d]","")&amp;"?text="&amp;ENCODEURL(O972),"واتساب 3"))</x:f>
      </x:c>
    </x:row>
    <x:row r="973" ht="15" hidden="0" customHeight="1">
      <x:c r="A973" s="12" t="str">
        <x:f>IF(Leads!A973="","",Leads!A973)</x:f>
      </x:c>
      <x:c r="B973" s="12" t="str">
        <x:f>IF(Leads!F973="","",Leads!F973)</x:f>
      </x:c>
      <x:c r="C973" s="12" t="str">
        <x:f>IF(Leads!G973="","",Leads!G973)</x:f>
      </x:c>
      <x:c r="D973" s="12" t="str">
        <x:f>IF(Leads!O973="","",Leads!O973)</x:f>
      </x:c>
      <x:c r="E973" s="12" t="str">
        <x:f>IF(Leads!AV973="","",Leads!AV973)</x:f>
      </x:c>
      <x:c r="F973" s="12" t="str">
        <x:f>IF(Leads!AX973="","",Leads!AX973)</x:f>
      </x:c>
      <x:c r="G973" s="12" t="str">
        <x:f>IF(Leads!BC973="","",Leads!BC973)</x:f>
      </x:c>
      <x:c r="H973" s="12" t="str">
        <x:f>IF(Leads!BE973="","",Leads!BE973)</x:f>
      </x:c>
      <x:c r="I973" s="12" t="str">
        <x:f>IF(Leads!BG973="","",Leads!BG973)</x:f>
      </x:c>
      <x:c r="J973" s="12" t="str">
        <x:f>IF(Leads!BH973="","",Leads!BH973)</x:f>
      </x:c>
      <x:c r="K973" s="12" t="str">
        <x:f>IF(A973="","","مرحبًا "&amp;C973&amp;CHAR(10)&amp;CHAR(10)&amp;"شكرًا لإتمام تقييم DBD الخاص بعيادة "&amp;B973&amp;"."&amp;CHAR(10)&amp;"نتيجتكم الحالية: "&amp;E973&amp;"%."&amp;CHAR(10)&amp;"أولوية التحسين الأولى: "&amp;F973&amp;"."&amp;IF(J973&lt;&gt;"",CHAR(10)&amp;CHAR(10)&amp;"رابط التقرير: "&amp;J973,"")&amp;CHAR(10)&amp;CHAR(10)&amp;"إذا أحببت، يمكننا مساعدتك في فهم التقرير وتحديد أفضل خطوة تالية لعيادتكم.")</x:f>
      </x:c>
      <x:c r="L973" s="12" t="str">
        <x:f>IF(D973="","",HYPERLINK("https://wa.me/"&amp;REGEXREPLACE(D973,"[^\d]","")&amp;"?text="&amp;ENCODEURL(K973),"واتساب 1"))</x:f>
      </x:c>
      <x:c r="M973" s="12" t="str">
        <x:f>IF(A973="","","مرحبًا "&amp;C973&amp;CHAR(10)&amp;CHAR(10)&amp;"بناءً على نتيجة تقييم عيادة "&amp;B973&amp;"، فإن الترشيح الأقوى لكم الآن هو: "&amp;G973&amp;"."&amp;CHAR(10)&amp;"هذا الخيار يساعدكم في معالجة أكبر فجوة حالية بشكل عملي ومباشر."&amp;IF(J973&lt;&gt;"",CHAR(10)&amp;CHAR(10)&amp;"رابط التقرير: "&amp;J973,"")&amp;CHAR(10)&amp;CHAR(10)&amp;"إذا رغبت، يمكننا توضيح لماذا هذا الكورس هو الأنسب لكم الآن.")</x:f>
      </x:c>
      <x:c r="N973" s="12" t="str">
        <x:f>IF(D973="","",HYPERLINK("https://wa.me/"&amp;REGEXREPLACE(D973,"[^\d]","")&amp;"?text="&amp;ENCODEURL(M973),"واتساب 2"))</x:f>
      </x:c>
      <x:c r="O973" s="12" t="str">
        <x:f>IF(A973="","","مرحبًا "&amp;C973&amp;CHAR(10)&amp;CHAR(10)&amp;"إذا كانت التحديات لديكم تحتاج حلًا أشمل، فالبرنامج الكامل المناسب لكم هو: "&amp;H973&amp;"."&amp;IF(I973&lt;&gt;"",CHAR(10)&amp;"كما يمكنكم أيضًا حجز: "&amp;I973&amp;".","")&amp;IF(J973&lt;&gt;"",CHAR(10)&amp;CHAR(10)&amp;"رابط التقرير: "&amp;J973,"")&amp;CHAR(10)&amp;CHAR(10)&amp;"يسعدنا مساعدتكم في اختيار المسار الأنسب حسب وضع العيادة الحالي.")</x:f>
      </x:c>
      <x:c r="P973" s="12" t="str">
        <x:f>IF(D973="","",HYPERLINK("https://wa.me/"&amp;REGEXREPLACE(D973,"[^\d]","")&amp;"?text="&amp;ENCODEURL(O973),"واتساب 3"))</x:f>
      </x:c>
    </x:row>
    <x:row r="974" ht="15" hidden="0" customHeight="1">
      <x:c r="A974" s="12" t="str">
        <x:f>IF(Leads!A974="","",Leads!A974)</x:f>
      </x:c>
      <x:c r="B974" s="12" t="str">
        <x:f>IF(Leads!F974="","",Leads!F974)</x:f>
      </x:c>
      <x:c r="C974" s="12" t="str">
        <x:f>IF(Leads!G974="","",Leads!G974)</x:f>
      </x:c>
      <x:c r="D974" s="12" t="str">
        <x:f>IF(Leads!O974="","",Leads!O974)</x:f>
      </x:c>
      <x:c r="E974" s="12" t="str">
        <x:f>IF(Leads!AV974="","",Leads!AV974)</x:f>
      </x:c>
      <x:c r="F974" s="12" t="str">
        <x:f>IF(Leads!AX974="","",Leads!AX974)</x:f>
      </x:c>
      <x:c r="G974" s="12" t="str">
        <x:f>IF(Leads!BC974="","",Leads!BC974)</x:f>
      </x:c>
      <x:c r="H974" s="12" t="str">
        <x:f>IF(Leads!BE974="","",Leads!BE974)</x:f>
      </x:c>
      <x:c r="I974" s="12" t="str">
        <x:f>IF(Leads!BG974="","",Leads!BG974)</x:f>
      </x:c>
      <x:c r="J974" s="12" t="str">
        <x:f>IF(Leads!BH974="","",Leads!BH974)</x:f>
      </x:c>
      <x:c r="K974" s="12" t="str">
        <x:f>IF(A974="","","مرحبًا "&amp;C974&amp;CHAR(10)&amp;CHAR(10)&amp;"شكرًا لإتمام تقييم DBD الخاص بعيادة "&amp;B974&amp;"."&amp;CHAR(10)&amp;"نتيجتكم الحالية: "&amp;E974&amp;"%."&amp;CHAR(10)&amp;"أولوية التحسين الأولى: "&amp;F974&amp;"."&amp;IF(J974&lt;&gt;"",CHAR(10)&amp;CHAR(10)&amp;"رابط التقرير: "&amp;J974,"")&amp;CHAR(10)&amp;CHAR(10)&amp;"إذا أحببت، يمكننا مساعدتك في فهم التقرير وتحديد أفضل خطوة تالية لعيادتكم.")</x:f>
      </x:c>
      <x:c r="L974" s="12" t="str">
        <x:f>IF(D974="","",HYPERLINK("https://wa.me/"&amp;REGEXREPLACE(D974,"[^\d]","")&amp;"?text="&amp;ENCODEURL(K974),"واتساب 1"))</x:f>
      </x:c>
      <x:c r="M974" s="12" t="str">
        <x:f>IF(A974="","","مرحبًا "&amp;C974&amp;CHAR(10)&amp;CHAR(10)&amp;"بناءً على نتيجة تقييم عيادة "&amp;B974&amp;"، فإن الترشيح الأقوى لكم الآن هو: "&amp;G974&amp;"."&amp;CHAR(10)&amp;"هذا الخيار يساعدكم في معالجة أكبر فجوة حالية بشكل عملي ومباشر."&amp;IF(J974&lt;&gt;"",CHAR(10)&amp;CHAR(10)&amp;"رابط التقرير: "&amp;J974,"")&amp;CHAR(10)&amp;CHAR(10)&amp;"إذا رغبت، يمكننا توضيح لماذا هذا الكورس هو الأنسب لكم الآن.")</x:f>
      </x:c>
      <x:c r="N974" s="12" t="str">
        <x:f>IF(D974="","",HYPERLINK("https://wa.me/"&amp;REGEXREPLACE(D974,"[^\d]","")&amp;"?text="&amp;ENCODEURL(M974),"واتساب 2"))</x:f>
      </x:c>
      <x:c r="O974" s="12" t="str">
        <x:f>IF(A974="","","مرحبًا "&amp;C974&amp;CHAR(10)&amp;CHAR(10)&amp;"إذا كانت التحديات لديكم تحتاج حلًا أشمل، فالبرنامج الكامل المناسب لكم هو: "&amp;H974&amp;"."&amp;IF(I974&lt;&gt;"",CHAR(10)&amp;"كما يمكنكم أيضًا حجز: "&amp;I974&amp;".","")&amp;IF(J974&lt;&gt;"",CHAR(10)&amp;CHAR(10)&amp;"رابط التقرير: "&amp;J974,"")&amp;CHAR(10)&amp;CHAR(10)&amp;"يسعدنا مساعدتكم في اختيار المسار الأنسب حسب وضع العيادة الحالي.")</x:f>
      </x:c>
      <x:c r="P974" s="12" t="str">
        <x:f>IF(D974="","",HYPERLINK("https://wa.me/"&amp;REGEXREPLACE(D974,"[^\d]","")&amp;"?text="&amp;ENCODEURL(O974),"واتساب 3"))</x:f>
      </x:c>
    </x:row>
    <x:row r="975" ht="15" hidden="0" customHeight="1">
      <x:c r="A975" s="12" t="str">
        <x:f>IF(Leads!A975="","",Leads!A975)</x:f>
      </x:c>
      <x:c r="B975" s="12" t="str">
        <x:f>IF(Leads!F975="","",Leads!F975)</x:f>
      </x:c>
      <x:c r="C975" s="12" t="str">
        <x:f>IF(Leads!G975="","",Leads!G975)</x:f>
      </x:c>
      <x:c r="D975" s="12" t="str">
        <x:f>IF(Leads!O975="","",Leads!O975)</x:f>
      </x:c>
      <x:c r="E975" s="12" t="str">
        <x:f>IF(Leads!AV975="","",Leads!AV975)</x:f>
      </x:c>
      <x:c r="F975" s="12" t="str">
        <x:f>IF(Leads!AX975="","",Leads!AX975)</x:f>
      </x:c>
      <x:c r="G975" s="12" t="str">
        <x:f>IF(Leads!BC975="","",Leads!BC975)</x:f>
      </x:c>
      <x:c r="H975" s="12" t="str">
        <x:f>IF(Leads!BE975="","",Leads!BE975)</x:f>
      </x:c>
      <x:c r="I975" s="12" t="str">
        <x:f>IF(Leads!BG975="","",Leads!BG975)</x:f>
      </x:c>
      <x:c r="J975" s="12" t="str">
        <x:f>IF(Leads!BH975="","",Leads!BH975)</x:f>
      </x:c>
      <x:c r="K975" s="12" t="str">
        <x:f>IF(A975="","","مرحبًا "&amp;C975&amp;CHAR(10)&amp;CHAR(10)&amp;"شكرًا لإتمام تقييم DBD الخاص بعيادة "&amp;B975&amp;"."&amp;CHAR(10)&amp;"نتيجتكم الحالية: "&amp;E975&amp;"%."&amp;CHAR(10)&amp;"أولوية التحسين الأولى: "&amp;F975&amp;"."&amp;IF(J975&lt;&gt;"",CHAR(10)&amp;CHAR(10)&amp;"رابط التقرير: "&amp;J975,"")&amp;CHAR(10)&amp;CHAR(10)&amp;"إذا أحببت، يمكننا مساعدتك في فهم التقرير وتحديد أفضل خطوة تالية لعيادتكم.")</x:f>
      </x:c>
      <x:c r="L975" s="12" t="str">
        <x:f>IF(D975="","",HYPERLINK("https://wa.me/"&amp;REGEXREPLACE(D975,"[^\d]","")&amp;"?text="&amp;ENCODEURL(K975),"واتساب 1"))</x:f>
      </x:c>
      <x:c r="M975" s="12" t="str">
        <x:f>IF(A975="","","مرحبًا "&amp;C975&amp;CHAR(10)&amp;CHAR(10)&amp;"بناءً على نتيجة تقييم عيادة "&amp;B975&amp;"، فإن الترشيح الأقوى لكم الآن هو: "&amp;G975&amp;"."&amp;CHAR(10)&amp;"هذا الخيار يساعدكم في معالجة أكبر فجوة حالية بشكل عملي ومباشر."&amp;IF(J975&lt;&gt;"",CHAR(10)&amp;CHAR(10)&amp;"رابط التقرير: "&amp;J975,"")&amp;CHAR(10)&amp;CHAR(10)&amp;"إذا رغبت، يمكننا توضيح لماذا هذا الكورس هو الأنسب لكم الآن.")</x:f>
      </x:c>
      <x:c r="N975" s="12" t="str">
        <x:f>IF(D975="","",HYPERLINK("https://wa.me/"&amp;REGEXREPLACE(D975,"[^\d]","")&amp;"?text="&amp;ENCODEURL(M975),"واتساب 2"))</x:f>
      </x:c>
      <x:c r="O975" s="12" t="str">
        <x:f>IF(A975="","","مرحبًا "&amp;C975&amp;CHAR(10)&amp;CHAR(10)&amp;"إذا كانت التحديات لديكم تحتاج حلًا أشمل، فالبرنامج الكامل المناسب لكم هو: "&amp;H975&amp;"."&amp;IF(I975&lt;&gt;"",CHAR(10)&amp;"كما يمكنكم أيضًا حجز: "&amp;I975&amp;".","")&amp;IF(J975&lt;&gt;"",CHAR(10)&amp;CHAR(10)&amp;"رابط التقرير: "&amp;J975,"")&amp;CHAR(10)&amp;CHAR(10)&amp;"يسعدنا مساعدتكم في اختيار المسار الأنسب حسب وضع العيادة الحالي.")</x:f>
      </x:c>
      <x:c r="P975" s="12" t="str">
        <x:f>IF(D975="","",HYPERLINK("https://wa.me/"&amp;REGEXREPLACE(D975,"[^\d]","")&amp;"?text="&amp;ENCODEURL(O975),"واتساب 3"))</x:f>
      </x:c>
    </x:row>
    <x:row r="976" ht="15" hidden="0" customHeight="1">
      <x:c r="A976" s="12" t="str">
        <x:f>IF(Leads!A976="","",Leads!A976)</x:f>
      </x:c>
      <x:c r="B976" s="12" t="str">
        <x:f>IF(Leads!F976="","",Leads!F976)</x:f>
      </x:c>
      <x:c r="C976" s="12" t="str">
        <x:f>IF(Leads!G976="","",Leads!G976)</x:f>
      </x:c>
      <x:c r="D976" s="12" t="str">
        <x:f>IF(Leads!O976="","",Leads!O976)</x:f>
      </x:c>
      <x:c r="E976" s="12" t="str">
        <x:f>IF(Leads!AV976="","",Leads!AV976)</x:f>
      </x:c>
      <x:c r="F976" s="12" t="str">
        <x:f>IF(Leads!AX976="","",Leads!AX976)</x:f>
      </x:c>
      <x:c r="G976" s="12" t="str">
        <x:f>IF(Leads!BC976="","",Leads!BC976)</x:f>
      </x:c>
      <x:c r="H976" s="12" t="str">
        <x:f>IF(Leads!BE976="","",Leads!BE976)</x:f>
      </x:c>
      <x:c r="I976" s="12" t="str">
        <x:f>IF(Leads!BG976="","",Leads!BG976)</x:f>
      </x:c>
      <x:c r="J976" s="12" t="str">
        <x:f>IF(Leads!BH976="","",Leads!BH976)</x:f>
      </x:c>
      <x:c r="K976" s="12" t="str">
        <x:f>IF(A976="","","مرحبًا "&amp;C976&amp;CHAR(10)&amp;CHAR(10)&amp;"شكرًا لإتمام تقييم DBD الخاص بعيادة "&amp;B976&amp;"."&amp;CHAR(10)&amp;"نتيجتكم الحالية: "&amp;E976&amp;"%."&amp;CHAR(10)&amp;"أولوية التحسين الأولى: "&amp;F976&amp;"."&amp;IF(J976&lt;&gt;"",CHAR(10)&amp;CHAR(10)&amp;"رابط التقرير: "&amp;J976,"")&amp;CHAR(10)&amp;CHAR(10)&amp;"إذا أحببت، يمكننا مساعدتك في فهم التقرير وتحديد أفضل خطوة تالية لعيادتكم.")</x:f>
      </x:c>
      <x:c r="L976" s="12" t="str">
        <x:f>IF(D976="","",HYPERLINK("https://wa.me/"&amp;REGEXREPLACE(D976,"[^\d]","")&amp;"?text="&amp;ENCODEURL(K976),"واتساب 1"))</x:f>
      </x:c>
      <x:c r="M976" s="12" t="str">
        <x:f>IF(A976="","","مرحبًا "&amp;C976&amp;CHAR(10)&amp;CHAR(10)&amp;"بناءً على نتيجة تقييم عيادة "&amp;B976&amp;"، فإن الترشيح الأقوى لكم الآن هو: "&amp;G976&amp;"."&amp;CHAR(10)&amp;"هذا الخيار يساعدكم في معالجة أكبر فجوة حالية بشكل عملي ومباشر."&amp;IF(J976&lt;&gt;"",CHAR(10)&amp;CHAR(10)&amp;"رابط التقرير: "&amp;J976,"")&amp;CHAR(10)&amp;CHAR(10)&amp;"إذا رغبت، يمكننا توضيح لماذا هذا الكورس هو الأنسب لكم الآن.")</x:f>
      </x:c>
      <x:c r="N976" s="12" t="str">
        <x:f>IF(D976="","",HYPERLINK("https://wa.me/"&amp;REGEXREPLACE(D976,"[^\d]","")&amp;"?text="&amp;ENCODEURL(M976),"واتساب 2"))</x:f>
      </x:c>
      <x:c r="O976" s="12" t="str">
        <x:f>IF(A976="","","مرحبًا "&amp;C976&amp;CHAR(10)&amp;CHAR(10)&amp;"إذا كانت التحديات لديكم تحتاج حلًا أشمل، فالبرنامج الكامل المناسب لكم هو: "&amp;H976&amp;"."&amp;IF(I976&lt;&gt;"",CHAR(10)&amp;"كما يمكنكم أيضًا حجز: "&amp;I976&amp;".","")&amp;IF(J976&lt;&gt;"",CHAR(10)&amp;CHAR(10)&amp;"رابط التقرير: "&amp;J976,"")&amp;CHAR(10)&amp;CHAR(10)&amp;"يسعدنا مساعدتكم في اختيار المسار الأنسب حسب وضع العيادة الحالي.")</x:f>
      </x:c>
      <x:c r="P976" s="12" t="str">
        <x:f>IF(D976="","",HYPERLINK("https://wa.me/"&amp;REGEXREPLACE(D976,"[^\d]","")&amp;"?text="&amp;ENCODEURL(O976),"واتساب 3"))</x:f>
      </x:c>
    </x:row>
    <x:row r="977" ht="15" hidden="0" customHeight="1">
      <x:c r="A977" s="12" t="str">
        <x:f>IF(Leads!A977="","",Leads!A977)</x:f>
      </x:c>
      <x:c r="B977" s="12" t="str">
        <x:f>IF(Leads!F977="","",Leads!F977)</x:f>
      </x:c>
      <x:c r="C977" s="12" t="str">
        <x:f>IF(Leads!G977="","",Leads!G977)</x:f>
      </x:c>
      <x:c r="D977" s="12" t="str">
        <x:f>IF(Leads!O977="","",Leads!O977)</x:f>
      </x:c>
      <x:c r="E977" s="12" t="str">
        <x:f>IF(Leads!AV977="","",Leads!AV977)</x:f>
      </x:c>
      <x:c r="F977" s="12" t="str">
        <x:f>IF(Leads!AX977="","",Leads!AX977)</x:f>
      </x:c>
      <x:c r="G977" s="12" t="str">
        <x:f>IF(Leads!BC977="","",Leads!BC977)</x:f>
      </x:c>
      <x:c r="H977" s="12" t="str">
        <x:f>IF(Leads!BE977="","",Leads!BE977)</x:f>
      </x:c>
      <x:c r="I977" s="12" t="str">
        <x:f>IF(Leads!BG977="","",Leads!BG977)</x:f>
      </x:c>
      <x:c r="J977" s="12" t="str">
        <x:f>IF(Leads!BH977="","",Leads!BH977)</x:f>
      </x:c>
      <x:c r="K977" s="12" t="str">
        <x:f>IF(A977="","","مرحبًا "&amp;C977&amp;CHAR(10)&amp;CHAR(10)&amp;"شكرًا لإتمام تقييم DBD الخاص بعيادة "&amp;B977&amp;"."&amp;CHAR(10)&amp;"نتيجتكم الحالية: "&amp;E977&amp;"%."&amp;CHAR(10)&amp;"أولوية التحسين الأولى: "&amp;F977&amp;"."&amp;IF(J977&lt;&gt;"",CHAR(10)&amp;CHAR(10)&amp;"رابط التقرير: "&amp;J977,"")&amp;CHAR(10)&amp;CHAR(10)&amp;"إذا أحببت، يمكننا مساعدتك في فهم التقرير وتحديد أفضل خطوة تالية لعيادتكم.")</x:f>
      </x:c>
      <x:c r="L977" s="12" t="str">
        <x:f>IF(D977="","",HYPERLINK("https://wa.me/"&amp;REGEXREPLACE(D977,"[^\d]","")&amp;"?text="&amp;ENCODEURL(K977),"واتساب 1"))</x:f>
      </x:c>
      <x:c r="M977" s="12" t="str">
        <x:f>IF(A977="","","مرحبًا "&amp;C977&amp;CHAR(10)&amp;CHAR(10)&amp;"بناءً على نتيجة تقييم عيادة "&amp;B977&amp;"، فإن الترشيح الأقوى لكم الآن هو: "&amp;G977&amp;"."&amp;CHAR(10)&amp;"هذا الخيار يساعدكم في معالجة أكبر فجوة حالية بشكل عملي ومباشر."&amp;IF(J977&lt;&gt;"",CHAR(10)&amp;CHAR(10)&amp;"رابط التقرير: "&amp;J977,"")&amp;CHAR(10)&amp;CHAR(10)&amp;"إذا رغبت، يمكننا توضيح لماذا هذا الكورس هو الأنسب لكم الآن.")</x:f>
      </x:c>
      <x:c r="N977" s="12" t="str">
        <x:f>IF(D977="","",HYPERLINK("https://wa.me/"&amp;REGEXREPLACE(D977,"[^\d]","")&amp;"?text="&amp;ENCODEURL(M977),"واتساب 2"))</x:f>
      </x:c>
      <x:c r="O977" s="12" t="str">
        <x:f>IF(A977="","","مرحبًا "&amp;C977&amp;CHAR(10)&amp;CHAR(10)&amp;"إذا كانت التحديات لديكم تحتاج حلًا أشمل، فالبرنامج الكامل المناسب لكم هو: "&amp;H977&amp;"."&amp;IF(I977&lt;&gt;"",CHAR(10)&amp;"كما يمكنكم أيضًا حجز: "&amp;I977&amp;".","")&amp;IF(J977&lt;&gt;"",CHAR(10)&amp;CHAR(10)&amp;"رابط التقرير: "&amp;J977,"")&amp;CHAR(10)&amp;CHAR(10)&amp;"يسعدنا مساعدتكم في اختيار المسار الأنسب حسب وضع العيادة الحالي.")</x:f>
      </x:c>
      <x:c r="P977" s="12" t="str">
        <x:f>IF(D977="","",HYPERLINK("https://wa.me/"&amp;REGEXREPLACE(D977,"[^\d]","")&amp;"?text="&amp;ENCODEURL(O977),"واتساب 3"))</x:f>
      </x:c>
    </x:row>
    <x:row r="978" ht="15" hidden="0" customHeight="1">
      <x:c r="A978" s="12" t="str">
        <x:f>IF(Leads!A978="","",Leads!A978)</x:f>
      </x:c>
      <x:c r="B978" s="12" t="str">
        <x:f>IF(Leads!F978="","",Leads!F978)</x:f>
      </x:c>
      <x:c r="C978" s="12" t="str">
        <x:f>IF(Leads!G978="","",Leads!G978)</x:f>
      </x:c>
      <x:c r="D978" s="12" t="str">
        <x:f>IF(Leads!O978="","",Leads!O978)</x:f>
      </x:c>
      <x:c r="E978" s="12" t="str">
        <x:f>IF(Leads!AV978="","",Leads!AV978)</x:f>
      </x:c>
      <x:c r="F978" s="12" t="str">
        <x:f>IF(Leads!AX978="","",Leads!AX978)</x:f>
      </x:c>
      <x:c r="G978" s="12" t="str">
        <x:f>IF(Leads!BC978="","",Leads!BC978)</x:f>
      </x:c>
      <x:c r="H978" s="12" t="str">
        <x:f>IF(Leads!BE978="","",Leads!BE978)</x:f>
      </x:c>
      <x:c r="I978" s="12" t="str">
        <x:f>IF(Leads!BG978="","",Leads!BG978)</x:f>
      </x:c>
      <x:c r="J978" s="12" t="str">
        <x:f>IF(Leads!BH978="","",Leads!BH978)</x:f>
      </x:c>
      <x:c r="K978" s="12" t="str">
        <x:f>IF(A978="","","مرحبًا "&amp;C978&amp;CHAR(10)&amp;CHAR(10)&amp;"شكرًا لإتمام تقييم DBD الخاص بعيادة "&amp;B978&amp;"."&amp;CHAR(10)&amp;"نتيجتكم الحالية: "&amp;E978&amp;"%."&amp;CHAR(10)&amp;"أولوية التحسين الأولى: "&amp;F978&amp;"."&amp;IF(J978&lt;&gt;"",CHAR(10)&amp;CHAR(10)&amp;"رابط التقرير: "&amp;J978,"")&amp;CHAR(10)&amp;CHAR(10)&amp;"إذا أحببت، يمكننا مساعدتك في فهم التقرير وتحديد أفضل خطوة تالية لعيادتكم.")</x:f>
      </x:c>
      <x:c r="L978" s="12" t="str">
        <x:f>IF(D978="","",HYPERLINK("https://wa.me/"&amp;REGEXREPLACE(D978,"[^\d]","")&amp;"?text="&amp;ENCODEURL(K978),"واتساب 1"))</x:f>
      </x:c>
      <x:c r="M978" s="12" t="str">
        <x:f>IF(A978="","","مرحبًا "&amp;C978&amp;CHAR(10)&amp;CHAR(10)&amp;"بناءً على نتيجة تقييم عيادة "&amp;B978&amp;"، فإن الترشيح الأقوى لكم الآن هو: "&amp;G978&amp;"."&amp;CHAR(10)&amp;"هذا الخيار يساعدكم في معالجة أكبر فجوة حالية بشكل عملي ومباشر."&amp;IF(J978&lt;&gt;"",CHAR(10)&amp;CHAR(10)&amp;"رابط التقرير: "&amp;J978,"")&amp;CHAR(10)&amp;CHAR(10)&amp;"إذا رغبت، يمكننا توضيح لماذا هذا الكورس هو الأنسب لكم الآن.")</x:f>
      </x:c>
      <x:c r="N978" s="12" t="str">
        <x:f>IF(D978="","",HYPERLINK("https://wa.me/"&amp;REGEXREPLACE(D978,"[^\d]","")&amp;"?text="&amp;ENCODEURL(M978),"واتساب 2"))</x:f>
      </x:c>
      <x:c r="O978" s="12" t="str">
        <x:f>IF(A978="","","مرحبًا "&amp;C978&amp;CHAR(10)&amp;CHAR(10)&amp;"إذا كانت التحديات لديكم تحتاج حلًا أشمل، فالبرنامج الكامل المناسب لكم هو: "&amp;H978&amp;"."&amp;IF(I978&lt;&gt;"",CHAR(10)&amp;"كما يمكنكم أيضًا حجز: "&amp;I978&amp;".","")&amp;IF(J978&lt;&gt;"",CHAR(10)&amp;CHAR(10)&amp;"رابط التقرير: "&amp;J978,"")&amp;CHAR(10)&amp;CHAR(10)&amp;"يسعدنا مساعدتكم في اختيار المسار الأنسب حسب وضع العيادة الحالي.")</x:f>
      </x:c>
      <x:c r="P978" s="12" t="str">
        <x:f>IF(D978="","",HYPERLINK("https://wa.me/"&amp;REGEXREPLACE(D978,"[^\d]","")&amp;"?text="&amp;ENCODEURL(O978),"واتساب 3"))</x:f>
      </x:c>
    </x:row>
    <x:row r="979" ht="15" hidden="0" customHeight="1">
      <x:c r="A979" s="12" t="str">
        <x:f>IF(Leads!A979="","",Leads!A979)</x:f>
      </x:c>
      <x:c r="B979" s="12" t="str">
        <x:f>IF(Leads!F979="","",Leads!F979)</x:f>
      </x:c>
      <x:c r="C979" s="12" t="str">
        <x:f>IF(Leads!G979="","",Leads!G979)</x:f>
      </x:c>
      <x:c r="D979" s="12" t="str">
        <x:f>IF(Leads!O979="","",Leads!O979)</x:f>
      </x:c>
      <x:c r="E979" s="12" t="str">
        <x:f>IF(Leads!AV979="","",Leads!AV979)</x:f>
      </x:c>
      <x:c r="F979" s="12" t="str">
        <x:f>IF(Leads!AX979="","",Leads!AX979)</x:f>
      </x:c>
      <x:c r="G979" s="12" t="str">
        <x:f>IF(Leads!BC979="","",Leads!BC979)</x:f>
      </x:c>
      <x:c r="H979" s="12" t="str">
        <x:f>IF(Leads!BE979="","",Leads!BE979)</x:f>
      </x:c>
      <x:c r="I979" s="12" t="str">
        <x:f>IF(Leads!BG979="","",Leads!BG979)</x:f>
      </x:c>
      <x:c r="J979" s="12" t="str">
        <x:f>IF(Leads!BH979="","",Leads!BH979)</x:f>
      </x:c>
      <x:c r="K979" s="12" t="str">
        <x:f>IF(A979="","","مرحبًا "&amp;C979&amp;CHAR(10)&amp;CHAR(10)&amp;"شكرًا لإتمام تقييم DBD الخاص بعيادة "&amp;B979&amp;"."&amp;CHAR(10)&amp;"نتيجتكم الحالية: "&amp;E979&amp;"%."&amp;CHAR(10)&amp;"أولوية التحسين الأولى: "&amp;F979&amp;"."&amp;IF(J979&lt;&gt;"",CHAR(10)&amp;CHAR(10)&amp;"رابط التقرير: "&amp;J979,"")&amp;CHAR(10)&amp;CHAR(10)&amp;"إذا أحببت، يمكننا مساعدتك في فهم التقرير وتحديد أفضل خطوة تالية لعيادتكم.")</x:f>
      </x:c>
      <x:c r="L979" s="12" t="str">
        <x:f>IF(D979="","",HYPERLINK("https://wa.me/"&amp;REGEXREPLACE(D979,"[^\d]","")&amp;"?text="&amp;ENCODEURL(K979),"واتساب 1"))</x:f>
      </x:c>
      <x:c r="M979" s="12" t="str">
        <x:f>IF(A979="","","مرحبًا "&amp;C979&amp;CHAR(10)&amp;CHAR(10)&amp;"بناءً على نتيجة تقييم عيادة "&amp;B979&amp;"، فإن الترشيح الأقوى لكم الآن هو: "&amp;G979&amp;"."&amp;CHAR(10)&amp;"هذا الخيار يساعدكم في معالجة أكبر فجوة حالية بشكل عملي ومباشر."&amp;IF(J979&lt;&gt;"",CHAR(10)&amp;CHAR(10)&amp;"رابط التقرير: "&amp;J979,"")&amp;CHAR(10)&amp;CHAR(10)&amp;"إذا رغبت، يمكننا توضيح لماذا هذا الكورس هو الأنسب لكم الآن.")</x:f>
      </x:c>
      <x:c r="N979" s="12" t="str">
        <x:f>IF(D979="","",HYPERLINK("https://wa.me/"&amp;REGEXREPLACE(D979,"[^\d]","")&amp;"?text="&amp;ENCODEURL(M979),"واتساب 2"))</x:f>
      </x:c>
      <x:c r="O979" s="12" t="str">
        <x:f>IF(A979="","","مرحبًا "&amp;C979&amp;CHAR(10)&amp;CHAR(10)&amp;"إذا كانت التحديات لديكم تحتاج حلًا أشمل، فالبرنامج الكامل المناسب لكم هو: "&amp;H979&amp;"."&amp;IF(I979&lt;&gt;"",CHAR(10)&amp;"كما يمكنكم أيضًا حجز: "&amp;I979&amp;".","")&amp;IF(J979&lt;&gt;"",CHAR(10)&amp;CHAR(10)&amp;"رابط التقرير: "&amp;J979,"")&amp;CHAR(10)&amp;CHAR(10)&amp;"يسعدنا مساعدتكم في اختيار المسار الأنسب حسب وضع العيادة الحالي.")</x:f>
      </x:c>
      <x:c r="P979" s="12" t="str">
        <x:f>IF(D979="","",HYPERLINK("https://wa.me/"&amp;REGEXREPLACE(D979,"[^\d]","")&amp;"?text="&amp;ENCODEURL(O979),"واتساب 3"))</x:f>
      </x:c>
    </x:row>
    <x:row r="980" ht="15" hidden="0" customHeight="1">
      <x:c r="A980" s="12" t="str">
        <x:f>IF(Leads!A980="","",Leads!A980)</x:f>
      </x:c>
      <x:c r="B980" s="12" t="str">
        <x:f>IF(Leads!F980="","",Leads!F980)</x:f>
      </x:c>
      <x:c r="C980" s="12" t="str">
        <x:f>IF(Leads!G980="","",Leads!G980)</x:f>
      </x:c>
      <x:c r="D980" s="12" t="str">
        <x:f>IF(Leads!O980="","",Leads!O980)</x:f>
      </x:c>
      <x:c r="E980" s="12" t="str">
        <x:f>IF(Leads!AV980="","",Leads!AV980)</x:f>
      </x:c>
      <x:c r="F980" s="12" t="str">
        <x:f>IF(Leads!AX980="","",Leads!AX980)</x:f>
      </x:c>
      <x:c r="G980" s="12" t="str">
        <x:f>IF(Leads!BC980="","",Leads!BC980)</x:f>
      </x:c>
      <x:c r="H980" s="12" t="str">
        <x:f>IF(Leads!BE980="","",Leads!BE980)</x:f>
      </x:c>
      <x:c r="I980" s="12" t="str">
        <x:f>IF(Leads!BG980="","",Leads!BG980)</x:f>
      </x:c>
      <x:c r="J980" s="12" t="str">
        <x:f>IF(Leads!BH980="","",Leads!BH980)</x:f>
      </x:c>
      <x:c r="K980" s="12" t="str">
        <x:f>IF(A980="","","مرحبًا "&amp;C980&amp;CHAR(10)&amp;CHAR(10)&amp;"شكرًا لإتمام تقييم DBD الخاص بعيادة "&amp;B980&amp;"."&amp;CHAR(10)&amp;"نتيجتكم الحالية: "&amp;E980&amp;"%."&amp;CHAR(10)&amp;"أولوية التحسين الأولى: "&amp;F980&amp;"."&amp;IF(J980&lt;&gt;"",CHAR(10)&amp;CHAR(10)&amp;"رابط التقرير: "&amp;J980,"")&amp;CHAR(10)&amp;CHAR(10)&amp;"إذا أحببت، يمكننا مساعدتك في فهم التقرير وتحديد أفضل خطوة تالية لعيادتكم.")</x:f>
      </x:c>
      <x:c r="L980" s="12" t="str">
        <x:f>IF(D980="","",HYPERLINK("https://wa.me/"&amp;REGEXREPLACE(D980,"[^\d]","")&amp;"?text="&amp;ENCODEURL(K980),"واتساب 1"))</x:f>
      </x:c>
      <x:c r="M980" s="12" t="str">
        <x:f>IF(A980="","","مرحبًا "&amp;C980&amp;CHAR(10)&amp;CHAR(10)&amp;"بناءً على نتيجة تقييم عيادة "&amp;B980&amp;"، فإن الترشيح الأقوى لكم الآن هو: "&amp;G980&amp;"."&amp;CHAR(10)&amp;"هذا الخيار يساعدكم في معالجة أكبر فجوة حالية بشكل عملي ومباشر."&amp;IF(J980&lt;&gt;"",CHAR(10)&amp;CHAR(10)&amp;"رابط التقرير: "&amp;J980,"")&amp;CHAR(10)&amp;CHAR(10)&amp;"إذا رغبت، يمكننا توضيح لماذا هذا الكورس هو الأنسب لكم الآن.")</x:f>
      </x:c>
      <x:c r="N980" s="12" t="str">
        <x:f>IF(D980="","",HYPERLINK("https://wa.me/"&amp;REGEXREPLACE(D980,"[^\d]","")&amp;"?text="&amp;ENCODEURL(M980),"واتساب 2"))</x:f>
      </x:c>
      <x:c r="O980" s="12" t="str">
        <x:f>IF(A980="","","مرحبًا "&amp;C980&amp;CHAR(10)&amp;CHAR(10)&amp;"إذا كانت التحديات لديكم تحتاج حلًا أشمل، فالبرنامج الكامل المناسب لكم هو: "&amp;H980&amp;"."&amp;IF(I980&lt;&gt;"",CHAR(10)&amp;"كما يمكنكم أيضًا حجز: "&amp;I980&amp;".","")&amp;IF(J980&lt;&gt;"",CHAR(10)&amp;CHAR(10)&amp;"رابط التقرير: "&amp;J980,"")&amp;CHAR(10)&amp;CHAR(10)&amp;"يسعدنا مساعدتكم في اختيار المسار الأنسب حسب وضع العيادة الحالي.")</x:f>
      </x:c>
      <x:c r="P980" s="12" t="str">
        <x:f>IF(D980="","",HYPERLINK("https://wa.me/"&amp;REGEXREPLACE(D980,"[^\d]","")&amp;"?text="&amp;ENCODEURL(O980),"واتساب 3"))</x:f>
      </x:c>
    </x:row>
    <x:row r="981" ht="15" hidden="0" customHeight="1">
      <x:c r="A981" s="12" t="str">
        <x:f>IF(Leads!A981="","",Leads!A981)</x:f>
      </x:c>
      <x:c r="B981" s="12" t="str">
        <x:f>IF(Leads!F981="","",Leads!F981)</x:f>
      </x:c>
      <x:c r="C981" s="12" t="str">
        <x:f>IF(Leads!G981="","",Leads!G981)</x:f>
      </x:c>
      <x:c r="D981" s="12" t="str">
        <x:f>IF(Leads!O981="","",Leads!O981)</x:f>
      </x:c>
      <x:c r="E981" s="12" t="str">
        <x:f>IF(Leads!AV981="","",Leads!AV981)</x:f>
      </x:c>
      <x:c r="F981" s="12" t="str">
        <x:f>IF(Leads!AX981="","",Leads!AX981)</x:f>
      </x:c>
      <x:c r="G981" s="12" t="str">
        <x:f>IF(Leads!BC981="","",Leads!BC981)</x:f>
      </x:c>
      <x:c r="H981" s="12" t="str">
        <x:f>IF(Leads!BE981="","",Leads!BE981)</x:f>
      </x:c>
      <x:c r="I981" s="12" t="str">
        <x:f>IF(Leads!BG981="","",Leads!BG981)</x:f>
      </x:c>
      <x:c r="J981" s="12" t="str">
        <x:f>IF(Leads!BH981="","",Leads!BH981)</x:f>
      </x:c>
      <x:c r="K981" s="12" t="str">
        <x:f>IF(A981="","","مرحبًا "&amp;C981&amp;CHAR(10)&amp;CHAR(10)&amp;"شكرًا لإتمام تقييم DBD الخاص بعيادة "&amp;B981&amp;"."&amp;CHAR(10)&amp;"نتيجتكم الحالية: "&amp;E981&amp;"%."&amp;CHAR(10)&amp;"أولوية التحسين الأولى: "&amp;F981&amp;"."&amp;IF(J981&lt;&gt;"",CHAR(10)&amp;CHAR(10)&amp;"رابط التقرير: "&amp;J981,"")&amp;CHAR(10)&amp;CHAR(10)&amp;"إذا أحببت، يمكننا مساعدتك في فهم التقرير وتحديد أفضل خطوة تالية لعيادتكم.")</x:f>
      </x:c>
      <x:c r="L981" s="12" t="str">
        <x:f>IF(D981="","",HYPERLINK("https://wa.me/"&amp;REGEXREPLACE(D981,"[^\d]","")&amp;"?text="&amp;ENCODEURL(K981),"واتساب 1"))</x:f>
      </x:c>
      <x:c r="M981" s="12" t="str">
        <x:f>IF(A981="","","مرحبًا "&amp;C981&amp;CHAR(10)&amp;CHAR(10)&amp;"بناءً على نتيجة تقييم عيادة "&amp;B981&amp;"، فإن الترشيح الأقوى لكم الآن هو: "&amp;G981&amp;"."&amp;CHAR(10)&amp;"هذا الخيار يساعدكم في معالجة أكبر فجوة حالية بشكل عملي ومباشر."&amp;IF(J981&lt;&gt;"",CHAR(10)&amp;CHAR(10)&amp;"رابط التقرير: "&amp;J981,"")&amp;CHAR(10)&amp;CHAR(10)&amp;"إذا رغبت، يمكننا توضيح لماذا هذا الكورس هو الأنسب لكم الآن.")</x:f>
      </x:c>
      <x:c r="N981" s="12" t="str">
        <x:f>IF(D981="","",HYPERLINK("https://wa.me/"&amp;REGEXREPLACE(D981,"[^\d]","")&amp;"?text="&amp;ENCODEURL(M981),"واتساب 2"))</x:f>
      </x:c>
      <x:c r="O981" s="12" t="str">
        <x:f>IF(A981="","","مرحبًا "&amp;C981&amp;CHAR(10)&amp;CHAR(10)&amp;"إذا كانت التحديات لديكم تحتاج حلًا أشمل، فالبرنامج الكامل المناسب لكم هو: "&amp;H981&amp;"."&amp;IF(I981&lt;&gt;"",CHAR(10)&amp;"كما يمكنكم أيضًا حجز: "&amp;I981&amp;".","")&amp;IF(J981&lt;&gt;"",CHAR(10)&amp;CHAR(10)&amp;"رابط التقرير: "&amp;J981,"")&amp;CHAR(10)&amp;CHAR(10)&amp;"يسعدنا مساعدتكم في اختيار المسار الأنسب حسب وضع العيادة الحالي.")</x:f>
      </x:c>
      <x:c r="P981" s="12" t="str">
        <x:f>IF(D981="","",HYPERLINK("https://wa.me/"&amp;REGEXREPLACE(D981,"[^\d]","")&amp;"?text="&amp;ENCODEURL(O981),"واتساب 3"))</x:f>
      </x:c>
    </x:row>
    <x:row r="982" ht="15" hidden="0" customHeight="1">
      <x:c r="A982" s="12" t="str">
        <x:f>IF(Leads!A982="","",Leads!A982)</x:f>
      </x:c>
      <x:c r="B982" s="12" t="str">
        <x:f>IF(Leads!F982="","",Leads!F982)</x:f>
      </x:c>
      <x:c r="C982" s="12" t="str">
        <x:f>IF(Leads!G982="","",Leads!G982)</x:f>
      </x:c>
      <x:c r="D982" s="12" t="str">
        <x:f>IF(Leads!O982="","",Leads!O982)</x:f>
      </x:c>
      <x:c r="E982" s="12" t="str">
        <x:f>IF(Leads!AV982="","",Leads!AV982)</x:f>
      </x:c>
      <x:c r="F982" s="12" t="str">
        <x:f>IF(Leads!AX982="","",Leads!AX982)</x:f>
      </x:c>
      <x:c r="G982" s="12" t="str">
        <x:f>IF(Leads!BC982="","",Leads!BC982)</x:f>
      </x:c>
      <x:c r="H982" s="12" t="str">
        <x:f>IF(Leads!BE982="","",Leads!BE982)</x:f>
      </x:c>
      <x:c r="I982" s="12" t="str">
        <x:f>IF(Leads!BG982="","",Leads!BG982)</x:f>
      </x:c>
      <x:c r="J982" s="12" t="str">
        <x:f>IF(Leads!BH982="","",Leads!BH982)</x:f>
      </x:c>
      <x:c r="K982" s="12" t="str">
        <x:f>IF(A982="","","مرحبًا "&amp;C982&amp;CHAR(10)&amp;CHAR(10)&amp;"شكرًا لإتمام تقييم DBD الخاص بعيادة "&amp;B982&amp;"."&amp;CHAR(10)&amp;"نتيجتكم الحالية: "&amp;E982&amp;"%."&amp;CHAR(10)&amp;"أولوية التحسين الأولى: "&amp;F982&amp;"."&amp;IF(J982&lt;&gt;"",CHAR(10)&amp;CHAR(10)&amp;"رابط التقرير: "&amp;J982,"")&amp;CHAR(10)&amp;CHAR(10)&amp;"إذا أحببت، يمكننا مساعدتك في فهم التقرير وتحديد أفضل خطوة تالية لعيادتكم.")</x:f>
      </x:c>
      <x:c r="L982" s="12" t="str">
        <x:f>IF(D982="","",HYPERLINK("https://wa.me/"&amp;REGEXREPLACE(D982,"[^\d]","")&amp;"?text="&amp;ENCODEURL(K982),"واتساب 1"))</x:f>
      </x:c>
      <x:c r="M982" s="12" t="str">
        <x:f>IF(A982="","","مرحبًا "&amp;C982&amp;CHAR(10)&amp;CHAR(10)&amp;"بناءً على نتيجة تقييم عيادة "&amp;B982&amp;"، فإن الترشيح الأقوى لكم الآن هو: "&amp;G982&amp;"."&amp;CHAR(10)&amp;"هذا الخيار يساعدكم في معالجة أكبر فجوة حالية بشكل عملي ومباشر."&amp;IF(J982&lt;&gt;"",CHAR(10)&amp;CHAR(10)&amp;"رابط التقرير: "&amp;J982,"")&amp;CHAR(10)&amp;CHAR(10)&amp;"إذا رغبت، يمكننا توضيح لماذا هذا الكورس هو الأنسب لكم الآن.")</x:f>
      </x:c>
      <x:c r="N982" s="12" t="str">
        <x:f>IF(D982="","",HYPERLINK("https://wa.me/"&amp;REGEXREPLACE(D982,"[^\d]","")&amp;"?text="&amp;ENCODEURL(M982),"واتساب 2"))</x:f>
      </x:c>
      <x:c r="O982" s="12" t="str">
        <x:f>IF(A982="","","مرحبًا "&amp;C982&amp;CHAR(10)&amp;CHAR(10)&amp;"إذا كانت التحديات لديكم تحتاج حلًا أشمل، فالبرنامج الكامل المناسب لكم هو: "&amp;H982&amp;"."&amp;IF(I982&lt;&gt;"",CHAR(10)&amp;"كما يمكنكم أيضًا حجز: "&amp;I982&amp;".","")&amp;IF(J982&lt;&gt;"",CHAR(10)&amp;CHAR(10)&amp;"رابط التقرير: "&amp;J982,"")&amp;CHAR(10)&amp;CHAR(10)&amp;"يسعدنا مساعدتكم في اختيار المسار الأنسب حسب وضع العيادة الحالي.")</x:f>
      </x:c>
      <x:c r="P982" s="12" t="str">
        <x:f>IF(D982="","",HYPERLINK("https://wa.me/"&amp;REGEXREPLACE(D982,"[^\d]","")&amp;"?text="&amp;ENCODEURL(O982),"واتساب 3"))</x:f>
      </x:c>
    </x:row>
    <x:row r="983" ht="15" hidden="0" customHeight="1">
      <x:c r="A983" s="12" t="str">
        <x:f>IF(Leads!A983="","",Leads!A983)</x:f>
      </x:c>
      <x:c r="B983" s="12" t="str">
        <x:f>IF(Leads!F983="","",Leads!F983)</x:f>
      </x:c>
      <x:c r="C983" s="12" t="str">
        <x:f>IF(Leads!G983="","",Leads!G983)</x:f>
      </x:c>
      <x:c r="D983" s="12" t="str">
        <x:f>IF(Leads!O983="","",Leads!O983)</x:f>
      </x:c>
      <x:c r="E983" s="12" t="str">
        <x:f>IF(Leads!AV983="","",Leads!AV983)</x:f>
      </x:c>
      <x:c r="F983" s="12" t="str">
        <x:f>IF(Leads!AX983="","",Leads!AX983)</x:f>
      </x:c>
      <x:c r="G983" s="12" t="str">
        <x:f>IF(Leads!BC983="","",Leads!BC983)</x:f>
      </x:c>
      <x:c r="H983" s="12" t="str">
        <x:f>IF(Leads!BE983="","",Leads!BE983)</x:f>
      </x:c>
      <x:c r="I983" s="12" t="str">
        <x:f>IF(Leads!BG983="","",Leads!BG983)</x:f>
      </x:c>
      <x:c r="J983" s="12" t="str">
        <x:f>IF(Leads!BH983="","",Leads!BH983)</x:f>
      </x:c>
      <x:c r="K983" s="12" t="str">
        <x:f>IF(A983="","","مرحبًا "&amp;C983&amp;CHAR(10)&amp;CHAR(10)&amp;"شكرًا لإتمام تقييم DBD الخاص بعيادة "&amp;B983&amp;"."&amp;CHAR(10)&amp;"نتيجتكم الحالية: "&amp;E983&amp;"%."&amp;CHAR(10)&amp;"أولوية التحسين الأولى: "&amp;F983&amp;"."&amp;IF(J983&lt;&gt;"",CHAR(10)&amp;CHAR(10)&amp;"رابط التقرير: "&amp;J983,"")&amp;CHAR(10)&amp;CHAR(10)&amp;"إذا أحببت، يمكننا مساعدتك في فهم التقرير وتحديد أفضل خطوة تالية لعيادتكم.")</x:f>
      </x:c>
      <x:c r="L983" s="12" t="str">
        <x:f>IF(D983="","",HYPERLINK("https://wa.me/"&amp;REGEXREPLACE(D983,"[^\d]","")&amp;"?text="&amp;ENCODEURL(K983),"واتساب 1"))</x:f>
      </x:c>
      <x:c r="M983" s="12" t="str">
        <x:f>IF(A983="","","مرحبًا "&amp;C983&amp;CHAR(10)&amp;CHAR(10)&amp;"بناءً على نتيجة تقييم عيادة "&amp;B983&amp;"، فإن الترشيح الأقوى لكم الآن هو: "&amp;G983&amp;"."&amp;CHAR(10)&amp;"هذا الخيار يساعدكم في معالجة أكبر فجوة حالية بشكل عملي ومباشر."&amp;IF(J983&lt;&gt;"",CHAR(10)&amp;CHAR(10)&amp;"رابط التقرير: "&amp;J983,"")&amp;CHAR(10)&amp;CHAR(10)&amp;"إذا رغبت، يمكننا توضيح لماذا هذا الكورس هو الأنسب لكم الآن.")</x:f>
      </x:c>
      <x:c r="N983" s="12" t="str">
        <x:f>IF(D983="","",HYPERLINK("https://wa.me/"&amp;REGEXREPLACE(D983,"[^\d]","")&amp;"?text="&amp;ENCODEURL(M983),"واتساب 2"))</x:f>
      </x:c>
      <x:c r="O983" s="12" t="str">
        <x:f>IF(A983="","","مرحبًا "&amp;C983&amp;CHAR(10)&amp;CHAR(10)&amp;"إذا كانت التحديات لديكم تحتاج حلًا أشمل، فالبرنامج الكامل المناسب لكم هو: "&amp;H983&amp;"."&amp;IF(I983&lt;&gt;"",CHAR(10)&amp;"كما يمكنكم أيضًا حجز: "&amp;I983&amp;".","")&amp;IF(J983&lt;&gt;"",CHAR(10)&amp;CHAR(10)&amp;"رابط التقرير: "&amp;J983,"")&amp;CHAR(10)&amp;CHAR(10)&amp;"يسعدنا مساعدتكم في اختيار المسار الأنسب حسب وضع العيادة الحالي.")</x:f>
      </x:c>
      <x:c r="P983" s="12" t="str">
        <x:f>IF(D983="","",HYPERLINK("https://wa.me/"&amp;REGEXREPLACE(D983,"[^\d]","")&amp;"?text="&amp;ENCODEURL(O983),"واتساب 3"))</x:f>
      </x:c>
    </x:row>
    <x:row r="984" ht="15" hidden="0" customHeight="1">
      <x:c r="A984" s="12" t="str">
        <x:f>IF(Leads!A984="","",Leads!A984)</x:f>
      </x:c>
      <x:c r="B984" s="12" t="str">
        <x:f>IF(Leads!F984="","",Leads!F984)</x:f>
      </x:c>
      <x:c r="C984" s="12" t="str">
        <x:f>IF(Leads!G984="","",Leads!G984)</x:f>
      </x:c>
      <x:c r="D984" s="12" t="str">
        <x:f>IF(Leads!O984="","",Leads!O984)</x:f>
      </x:c>
      <x:c r="E984" s="12" t="str">
        <x:f>IF(Leads!AV984="","",Leads!AV984)</x:f>
      </x:c>
      <x:c r="F984" s="12" t="str">
        <x:f>IF(Leads!AX984="","",Leads!AX984)</x:f>
      </x:c>
      <x:c r="G984" s="12" t="str">
        <x:f>IF(Leads!BC984="","",Leads!BC984)</x:f>
      </x:c>
      <x:c r="H984" s="12" t="str">
        <x:f>IF(Leads!BE984="","",Leads!BE984)</x:f>
      </x:c>
      <x:c r="I984" s="12" t="str">
        <x:f>IF(Leads!BG984="","",Leads!BG984)</x:f>
      </x:c>
      <x:c r="J984" s="12" t="str">
        <x:f>IF(Leads!BH984="","",Leads!BH984)</x:f>
      </x:c>
      <x:c r="K984" s="12" t="str">
        <x:f>IF(A984="","","مرحبًا "&amp;C984&amp;CHAR(10)&amp;CHAR(10)&amp;"شكرًا لإتمام تقييم DBD الخاص بعيادة "&amp;B984&amp;"."&amp;CHAR(10)&amp;"نتيجتكم الحالية: "&amp;E984&amp;"%."&amp;CHAR(10)&amp;"أولوية التحسين الأولى: "&amp;F984&amp;"."&amp;IF(J984&lt;&gt;"",CHAR(10)&amp;CHAR(10)&amp;"رابط التقرير: "&amp;J984,"")&amp;CHAR(10)&amp;CHAR(10)&amp;"إذا أحببت، يمكننا مساعدتك في فهم التقرير وتحديد أفضل خطوة تالية لعيادتكم.")</x:f>
      </x:c>
      <x:c r="L984" s="12" t="str">
        <x:f>IF(D984="","",HYPERLINK("https://wa.me/"&amp;REGEXREPLACE(D984,"[^\d]","")&amp;"?text="&amp;ENCODEURL(K984),"واتساب 1"))</x:f>
      </x:c>
      <x:c r="M984" s="12" t="str">
        <x:f>IF(A984="","","مرحبًا "&amp;C984&amp;CHAR(10)&amp;CHAR(10)&amp;"بناءً على نتيجة تقييم عيادة "&amp;B984&amp;"، فإن الترشيح الأقوى لكم الآن هو: "&amp;G984&amp;"."&amp;CHAR(10)&amp;"هذا الخيار يساعدكم في معالجة أكبر فجوة حالية بشكل عملي ومباشر."&amp;IF(J984&lt;&gt;"",CHAR(10)&amp;CHAR(10)&amp;"رابط التقرير: "&amp;J984,"")&amp;CHAR(10)&amp;CHAR(10)&amp;"إذا رغبت، يمكننا توضيح لماذا هذا الكورس هو الأنسب لكم الآن.")</x:f>
      </x:c>
      <x:c r="N984" s="12" t="str">
        <x:f>IF(D984="","",HYPERLINK("https://wa.me/"&amp;REGEXREPLACE(D984,"[^\d]","")&amp;"?text="&amp;ENCODEURL(M984),"واتساب 2"))</x:f>
      </x:c>
      <x:c r="O984" s="12" t="str">
        <x:f>IF(A984="","","مرحبًا "&amp;C984&amp;CHAR(10)&amp;CHAR(10)&amp;"إذا كانت التحديات لديكم تحتاج حلًا أشمل، فالبرنامج الكامل المناسب لكم هو: "&amp;H984&amp;"."&amp;IF(I984&lt;&gt;"",CHAR(10)&amp;"كما يمكنكم أيضًا حجز: "&amp;I984&amp;".","")&amp;IF(J984&lt;&gt;"",CHAR(10)&amp;CHAR(10)&amp;"رابط التقرير: "&amp;J984,"")&amp;CHAR(10)&amp;CHAR(10)&amp;"يسعدنا مساعدتكم في اختيار المسار الأنسب حسب وضع العيادة الحالي.")</x:f>
      </x:c>
      <x:c r="P984" s="12" t="str">
        <x:f>IF(D984="","",HYPERLINK("https://wa.me/"&amp;REGEXREPLACE(D984,"[^\d]","")&amp;"?text="&amp;ENCODEURL(O984),"واتساب 3"))</x:f>
      </x:c>
    </x:row>
    <x:row r="985" ht="15" hidden="0" customHeight="1">
      <x:c r="A985" s="12" t="str">
        <x:f>IF(Leads!A985="","",Leads!A985)</x:f>
      </x:c>
      <x:c r="B985" s="12" t="str">
        <x:f>IF(Leads!F985="","",Leads!F985)</x:f>
      </x:c>
      <x:c r="C985" s="12" t="str">
        <x:f>IF(Leads!G985="","",Leads!G985)</x:f>
      </x:c>
      <x:c r="D985" s="12" t="str">
        <x:f>IF(Leads!O985="","",Leads!O985)</x:f>
      </x:c>
      <x:c r="E985" s="12" t="str">
        <x:f>IF(Leads!AV985="","",Leads!AV985)</x:f>
      </x:c>
      <x:c r="F985" s="12" t="str">
        <x:f>IF(Leads!AX985="","",Leads!AX985)</x:f>
      </x:c>
      <x:c r="G985" s="12" t="str">
        <x:f>IF(Leads!BC985="","",Leads!BC985)</x:f>
      </x:c>
      <x:c r="H985" s="12" t="str">
        <x:f>IF(Leads!BE985="","",Leads!BE985)</x:f>
      </x:c>
      <x:c r="I985" s="12" t="str">
        <x:f>IF(Leads!BG985="","",Leads!BG985)</x:f>
      </x:c>
      <x:c r="J985" s="12" t="str">
        <x:f>IF(Leads!BH985="","",Leads!BH985)</x:f>
      </x:c>
      <x:c r="K985" s="12" t="str">
        <x:f>IF(A985="","","مرحبًا "&amp;C985&amp;CHAR(10)&amp;CHAR(10)&amp;"شكرًا لإتمام تقييم DBD الخاص بعيادة "&amp;B985&amp;"."&amp;CHAR(10)&amp;"نتيجتكم الحالية: "&amp;E985&amp;"%."&amp;CHAR(10)&amp;"أولوية التحسين الأولى: "&amp;F985&amp;"."&amp;IF(J985&lt;&gt;"",CHAR(10)&amp;CHAR(10)&amp;"رابط التقرير: "&amp;J985,"")&amp;CHAR(10)&amp;CHAR(10)&amp;"إذا أحببت، يمكننا مساعدتك في فهم التقرير وتحديد أفضل خطوة تالية لعيادتكم.")</x:f>
      </x:c>
      <x:c r="L985" s="12" t="str">
        <x:f>IF(D985="","",HYPERLINK("https://wa.me/"&amp;REGEXREPLACE(D985,"[^\d]","")&amp;"?text="&amp;ENCODEURL(K985),"واتساب 1"))</x:f>
      </x:c>
      <x:c r="M985" s="12" t="str">
        <x:f>IF(A985="","","مرحبًا "&amp;C985&amp;CHAR(10)&amp;CHAR(10)&amp;"بناءً على نتيجة تقييم عيادة "&amp;B985&amp;"، فإن الترشيح الأقوى لكم الآن هو: "&amp;G985&amp;"."&amp;CHAR(10)&amp;"هذا الخيار يساعدكم في معالجة أكبر فجوة حالية بشكل عملي ومباشر."&amp;IF(J985&lt;&gt;"",CHAR(10)&amp;CHAR(10)&amp;"رابط التقرير: "&amp;J985,"")&amp;CHAR(10)&amp;CHAR(10)&amp;"إذا رغبت، يمكننا توضيح لماذا هذا الكورس هو الأنسب لكم الآن.")</x:f>
      </x:c>
      <x:c r="N985" s="12" t="str">
        <x:f>IF(D985="","",HYPERLINK("https://wa.me/"&amp;REGEXREPLACE(D985,"[^\d]","")&amp;"?text="&amp;ENCODEURL(M985),"واتساب 2"))</x:f>
      </x:c>
      <x:c r="O985" s="12" t="str">
        <x:f>IF(A985="","","مرحبًا "&amp;C985&amp;CHAR(10)&amp;CHAR(10)&amp;"إذا كانت التحديات لديكم تحتاج حلًا أشمل، فالبرنامج الكامل المناسب لكم هو: "&amp;H985&amp;"."&amp;IF(I985&lt;&gt;"",CHAR(10)&amp;"كما يمكنكم أيضًا حجز: "&amp;I985&amp;".","")&amp;IF(J985&lt;&gt;"",CHAR(10)&amp;CHAR(10)&amp;"رابط التقرير: "&amp;J985,"")&amp;CHAR(10)&amp;CHAR(10)&amp;"يسعدنا مساعدتكم في اختيار المسار الأنسب حسب وضع العيادة الحالي.")</x:f>
      </x:c>
      <x:c r="P985" s="12" t="str">
        <x:f>IF(D985="","",HYPERLINK("https://wa.me/"&amp;REGEXREPLACE(D985,"[^\d]","")&amp;"?text="&amp;ENCODEURL(O985),"واتساب 3"))</x:f>
      </x:c>
    </x:row>
    <x:row r="986" ht="15" hidden="0" customHeight="1">
      <x:c r="A986" s="12" t="str">
        <x:f>IF(Leads!A986="","",Leads!A986)</x:f>
      </x:c>
      <x:c r="B986" s="12" t="str">
        <x:f>IF(Leads!F986="","",Leads!F986)</x:f>
      </x:c>
      <x:c r="C986" s="12" t="str">
        <x:f>IF(Leads!G986="","",Leads!G986)</x:f>
      </x:c>
      <x:c r="D986" s="12" t="str">
        <x:f>IF(Leads!O986="","",Leads!O986)</x:f>
      </x:c>
      <x:c r="E986" s="12" t="str">
        <x:f>IF(Leads!AV986="","",Leads!AV986)</x:f>
      </x:c>
      <x:c r="F986" s="12" t="str">
        <x:f>IF(Leads!AX986="","",Leads!AX986)</x:f>
      </x:c>
      <x:c r="G986" s="12" t="str">
        <x:f>IF(Leads!BC986="","",Leads!BC986)</x:f>
      </x:c>
      <x:c r="H986" s="12" t="str">
        <x:f>IF(Leads!BE986="","",Leads!BE986)</x:f>
      </x:c>
      <x:c r="I986" s="12" t="str">
        <x:f>IF(Leads!BG986="","",Leads!BG986)</x:f>
      </x:c>
      <x:c r="J986" s="12" t="str">
        <x:f>IF(Leads!BH986="","",Leads!BH986)</x:f>
      </x:c>
      <x:c r="K986" s="12" t="str">
        <x:f>IF(A986="","","مرحبًا "&amp;C986&amp;CHAR(10)&amp;CHAR(10)&amp;"شكرًا لإتمام تقييم DBD الخاص بعيادة "&amp;B986&amp;"."&amp;CHAR(10)&amp;"نتيجتكم الحالية: "&amp;E986&amp;"%."&amp;CHAR(10)&amp;"أولوية التحسين الأولى: "&amp;F986&amp;"."&amp;IF(J986&lt;&gt;"",CHAR(10)&amp;CHAR(10)&amp;"رابط التقرير: "&amp;J986,"")&amp;CHAR(10)&amp;CHAR(10)&amp;"إذا أحببت، يمكننا مساعدتك في فهم التقرير وتحديد أفضل خطوة تالية لعيادتكم.")</x:f>
      </x:c>
      <x:c r="L986" s="12" t="str">
        <x:f>IF(D986="","",HYPERLINK("https://wa.me/"&amp;REGEXREPLACE(D986,"[^\d]","")&amp;"?text="&amp;ENCODEURL(K986),"واتساب 1"))</x:f>
      </x:c>
      <x:c r="M986" s="12" t="str">
        <x:f>IF(A986="","","مرحبًا "&amp;C986&amp;CHAR(10)&amp;CHAR(10)&amp;"بناءً على نتيجة تقييم عيادة "&amp;B986&amp;"، فإن الترشيح الأقوى لكم الآن هو: "&amp;G986&amp;"."&amp;CHAR(10)&amp;"هذا الخيار يساعدكم في معالجة أكبر فجوة حالية بشكل عملي ومباشر."&amp;IF(J986&lt;&gt;"",CHAR(10)&amp;CHAR(10)&amp;"رابط التقرير: "&amp;J986,"")&amp;CHAR(10)&amp;CHAR(10)&amp;"إذا رغبت، يمكننا توضيح لماذا هذا الكورس هو الأنسب لكم الآن.")</x:f>
      </x:c>
      <x:c r="N986" s="12" t="str">
        <x:f>IF(D986="","",HYPERLINK("https://wa.me/"&amp;REGEXREPLACE(D986,"[^\d]","")&amp;"?text="&amp;ENCODEURL(M986),"واتساب 2"))</x:f>
      </x:c>
      <x:c r="O986" s="12" t="str">
        <x:f>IF(A986="","","مرحبًا "&amp;C986&amp;CHAR(10)&amp;CHAR(10)&amp;"إذا كانت التحديات لديكم تحتاج حلًا أشمل، فالبرنامج الكامل المناسب لكم هو: "&amp;H986&amp;"."&amp;IF(I986&lt;&gt;"",CHAR(10)&amp;"كما يمكنكم أيضًا حجز: "&amp;I986&amp;".","")&amp;IF(J986&lt;&gt;"",CHAR(10)&amp;CHAR(10)&amp;"رابط التقرير: "&amp;J986,"")&amp;CHAR(10)&amp;CHAR(10)&amp;"يسعدنا مساعدتكم في اختيار المسار الأنسب حسب وضع العيادة الحالي.")</x:f>
      </x:c>
      <x:c r="P986" s="12" t="str">
        <x:f>IF(D986="","",HYPERLINK("https://wa.me/"&amp;REGEXREPLACE(D986,"[^\d]","")&amp;"?text="&amp;ENCODEURL(O986),"واتساب 3"))</x:f>
      </x:c>
    </x:row>
    <x:row r="987" ht="15" hidden="0" customHeight="1">
      <x:c r="A987" s="12" t="str">
        <x:f>IF(Leads!A987="","",Leads!A987)</x:f>
      </x:c>
      <x:c r="B987" s="12" t="str">
        <x:f>IF(Leads!F987="","",Leads!F987)</x:f>
      </x:c>
      <x:c r="C987" s="12" t="str">
        <x:f>IF(Leads!G987="","",Leads!G987)</x:f>
      </x:c>
      <x:c r="D987" s="12" t="str">
        <x:f>IF(Leads!O987="","",Leads!O987)</x:f>
      </x:c>
      <x:c r="E987" s="12" t="str">
        <x:f>IF(Leads!AV987="","",Leads!AV987)</x:f>
      </x:c>
      <x:c r="F987" s="12" t="str">
        <x:f>IF(Leads!AX987="","",Leads!AX987)</x:f>
      </x:c>
      <x:c r="G987" s="12" t="str">
        <x:f>IF(Leads!BC987="","",Leads!BC987)</x:f>
      </x:c>
      <x:c r="H987" s="12" t="str">
        <x:f>IF(Leads!BE987="","",Leads!BE987)</x:f>
      </x:c>
      <x:c r="I987" s="12" t="str">
        <x:f>IF(Leads!BG987="","",Leads!BG987)</x:f>
      </x:c>
      <x:c r="J987" s="12" t="str">
        <x:f>IF(Leads!BH987="","",Leads!BH987)</x:f>
      </x:c>
      <x:c r="K987" s="12" t="str">
        <x:f>IF(A987="","","مرحبًا "&amp;C987&amp;CHAR(10)&amp;CHAR(10)&amp;"شكرًا لإتمام تقييم DBD الخاص بعيادة "&amp;B987&amp;"."&amp;CHAR(10)&amp;"نتيجتكم الحالية: "&amp;E987&amp;"%."&amp;CHAR(10)&amp;"أولوية التحسين الأولى: "&amp;F987&amp;"."&amp;IF(J987&lt;&gt;"",CHAR(10)&amp;CHAR(10)&amp;"رابط التقرير: "&amp;J987,"")&amp;CHAR(10)&amp;CHAR(10)&amp;"إذا أحببت، يمكننا مساعدتك في فهم التقرير وتحديد أفضل خطوة تالية لعيادتكم.")</x:f>
      </x:c>
      <x:c r="L987" s="12" t="str">
        <x:f>IF(D987="","",HYPERLINK("https://wa.me/"&amp;REGEXREPLACE(D987,"[^\d]","")&amp;"?text="&amp;ENCODEURL(K987),"واتساب 1"))</x:f>
      </x:c>
      <x:c r="M987" s="12" t="str">
        <x:f>IF(A987="","","مرحبًا "&amp;C987&amp;CHAR(10)&amp;CHAR(10)&amp;"بناءً على نتيجة تقييم عيادة "&amp;B987&amp;"، فإن الترشيح الأقوى لكم الآن هو: "&amp;G987&amp;"."&amp;CHAR(10)&amp;"هذا الخيار يساعدكم في معالجة أكبر فجوة حالية بشكل عملي ومباشر."&amp;IF(J987&lt;&gt;"",CHAR(10)&amp;CHAR(10)&amp;"رابط التقرير: "&amp;J987,"")&amp;CHAR(10)&amp;CHAR(10)&amp;"إذا رغبت، يمكننا توضيح لماذا هذا الكورس هو الأنسب لكم الآن.")</x:f>
      </x:c>
      <x:c r="N987" s="12" t="str">
        <x:f>IF(D987="","",HYPERLINK("https://wa.me/"&amp;REGEXREPLACE(D987,"[^\d]","")&amp;"?text="&amp;ENCODEURL(M987),"واتساب 2"))</x:f>
      </x:c>
      <x:c r="O987" s="12" t="str">
        <x:f>IF(A987="","","مرحبًا "&amp;C987&amp;CHAR(10)&amp;CHAR(10)&amp;"إذا كانت التحديات لديكم تحتاج حلًا أشمل، فالبرنامج الكامل المناسب لكم هو: "&amp;H987&amp;"."&amp;IF(I987&lt;&gt;"",CHAR(10)&amp;"كما يمكنكم أيضًا حجز: "&amp;I987&amp;".","")&amp;IF(J987&lt;&gt;"",CHAR(10)&amp;CHAR(10)&amp;"رابط التقرير: "&amp;J987,"")&amp;CHAR(10)&amp;CHAR(10)&amp;"يسعدنا مساعدتكم في اختيار المسار الأنسب حسب وضع العيادة الحالي.")</x:f>
      </x:c>
      <x:c r="P987" s="12" t="str">
        <x:f>IF(D987="","",HYPERLINK("https://wa.me/"&amp;REGEXREPLACE(D987,"[^\d]","")&amp;"?text="&amp;ENCODEURL(O987),"واتساب 3"))</x:f>
      </x:c>
    </x:row>
    <x:row r="988" ht="15" hidden="0" customHeight="1">
      <x:c r="A988" s="12" t="str">
        <x:f>IF(Leads!A988="","",Leads!A988)</x:f>
      </x:c>
      <x:c r="B988" s="12" t="str">
        <x:f>IF(Leads!F988="","",Leads!F988)</x:f>
      </x:c>
      <x:c r="C988" s="12" t="str">
        <x:f>IF(Leads!G988="","",Leads!G988)</x:f>
      </x:c>
      <x:c r="D988" s="12" t="str">
        <x:f>IF(Leads!O988="","",Leads!O988)</x:f>
      </x:c>
      <x:c r="E988" s="12" t="str">
        <x:f>IF(Leads!AV988="","",Leads!AV988)</x:f>
      </x:c>
      <x:c r="F988" s="12" t="str">
        <x:f>IF(Leads!AX988="","",Leads!AX988)</x:f>
      </x:c>
      <x:c r="G988" s="12" t="str">
        <x:f>IF(Leads!BC988="","",Leads!BC988)</x:f>
      </x:c>
      <x:c r="H988" s="12" t="str">
        <x:f>IF(Leads!BE988="","",Leads!BE988)</x:f>
      </x:c>
      <x:c r="I988" s="12" t="str">
        <x:f>IF(Leads!BG988="","",Leads!BG988)</x:f>
      </x:c>
      <x:c r="J988" s="12" t="str">
        <x:f>IF(Leads!BH988="","",Leads!BH988)</x:f>
      </x:c>
      <x:c r="K988" s="12" t="str">
        <x:f>IF(A988="","","مرحبًا "&amp;C988&amp;CHAR(10)&amp;CHAR(10)&amp;"شكرًا لإتمام تقييم DBD الخاص بعيادة "&amp;B988&amp;"."&amp;CHAR(10)&amp;"نتيجتكم الحالية: "&amp;E988&amp;"%."&amp;CHAR(10)&amp;"أولوية التحسين الأولى: "&amp;F988&amp;"."&amp;IF(J988&lt;&gt;"",CHAR(10)&amp;CHAR(10)&amp;"رابط التقرير: "&amp;J988,"")&amp;CHAR(10)&amp;CHAR(10)&amp;"إذا أحببت، يمكننا مساعدتك في فهم التقرير وتحديد أفضل خطوة تالية لعيادتكم.")</x:f>
      </x:c>
      <x:c r="L988" s="12" t="str">
        <x:f>IF(D988="","",HYPERLINK("https://wa.me/"&amp;REGEXREPLACE(D988,"[^\d]","")&amp;"?text="&amp;ENCODEURL(K988),"واتساب 1"))</x:f>
      </x:c>
      <x:c r="M988" s="12" t="str">
        <x:f>IF(A988="","","مرحبًا "&amp;C988&amp;CHAR(10)&amp;CHAR(10)&amp;"بناءً على نتيجة تقييم عيادة "&amp;B988&amp;"، فإن الترشيح الأقوى لكم الآن هو: "&amp;G988&amp;"."&amp;CHAR(10)&amp;"هذا الخيار يساعدكم في معالجة أكبر فجوة حالية بشكل عملي ومباشر."&amp;IF(J988&lt;&gt;"",CHAR(10)&amp;CHAR(10)&amp;"رابط التقرير: "&amp;J988,"")&amp;CHAR(10)&amp;CHAR(10)&amp;"إذا رغبت، يمكننا توضيح لماذا هذا الكورس هو الأنسب لكم الآن.")</x:f>
      </x:c>
      <x:c r="N988" s="12" t="str">
        <x:f>IF(D988="","",HYPERLINK("https://wa.me/"&amp;REGEXREPLACE(D988,"[^\d]","")&amp;"?text="&amp;ENCODEURL(M988),"واتساب 2"))</x:f>
      </x:c>
      <x:c r="O988" s="12" t="str">
        <x:f>IF(A988="","","مرحبًا "&amp;C988&amp;CHAR(10)&amp;CHAR(10)&amp;"إذا كانت التحديات لديكم تحتاج حلًا أشمل، فالبرنامج الكامل المناسب لكم هو: "&amp;H988&amp;"."&amp;IF(I988&lt;&gt;"",CHAR(10)&amp;"كما يمكنكم أيضًا حجز: "&amp;I988&amp;".","")&amp;IF(J988&lt;&gt;"",CHAR(10)&amp;CHAR(10)&amp;"رابط التقرير: "&amp;J988,"")&amp;CHAR(10)&amp;CHAR(10)&amp;"يسعدنا مساعدتكم في اختيار المسار الأنسب حسب وضع العيادة الحالي.")</x:f>
      </x:c>
      <x:c r="P988" s="12" t="str">
        <x:f>IF(D988="","",HYPERLINK("https://wa.me/"&amp;REGEXREPLACE(D988,"[^\d]","")&amp;"?text="&amp;ENCODEURL(O988),"واتساب 3"))</x:f>
      </x:c>
    </x:row>
    <x:row r="989" ht="15" hidden="0" customHeight="1">
      <x:c r="A989" s="12" t="str">
        <x:f>IF(Leads!A989="","",Leads!A989)</x:f>
      </x:c>
      <x:c r="B989" s="12" t="str">
        <x:f>IF(Leads!F989="","",Leads!F989)</x:f>
      </x:c>
      <x:c r="C989" s="12" t="str">
        <x:f>IF(Leads!G989="","",Leads!G989)</x:f>
      </x:c>
      <x:c r="D989" s="12" t="str">
        <x:f>IF(Leads!O989="","",Leads!O989)</x:f>
      </x:c>
      <x:c r="E989" s="12" t="str">
        <x:f>IF(Leads!AV989="","",Leads!AV989)</x:f>
      </x:c>
      <x:c r="F989" s="12" t="str">
        <x:f>IF(Leads!AX989="","",Leads!AX989)</x:f>
      </x:c>
      <x:c r="G989" s="12" t="str">
        <x:f>IF(Leads!BC989="","",Leads!BC989)</x:f>
      </x:c>
      <x:c r="H989" s="12" t="str">
        <x:f>IF(Leads!BE989="","",Leads!BE989)</x:f>
      </x:c>
      <x:c r="I989" s="12" t="str">
        <x:f>IF(Leads!BG989="","",Leads!BG989)</x:f>
      </x:c>
      <x:c r="J989" s="12" t="str">
        <x:f>IF(Leads!BH989="","",Leads!BH989)</x:f>
      </x:c>
      <x:c r="K989" s="12" t="str">
        <x:f>IF(A989="","","مرحبًا "&amp;C989&amp;CHAR(10)&amp;CHAR(10)&amp;"شكرًا لإتمام تقييم DBD الخاص بعيادة "&amp;B989&amp;"."&amp;CHAR(10)&amp;"نتيجتكم الحالية: "&amp;E989&amp;"%."&amp;CHAR(10)&amp;"أولوية التحسين الأولى: "&amp;F989&amp;"."&amp;IF(J989&lt;&gt;"",CHAR(10)&amp;CHAR(10)&amp;"رابط التقرير: "&amp;J989,"")&amp;CHAR(10)&amp;CHAR(10)&amp;"إذا أحببت، يمكننا مساعدتك في فهم التقرير وتحديد أفضل خطوة تالية لعيادتكم.")</x:f>
      </x:c>
      <x:c r="L989" s="12" t="str">
        <x:f>IF(D989="","",HYPERLINK("https://wa.me/"&amp;REGEXREPLACE(D989,"[^\d]","")&amp;"?text="&amp;ENCODEURL(K989),"واتساب 1"))</x:f>
      </x:c>
      <x:c r="M989" s="12" t="str">
        <x:f>IF(A989="","","مرحبًا "&amp;C989&amp;CHAR(10)&amp;CHAR(10)&amp;"بناءً على نتيجة تقييم عيادة "&amp;B989&amp;"، فإن الترشيح الأقوى لكم الآن هو: "&amp;G989&amp;"."&amp;CHAR(10)&amp;"هذا الخيار يساعدكم في معالجة أكبر فجوة حالية بشكل عملي ومباشر."&amp;IF(J989&lt;&gt;"",CHAR(10)&amp;CHAR(10)&amp;"رابط التقرير: "&amp;J989,"")&amp;CHAR(10)&amp;CHAR(10)&amp;"إذا رغبت، يمكننا توضيح لماذا هذا الكورس هو الأنسب لكم الآن.")</x:f>
      </x:c>
      <x:c r="N989" s="12" t="str">
        <x:f>IF(D989="","",HYPERLINK("https://wa.me/"&amp;REGEXREPLACE(D989,"[^\d]","")&amp;"?text="&amp;ENCODEURL(M989),"واتساب 2"))</x:f>
      </x:c>
      <x:c r="O989" s="12" t="str">
        <x:f>IF(A989="","","مرحبًا "&amp;C989&amp;CHAR(10)&amp;CHAR(10)&amp;"إذا كانت التحديات لديكم تحتاج حلًا أشمل، فالبرنامج الكامل المناسب لكم هو: "&amp;H989&amp;"."&amp;IF(I989&lt;&gt;"",CHAR(10)&amp;"كما يمكنكم أيضًا حجز: "&amp;I989&amp;".","")&amp;IF(J989&lt;&gt;"",CHAR(10)&amp;CHAR(10)&amp;"رابط التقرير: "&amp;J989,"")&amp;CHAR(10)&amp;CHAR(10)&amp;"يسعدنا مساعدتكم في اختيار المسار الأنسب حسب وضع العيادة الحالي.")</x:f>
      </x:c>
      <x:c r="P989" s="12" t="str">
        <x:f>IF(D989="","",HYPERLINK("https://wa.me/"&amp;REGEXREPLACE(D989,"[^\d]","")&amp;"?text="&amp;ENCODEURL(O989),"واتساب 3"))</x:f>
      </x:c>
    </x:row>
    <x:row r="990" ht="15" hidden="0" customHeight="1">
      <x:c r="A990" s="12" t="str">
        <x:f>IF(Leads!A990="","",Leads!A990)</x:f>
      </x:c>
      <x:c r="B990" s="12" t="str">
        <x:f>IF(Leads!F990="","",Leads!F990)</x:f>
      </x:c>
      <x:c r="C990" s="12" t="str">
        <x:f>IF(Leads!G990="","",Leads!G990)</x:f>
      </x:c>
      <x:c r="D990" s="12" t="str">
        <x:f>IF(Leads!O990="","",Leads!O990)</x:f>
      </x:c>
      <x:c r="E990" s="12" t="str">
        <x:f>IF(Leads!AV990="","",Leads!AV990)</x:f>
      </x:c>
      <x:c r="F990" s="12" t="str">
        <x:f>IF(Leads!AX990="","",Leads!AX990)</x:f>
      </x:c>
      <x:c r="G990" s="12" t="str">
        <x:f>IF(Leads!BC990="","",Leads!BC990)</x:f>
      </x:c>
      <x:c r="H990" s="12" t="str">
        <x:f>IF(Leads!BE990="","",Leads!BE990)</x:f>
      </x:c>
      <x:c r="I990" s="12" t="str">
        <x:f>IF(Leads!BG990="","",Leads!BG990)</x:f>
      </x:c>
      <x:c r="J990" s="12" t="str">
        <x:f>IF(Leads!BH990="","",Leads!BH990)</x:f>
      </x:c>
      <x:c r="K990" s="12" t="str">
        <x:f>IF(A990="","","مرحبًا "&amp;C990&amp;CHAR(10)&amp;CHAR(10)&amp;"شكرًا لإتمام تقييم DBD الخاص بعيادة "&amp;B990&amp;"."&amp;CHAR(10)&amp;"نتيجتكم الحالية: "&amp;E990&amp;"%."&amp;CHAR(10)&amp;"أولوية التحسين الأولى: "&amp;F990&amp;"."&amp;IF(J990&lt;&gt;"",CHAR(10)&amp;CHAR(10)&amp;"رابط التقرير: "&amp;J990,"")&amp;CHAR(10)&amp;CHAR(10)&amp;"إذا أحببت، يمكننا مساعدتك في فهم التقرير وتحديد أفضل خطوة تالية لعيادتكم.")</x:f>
      </x:c>
      <x:c r="L990" s="12" t="str">
        <x:f>IF(D990="","",HYPERLINK("https://wa.me/"&amp;REGEXREPLACE(D990,"[^\d]","")&amp;"?text="&amp;ENCODEURL(K990),"واتساب 1"))</x:f>
      </x:c>
      <x:c r="M990" s="12" t="str">
        <x:f>IF(A990="","","مرحبًا "&amp;C990&amp;CHAR(10)&amp;CHAR(10)&amp;"بناءً على نتيجة تقييم عيادة "&amp;B990&amp;"، فإن الترشيح الأقوى لكم الآن هو: "&amp;G990&amp;"."&amp;CHAR(10)&amp;"هذا الخيار يساعدكم في معالجة أكبر فجوة حالية بشكل عملي ومباشر."&amp;IF(J990&lt;&gt;"",CHAR(10)&amp;CHAR(10)&amp;"رابط التقرير: "&amp;J990,"")&amp;CHAR(10)&amp;CHAR(10)&amp;"إذا رغبت، يمكننا توضيح لماذا هذا الكورس هو الأنسب لكم الآن.")</x:f>
      </x:c>
      <x:c r="N990" s="12" t="str">
        <x:f>IF(D990="","",HYPERLINK("https://wa.me/"&amp;REGEXREPLACE(D990,"[^\d]","")&amp;"?text="&amp;ENCODEURL(M990),"واتساب 2"))</x:f>
      </x:c>
      <x:c r="O990" s="12" t="str">
        <x:f>IF(A990="","","مرحبًا "&amp;C990&amp;CHAR(10)&amp;CHAR(10)&amp;"إذا كانت التحديات لديكم تحتاج حلًا أشمل، فالبرنامج الكامل المناسب لكم هو: "&amp;H990&amp;"."&amp;IF(I990&lt;&gt;"",CHAR(10)&amp;"كما يمكنكم أيضًا حجز: "&amp;I990&amp;".","")&amp;IF(J990&lt;&gt;"",CHAR(10)&amp;CHAR(10)&amp;"رابط التقرير: "&amp;J990,"")&amp;CHAR(10)&amp;CHAR(10)&amp;"يسعدنا مساعدتكم في اختيار المسار الأنسب حسب وضع العيادة الحالي.")</x:f>
      </x:c>
      <x:c r="P990" s="12" t="str">
        <x:f>IF(D990="","",HYPERLINK("https://wa.me/"&amp;REGEXREPLACE(D990,"[^\d]","")&amp;"?text="&amp;ENCODEURL(O990),"واتساب 3"))</x:f>
      </x:c>
    </x:row>
    <x:row r="991" ht="15" hidden="0" customHeight="1">
      <x:c r="A991" s="12" t="str">
        <x:f>IF(Leads!A991="","",Leads!A991)</x:f>
      </x:c>
      <x:c r="B991" s="12" t="str">
        <x:f>IF(Leads!F991="","",Leads!F991)</x:f>
      </x:c>
      <x:c r="C991" s="12" t="str">
        <x:f>IF(Leads!G991="","",Leads!G991)</x:f>
      </x:c>
      <x:c r="D991" s="12" t="str">
        <x:f>IF(Leads!O991="","",Leads!O991)</x:f>
      </x:c>
      <x:c r="E991" s="12" t="str">
        <x:f>IF(Leads!AV991="","",Leads!AV991)</x:f>
      </x:c>
      <x:c r="F991" s="12" t="str">
        <x:f>IF(Leads!AX991="","",Leads!AX991)</x:f>
      </x:c>
      <x:c r="G991" s="12" t="str">
        <x:f>IF(Leads!BC991="","",Leads!BC991)</x:f>
      </x:c>
      <x:c r="H991" s="12" t="str">
        <x:f>IF(Leads!BE991="","",Leads!BE991)</x:f>
      </x:c>
      <x:c r="I991" s="12" t="str">
        <x:f>IF(Leads!BG991="","",Leads!BG991)</x:f>
      </x:c>
      <x:c r="J991" s="12" t="str">
        <x:f>IF(Leads!BH991="","",Leads!BH991)</x:f>
      </x:c>
      <x:c r="K991" s="12" t="str">
        <x:f>IF(A991="","","مرحبًا "&amp;C991&amp;CHAR(10)&amp;CHAR(10)&amp;"شكرًا لإتمام تقييم DBD الخاص بعيادة "&amp;B991&amp;"."&amp;CHAR(10)&amp;"نتيجتكم الحالية: "&amp;E991&amp;"%."&amp;CHAR(10)&amp;"أولوية التحسين الأولى: "&amp;F991&amp;"."&amp;IF(J991&lt;&gt;"",CHAR(10)&amp;CHAR(10)&amp;"رابط التقرير: "&amp;J991,"")&amp;CHAR(10)&amp;CHAR(10)&amp;"إذا أحببت، يمكننا مساعدتك في فهم التقرير وتحديد أفضل خطوة تالية لعيادتكم.")</x:f>
      </x:c>
      <x:c r="L991" s="12" t="str">
        <x:f>IF(D991="","",HYPERLINK("https://wa.me/"&amp;REGEXREPLACE(D991,"[^\d]","")&amp;"?text="&amp;ENCODEURL(K991),"واتساب 1"))</x:f>
      </x:c>
      <x:c r="M991" s="12" t="str">
        <x:f>IF(A991="","","مرحبًا "&amp;C991&amp;CHAR(10)&amp;CHAR(10)&amp;"بناءً على نتيجة تقييم عيادة "&amp;B991&amp;"، فإن الترشيح الأقوى لكم الآن هو: "&amp;G991&amp;"."&amp;CHAR(10)&amp;"هذا الخيار يساعدكم في معالجة أكبر فجوة حالية بشكل عملي ومباشر."&amp;IF(J991&lt;&gt;"",CHAR(10)&amp;CHAR(10)&amp;"رابط التقرير: "&amp;J991,"")&amp;CHAR(10)&amp;CHAR(10)&amp;"إذا رغبت، يمكننا توضيح لماذا هذا الكورس هو الأنسب لكم الآن.")</x:f>
      </x:c>
      <x:c r="N991" s="12" t="str">
        <x:f>IF(D991="","",HYPERLINK("https://wa.me/"&amp;REGEXREPLACE(D991,"[^\d]","")&amp;"?text="&amp;ENCODEURL(M991),"واتساب 2"))</x:f>
      </x:c>
      <x:c r="O991" s="12" t="str">
        <x:f>IF(A991="","","مرحبًا "&amp;C991&amp;CHAR(10)&amp;CHAR(10)&amp;"إذا كانت التحديات لديكم تحتاج حلًا أشمل، فالبرنامج الكامل المناسب لكم هو: "&amp;H991&amp;"."&amp;IF(I991&lt;&gt;"",CHAR(10)&amp;"كما يمكنكم أيضًا حجز: "&amp;I991&amp;".","")&amp;IF(J991&lt;&gt;"",CHAR(10)&amp;CHAR(10)&amp;"رابط التقرير: "&amp;J991,"")&amp;CHAR(10)&amp;CHAR(10)&amp;"يسعدنا مساعدتكم في اختيار المسار الأنسب حسب وضع العيادة الحالي.")</x:f>
      </x:c>
      <x:c r="P991" s="12" t="str">
        <x:f>IF(D991="","",HYPERLINK("https://wa.me/"&amp;REGEXREPLACE(D991,"[^\d]","")&amp;"?text="&amp;ENCODEURL(O991),"واتساب 3"))</x:f>
      </x:c>
    </x:row>
    <x:row r="992" ht="15" hidden="0" customHeight="1">
      <x:c r="A992" s="12" t="str">
        <x:f>IF(Leads!A992="","",Leads!A992)</x:f>
      </x:c>
      <x:c r="B992" s="12" t="str">
        <x:f>IF(Leads!F992="","",Leads!F992)</x:f>
      </x:c>
      <x:c r="C992" s="12" t="str">
        <x:f>IF(Leads!G992="","",Leads!G992)</x:f>
      </x:c>
      <x:c r="D992" s="12" t="str">
        <x:f>IF(Leads!O992="","",Leads!O992)</x:f>
      </x:c>
      <x:c r="E992" s="12" t="str">
        <x:f>IF(Leads!AV992="","",Leads!AV992)</x:f>
      </x:c>
      <x:c r="F992" s="12" t="str">
        <x:f>IF(Leads!AX992="","",Leads!AX992)</x:f>
      </x:c>
      <x:c r="G992" s="12" t="str">
        <x:f>IF(Leads!BC992="","",Leads!BC992)</x:f>
      </x:c>
      <x:c r="H992" s="12" t="str">
        <x:f>IF(Leads!BE992="","",Leads!BE992)</x:f>
      </x:c>
      <x:c r="I992" s="12" t="str">
        <x:f>IF(Leads!BG992="","",Leads!BG992)</x:f>
      </x:c>
      <x:c r="J992" s="12" t="str">
        <x:f>IF(Leads!BH992="","",Leads!BH992)</x:f>
      </x:c>
      <x:c r="K992" s="12" t="str">
        <x:f>IF(A992="","","مرحبًا "&amp;C992&amp;CHAR(10)&amp;CHAR(10)&amp;"شكرًا لإتمام تقييم DBD الخاص بعيادة "&amp;B992&amp;"."&amp;CHAR(10)&amp;"نتيجتكم الحالية: "&amp;E992&amp;"%."&amp;CHAR(10)&amp;"أولوية التحسين الأولى: "&amp;F992&amp;"."&amp;IF(J992&lt;&gt;"",CHAR(10)&amp;CHAR(10)&amp;"رابط التقرير: "&amp;J992,"")&amp;CHAR(10)&amp;CHAR(10)&amp;"إذا أحببت، يمكننا مساعدتك في فهم التقرير وتحديد أفضل خطوة تالية لعيادتكم.")</x:f>
      </x:c>
      <x:c r="L992" s="12" t="str">
        <x:f>IF(D992="","",HYPERLINK("https://wa.me/"&amp;REGEXREPLACE(D992,"[^\d]","")&amp;"?text="&amp;ENCODEURL(K992),"واتساب 1"))</x:f>
      </x:c>
      <x:c r="M992" s="12" t="str">
        <x:f>IF(A992="","","مرحبًا "&amp;C992&amp;CHAR(10)&amp;CHAR(10)&amp;"بناءً على نتيجة تقييم عيادة "&amp;B992&amp;"، فإن الترشيح الأقوى لكم الآن هو: "&amp;G992&amp;"."&amp;CHAR(10)&amp;"هذا الخيار يساعدكم في معالجة أكبر فجوة حالية بشكل عملي ومباشر."&amp;IF(J992&lt;&gt;"",CHAR(10)&amp;CHAR(10)&amp;"رابط التقرير: "&amp;J992,"")&amp;CHAR(10)&amp;CHAR(10)&amp;"إذا رغبت، يمكننا توضيح لماذا هذا الكورس هو الأنسب لكم الآن.")</x:f>
      </x:c>
      <x:c r="N992" s="12" t="str">
        <x:f>IF(D992="","",HYPERLINK("https://wa.me/"&amp;REGEXREPLACE(D992,"[^\d]","")&amp;"?text="&amp;ENCODEURL(M992),"واتساب 2"))</x:f>
      </x:c>
      <x:c r="O992" s="12" t="str">
        <x:f>IF(A992="","","مرحبًا "&amp;C992&amp;CHAR(10)&amp;CHAR(10)&amp;"إذا كانت التحديات لديكم تحتاج حلًا أشمل، فالبرنامج الكامل المناسب لكم هو: "&amp;H992&amp;"."&amp;IF(I992&lt;&gt;"",CHAR(10)&amp;"كما يمكنكم أيضًا حجز: "&amp;I992&amp;".","")&amp;IF(J992&lt;&gt;"",CHAR(10)&amp;CHAR(10)&amp;"رابط التقرير: "&amp;J992,"")&amp;CHAR(10)&amp;CHAR(10)&amp;"يسعدنا مساعدتكم في اختيار المسار الأنسب حسب وضع العيادة الحالي.")</x:f>
      </x:c>
      <x:c r="P992" s="12" t="str">
        <x:f>IF(D992="","",HYPERLINK("https://wa.me/"&amp;REGEXREPLACE(D992,"[^\d]","")&amp;"?text="&amp;ENCODEURL(O992),"واتساب 3"))</x:f>
      </x:c>
    </x:row>
    <x:row r="993" ht="15" hidden="0" customHeight="1">
      <x:c r="A993" s="12" t="str">
        <x:f>IF(Leads!A993="","",Leads!A993)</x:f>
      </x:c>
      <x:c r="B993" s="12" t="str">
        <x:f>IF(Leads!F993="","",Leads!F993)</x:f>
      </x:c>
      <x:c r="C993" s="12" t="str">
        <x:f>IF(Leads!G993="","",Leads!G993)</x:f>
      </x:c>
      <x:c r="D993" s="12" t="str">
        <x:f>IF(Leads!O993="","",Leads!O993)</x:f>
      </x:c>
      <x:c r="E993" s="12" t="str">
        <x:f>IF(Leads!AV993="","",Leads!AV993)</x:f>
      </x:c>
      <x:c r="F993" s="12" t="str">
        <x:f>IF(Leads!AX993="","",Leads!AX993)</x:f>
      </x:c>
      <x:c r="G993" s="12" t="str">
        <x:f>IF(Leads!BC993="","",Leads!BC993)</x:f>
      </x:c>
      <x:c r="H993" s="12" t="str">
        <x:f>IF(Leads!BE993="","",Leads!BE993)</x:f>
      </x:c>
      <x:c r="I993" s="12" t="str">
        <x:f>IF(Leads!BG993="","",Leads!BG993)</x:f>
      </x:c>
      <x:c r="J993" s="12" t="str">
        <x:f>IF(Leads!BH993="","",Leads!BH993)</x:f>
      </x:c>
      <x:c r="K993" s="12" t="str">
        <x:f>IF(A993="","","مرحبًا "&amp;C993&amp;CHAR(10)&amp;CHAR(10)&amp;"شكرًا لإتمام تقييم DBD الخاص بعيادة "&amp;B993&amp;"."&amp;CHAR(10)&amp;"نتيجتكم الحالية: "&amp;E993&amp;"%."&amp;CHAR(10)&amp;"أولوية التحسين الأولى: "&amp;F993&amp;"."&amp;IF(J993&lt;&gt;"",CHAR(10)&amp;CHAR(10)&amp;"رابط التقرير: "&amp;J993,"")&amp;CHAR(10)&amp;CHAR(10)&amp;"إذا أحببت، يمكننا مساعدتك في فهم التقرير وتحديد أفضل خطوة تالية لعيادتكم.")</x:f>
      </x:c>
      <x:c r="L993" s="12" t="str">
        <x:f>IF(D993="","",HYPERLINK("https://wa.me/"&amp;REGEXREPLACE(D993,"[^\d]","")&amp;"?text="&amp;ENCODEURL(K993),"واتساب 1"))</x:f>
      </x:c>
      <x:c r="M993" s="12" t="str">
        <x:f>IF(A993="","","مرحبًا "&amp;C993&amp;CHAR(10)&amp;CHAR(10)&amp;"بناءً على نتيجة تقييم عيادة "&amp;B993&amp;"، فإن الترشيح الأقوى لكم الآن هو: "&amp;G993&amp;"."&amp;CHAR(10)&amp;"هذا الخيار يساعدكم في معالجة أكبر فجوة حالية بشكل عملي ومباشر."&amp;IF(J993&lt;&gt;"",CHAR(10)&amp;CHAR(10)&amp;"رابط التقرير: "&amp;J993,"")&amp;CHAR(10)&amp;CHAR(10)&amp;"إذا رغبت، يمكننا توضيح لماذا هذا الكورس هو الأنسب لكم الآن.")</x:f>
      </x:c>
      <x:c r="N993" s="12" t="str">
        <x:f>IF(D993="","",HYPERLINK("https://wa.me/"&amp;REGEXREPLACE(D993,"[^\d]","")&amp;"?text="&amp;ENCODEURL(M993),"واتساب 2"))</x:f>
      </x:c>
      <x:c r="O993" s="12" t="str">
        <x:f>IF(A993="","","مرحبًا "&amp;C993&amp;CHAR(10)&amp;CHAR(10)&amp;"إذا كانت التحديات لديكم تحتاج حلًا أشمل، فالبرنامج الكامل المناسب لكم هو: "&amp;H993&amp;"."&amp;IF(I993&lt;&gt;"",CHAR(10)&amp;"كما يمكنكم أيضًا حجز: "&amp;I993&amp;".","")&amp;IF(J993&lt;&gt;"",CHAR(10)&amp;CHAR(10)&amp;"رابط التقرير: "&amp;J993,"")&amp;CHAR(10)&amp;CHAR(10)&amp;"يسعدنا مساعدتكم في اختيار المسار الأنسب حسب وضع العيادة الحالي.")</x:f>
      </x:c>
      <x:c r="P993" s="12" t="str">
        <x:f>IF(D993="","",HYPERLINK("https://wa.me/"&amp;REGEXREPLACE(D993,"[^\d]","")&amp;"?text="&amp;ENCODEURL(O993),"واتساب 3"))</x:f>
      </x:c>
    </x:row>
    <x:row r="994" ht="15" hidden="0" customHeight="1">
      <x:c r="A994" s="12" t="str">
        <x:f>IF(Leads!A994="","",Leads!A994)</x:f>
      </x:c>
      <x:c r="B994" s="12" t="str">
        <x:f>IF(Leads!F994="","",Leads!F994)</x:f>
      </x:c>
      <x:c r="C994" s="12" t="str">
        <x:f>IF(Leads!G994="","",Leads!G994)</x:f>
      </x:c>
      <x:c r="D994" s="12" t="str">
        <x:f>IF(Leads!O994="","",Leads!O994)</x:f>
      </x:c>
      <x:c r="E994" s="12" t="str">
        <x:f>IF(Leads!AV994="","",Leads!AV994)</x:f>
      </x:c>
      <x:c r="F994" s="12" t="str">
        <x:f>IF(Leads!AX994="","",Leads!AX994)</x:f>
      </x:c>
      <x:c r="G994" s="12" t="str">
        <x:f>IF(Leads!BC994="","",Leads!BC994)</x:f>
      </x:c>
      <x:c r="H994" s="12" t="str">
        <x:f>IF(Leads!BE994="","",Leads!BE994)</x:f>
      </x:c>
      <x:c r="I994" s="12" t="str">
        <x:f>IF(Leads!BG994="","",Leads!BG994)</x:f>
      </x:c>
      <x:c r="J994" s="12" t="str">
        <x:f>IF(Leads!BH994="","",Leads!BH994)</x:f>
      </x:c>
      <x:c r="K994" s="12" t="str">
        <x:f>IF(A994="","","مرحبًا "&amp;C994&amp;CHAR(10)&amp;CHAR(10)&amp;"شكرًا لإتمام تقييم DBD الخاص بعيادة "&amp;B994&amp;"."&amp;CHAR(10)&amp;"نتيجتكم الحالية: "&amp;E994&amp;"%."&amp;CHAR(10)&amp;"أولوية التحسين الأولى: "&amp;F994&amp;"."&amp;IF(J994&lt;&gt;"",CHAR(10)&amp;CHAR(10)&amp;"رابط التقرير: "&amp;J994,"")&amp;CHAR(10)&amp;CHAR(10)&amp;"إذا أحببت، يمكننا مساعدتك في فهم التقرير وتحديد أفضل خطوة تالية لعيادتكم.")</x:f>
      </x:c>
      <x:c r="L994" s="12" t="str">
        <x:f>IF(D994="","",HYPERLINK("https://wa.me/"&amp;REGEXREPLACE(D994,"[^\d]","")&amp;"?text="&amp;ENCODEURL(K994),"واتساب 1"))</x:f>
      </x:c>
      <x:c r="M994" s="12" t="str">
        <x:f>IF(A994="","","مرحبًا "&amp;C994&amp;CHAR(10)&amp;CHAR(10)&amp;"بناءً على نتيجة تقييم عيادة "&amp;B994&amp;"، فإن الترشيح الأقوى لكم الآن هو: "&amp;G994&amp;"."&amp;CHAR(10)&amp;"هذا الخيار يساعدكم في معالجة أكبر فجوة حالية بشكل عملي ومباشر."&amp;IF(J994&lt;&gt;"",CHAR(10)&amp;CHAR(10)&amp;"رابط التقرير: "&amp;J994,"")&amp;CHAR(10)&amp;CHAR(10)&amp;"إذا رغبت، يمكننا توضيح لماذا هذا الكورس هو الأنسب لكم الآن.")</x:f>
      </x:c>
      <x:c r="N994" s="12" t="str">
        <x:f>IF(D994="","",HYPERLINK("https://wa.me/"&amp;REGEXREPLACE(D994,"[^\d]","")&amp;"?text="&amp;ENCODEURL(M994),"واتساب 2"))</x:f>
      </x:c>
      <x:c r="O994" s="12" t="str">
        <x:f>IF(A994="","","مرحبًا "&amp;C994&amp;CHAR(10)&amp;CHAR(10)&amp;"إذا كانت التحديات لديكم تحتاج حلًا أشمل، فالبرنامج الكامل المناسب لكم هو: "&amp;H994&amp;"."&amp;IF(I994&lt;&gt;"",CHAR(10)&amp;"كما يمكنكم أيضًا حجز: "&amp;I994&amp;".","")&amp;IF(J994&lt;&gt;"",CHAR(10)&amp;CHAR(10)&amp;"رابط التقرير: "&amp;J994,"")&amp;CHAR(10)&amp;CHAR(10)&amp;"يسعدنا مساعدتكم في اختيار المسار الأنسب حسب وضع العيادة الحالي.")</x:f>
      </x:c>
      <x:c r="P994" s="12" t="str">
        <x:f>IF(D994="","",HYPERLINK("https://wa.me/"&amp;REGEXREPLACE(D994,"[^\d]","")&amp;"?text="&amp;ENCODEURL(O994),"واتساب 3"))</x:f>
      </x:c>
    </x:row>
    <x:row r="995" ht="15" hidden="0" customHeight="1">
      <x:c r="A995" s="12" t="str">
        <x:f>IF(Leads!A995="","",Leads!A995)</x:f>
      </x:c>
      <x:c r="B995" s="12" t="str">
        <x:f>IF(Leads!F995="","",Leads!F995)</x:f>
      </x:c>
      <x:c r="C995" s="12" t="str">
        <x:f>IF(Leads!G995="","",Leads!G995)</x:f>
      </x:c>
      <x:c r="D995" s="12" t="str">
        <x:f>IF(Leads!O995="","",Leads!O995)</x:f>
      </x:c>
      <x:c r="E995" s="12" t="str">
        <x:f>IF(Leads!AV995="","",Leads!AV995)</x:f>
      </x:c>
      <x:c r="F995" s="12" t="str">
        <x:f>IF(Leads!AX995="","",Leads!AX995)</x:f>
      </x:c>
      <x:c r="G995" s="12" t="str">
        <x:f>IF(Leads!BC995="","",Leads!BC995)</x:f>
      </x:c>
      <x:c r="H995" s="12" t="str">
        <x:f>IF(Leads!BE995="","",Leads!BE995)</x:f>
      </x:c>
      <x:c r="I995" s="12" t="str">
        <x:f>IF(Leads!BG995="","",Leads!BG995)</x:f>
      </x:c>
      <x:c r="J995" s="12" t="str">
        <x:f>IF(Leads!BH995="","",Leads!BH995)</x:f>
      </x:c>
      <x:c r="K995" s="12" t="str">
        <x:f>IF(A995="","","مرحبًا "&amp;C995&amp;CHAR(10)&amp;CHAR(10)&amp;"شكرًا لإتمام تقييم DBD الخاص بعيادة "&amp;B995&amp;"."&amp;CHAR(10)&amp;"نتيجتكم الحالية: "&amp;E995&amp;"%."&amp;CHAR(10)&amp;"أولوية التحسين الأولى: "&amp;F995&amp;"."&amp;IF(J995&lt;&gt;"",CHAR(10)&amp;CHAR(10)&amp;"رابط التقرير: "&amp;J995,"")&amp;CHAR(10)&amp;CHAR(10)&amp;"إذا أحببت، يمكننا مساعدتك في فهم التقرير وتحديد أفضل خطوة تالية لعيادتكم.")</x:f>
      </x:c>
      <x:c r="L995" s="12" t="str">
        <x:f>IF(D995="","",HYPERLINK("https://wa.me/"&amp;REGEXREPLACE(D995,"[^\d]","")&amp;"?text="&amp;ENCODEURL(K995),"واتساب 1"))</x:f>
      </x:c>
      <x:c r="M995" s="12" t="str">
        <x:f>IF(A995="","","مرحبًا "&amp;C995&amp;CHAR(10)&amp;CHAR(10)&amp;"بناءً على نتيجة تقييم عيادة "&amp;B995&amp;"، فإن الترشيح الأقوى لكم الآن هو: "&amp;G995&amp;"."&amp;CHAR(10)&amp;"هذا الخيار يساعدكم في معالجة أكبر فجوة حالية بشكل عملي ومباشر."&amp;IF(J995&lt;&gt;"",CHAR(10)&amp;CHAR(10)&amp;"رابط التقرير: "&amp;J995,"")&amp;CHAR(10)&amp;CHAR(10)&amp;"إذا رغبت، يمكننا توضيح لماذا هذا الكورس هو الأنسب لكم الآن.")</x:f>
      </x:c>
      <x:c r="N995" s="12" t="str">
        <x:f>IF(D995="","",HYPERLINK("https://wa.me/"&amp;REGEXREPLACE(D995,"[^\d]","")&amp;"?text="&amp;ENCODEURL(M995),"واتساب 2"))</x:f>
      </x:c>
      <x:c r="O995" s="12" t="str">
        <x:f>IF(A995="","","مرحبًا "&amp;C995&amp;CHAR(10)&amp;CHAR(10)&amp;"إذا كانت التحديات لديكم تحتاج حلًا أشمل، فالبرنامج الكامل المناسب لكم هو: "&amp;H995&amp;"."&amp;IF(I995&lt;&gt;"",CHAR(10)&amp;"كما يمكنكم أيضًا حجز: "&amp;I995&amp;".","")&amp;IF(J995&lt;&gt;"",CHAR(10)&amp;CHAR(10)&amp;"رابط التقرير: "&amp;J995,"")&amp;CHAR(10)&amp;CHAR(10)&amp;"يسعدنا مساعدتكم في اختيار المسار الأنسب حسب وضع العيادة الحالي.")</x:f>
      </x:c>
      <x:c r="P995" s="12" t="str">
        <x:f>IF(D995="","",HYPERLINK("https://wa.me/"&amp;REGEXREPLACE(D995,"[^\d]","")&amp;"?text="&amp;ENCODEURL(O995),"واتساب 3"))</x:f>
      </x:c>
    </x:row>
    <x:row r="996" ht="15" hidden="0" customHeight="1">
      <x:c r="A996" s="12" t="str">
        <x:f>IF(Leads!A996="","",Leads!A996)</x:f>
      </x:c>
      <x:c r="B996" s="12" t="str">
        <x:f>IF(Leads!F996="","",Leads!F996)</x:f>
      </x:c>
      <x:c r="C996" s="12" t="str">
        <x:f>IF(Leads!G996="","",Leads!G996)</x:f>
      </x:c>
      <x:c r="D996" s="12" t="str">
        <x:f>IF(Leads!O996="","",Leads!O996)</x:f>
      </x:c>
      <x:c r="E996" s="12" t="str">
        <x:f>IF(Leads!AV996="","",Leads!AV996)</x:f>
      </x:c>
      <x:c r="F996" s="12" t="str">
        <x:f>IF(Leads!AX996="","",Leads!AX996)</x:f>
      </x:c>
      <x:c r="G996" s="12" t="str">
        <x:f>IF(Leads!BC996="","",Leads!BC996)</x:f>
      </x:c>
      <x:c r="H996" s="12" t="str">
        <x:f>IF(Leads!BE996="","",Leads!BE996)</x:f>
      </x:c>
      <x:c r="I996" s="12" t="str">
        <x:f>IF(Leads!BG996="","",Leads!BG996)</x:f>
      </x:c>
      <x:c r="J996" s="12" t="str">
        <x:f>IF(Leads!BH996="","",Leads!BH996)</x:f>
      </x:c>
      <x:c r="K996" s="12" t="str">
        <x:f>IF(A996="","","مرحبًا "&amp;C996&amp;CHAR(10)&amp;CHAR(10)&amp;"شكرًا لإتمام تقييم DBD الخاص بعيادة "&amp;B996&amp;"."&amp;CHAR(10)&amp;"نتيجتكم الحالية: "&amp;E996&amp;"%."&amp;CHAR(10)&amp;"أولوية التحسين الأولى: "&amp;F996&amp;"."&amp;IF(J996&lt;&gt;"",CHAR(10)&amp;CHAR(10)&amp;"رابط التقرير: "&amp;J996,"")&amp;CHAR(10)&amp;CHAR(10)&amp;"إذا أحببت، يمكننا مساعدتك في فهم التقرير وتحديد أفضل خطوة تالية لعيادتكم.")</x:f>
      </x:c>
      <x:c r="L996" s="12" t="str">
        <x:f>IF(D996="","",HYPERLINK("https://wa.me/"&amp;REGEXREPLACE(D996,"[^\d]","")&amp;"?text="&amp;ENCODEURL(K996),"واتساب 1"))</x:f>
      </x:c>
      <x:c r="M996" s="12" t="str">
        <x:f>IF(A996="","","مرحبًا "&amp;C996&amp;CHAR(10)&amp;CHAR(10)&amp;"بناءً على نتيجة تقييم عيادة "&amp;B996&amp;"، فإن الترشيح الأقوى لكم الآن هو: "&amp;G996&amp;"."&amp;CHAR(10)&amp;"هذا الخيار يساعدكم في معالجة أكبر فجوة حالية بشكل عملي ومباشر."&amp;IF(J996&lt;&gt;"",CHAR(10)&amp;CHAR(10)&amp;"رابط التقرير: "&amp;J996,"")&amp;CHAR(10)&amp;CHAR(10)&amp;"إذا رغبت، يمكننا توضيح لماذا هذا الكورس هو الأنسب لكم الآن.")</x:f>
      </x:c>
      <x:c r="N996" s="12" t="str">
        <x:f>IF(D996="","",HYPERLINK("https://wa.me/"&amp;REGEXREPLACE(D996,"[^\d]","")&amp;"?text="&amp;ENCODEURL(M996),"واتساب 2"))</x:f>
      </x:c>
      <x:c r="O996" s="12" t="str">
        <x:f>IF(A996="","","مرحبًا "&amp;C996&amp;CHAR(10)&amp;CHAR(10)&amp;"إذا كانت التحديات لديكم تحتاج حلًا أشمل، فالبرنامج الكامل المناسب لكم هو: "&amp;H996&amp;"."&amp;IF(I996&lt;&gt;"",CHAR(10)&amp;"كما يمكنكم أيضًا حجز: "&amp;I996&amp;".","")&amp;IF(J996&lt;&gt;"",CHAR(10)&amp;CHAR(10)&amp;"رابط التقرير: "&amp;J996,"")&amp;CHAR(10)&amp;CHAR(10)&amp;"يسعدنا مساعدتكم في اختيار المسار الأنسب حسب وضع العيادة الحالي.")</x:f>
      </x:c>
      <x:c r="P996" s="12" t="str">
        <x:f>IF(D996="","",HYPERLINK("https://wa.me/"&amp;REGEXREPLACE(D996,"[^\d]","")&amp;"?text="&amp;ENCODEURL(O996),"واتساب 3"))</x:f>
      </x:c>
    </x:row>
    <x:row r="997" ht="15" hidden="0" customHeight="1">
      <x:c r="A997" s="12" t="str">
        <x:f>IF(Leads!A997="","",Leads!A997)</x:f>
      </x:c>
      <x:c r="B997" s="12" t="str">
        <x:f>IF(Leads!F997="","",Leads!F997)</x:f>
      </x:c>
      <x:c r="C997" s="12" t="str">
        <x:f>IF(Leads!G997="","",Leads!G997)</x:f>
      </x:c>
      <x:c r="D997" s="12" t="str">
        <x:f>IF(Leads!O997="","",Leads!O997)</x:f>
      </x:c>
      <x:c r="E997" s="12" t="str">
        <x:f>IF(Leads!AV997="","",Leads!AV997)</x:f>
      </x:c>
      <x:c r="F997" s="12" t="str">
        <x:f>IF(Leads!AX997="","",Leads!AX997)</x:f>
      </x:c>
      <x:c r="G997" s="12" t="str">
        <x:f>IF(Leads!BC997="","",Leads!BC997)</x:f>
      </x:c>
      <x:c r="H997" s="12" t="str">
        <x:f>IF(Leads!BE997="","",Leads!BE997)</x:f>
      </x:c>
      <x:c r="I997" s="12" t="str">
        <x:f>IF(Leads!BG997="","",Leads!BG997)</x:f>
      </x:c>
      <x:c r="J997" s="12" t="str">
        <x:f>IF(Leads!BH997="","",Leads!BH997)</x:f>
      </x:c>
      <x:c r="K997" s="12" t="str">
        <x:f>IF(A997="","","مرحبًا "&amp;C997&amp;CHAR(10)&amp;CHAR(10)&amp;"شكرًا لإتمام تقييم DBD الخاص بعيادة "&amp;B997&amp;"."&amp;CHAR(10)&amp;"نتيجتكم الحالية: "&amp;E997&amp;"%."&amp;CHAR(10)&amp;"أولوية التحسين الأولى: "&amp;F997&amp;"."&amp;IF(J997&lt;&gt;"",CHAR(10)&amp;CHAR(10)&amp;"رابط التقرير: "&amp;J997,"")&amp;CHAR(10)&amp;CHAR(10)&amp;"إذا أحببت، يمكننا مساعدتك في فهم التقرير وتحديد أفضل خطوة تالية لعيادتكم.")</x:f>
      </x:c>
      <x:c r="L997" s="12" t="str">
        <x:f>IF(D997="","",HYPERLINK("https://wa.me/"&amp;REGEXREPLACE(D997,"[^\d]","")&amp;"?text="&amp;ENCODEURL(K997),"واتساب 1"))</x:f>
      </x:c>
      <x:c r="M997" s="12" t="str">
        <x:f>IF(A997="","","مرحبًا "&amp;C997&amp;CHAR(10)&amp;CHAR(10)&amp;"بناءً على نتيجة تقييم عيادة "&amp;B997&amp;"، فإن الترشيح الأقوى لكم الآن هو: "&amp;G997&amp;"."&amp;CHAR(10)&amp;"هذا الخيار يساعدكم في معالجة أكبر فجوة حالية بشكل عملي ومباشر."&amp;IF(J997&lt;&gt;"",CHAR(10)&amp;CHAR(10)&amp;"رابط التقرير: "&amp;J997,"")&amp;CHAR(10)&amp;CHAR(10)&amp;"إذا رغبت، يمكننا توضيح لماذا هذا الكورس هو الأنسب لكم الآن.")</x:f>
      </x:c>
      <x:c r="N997" s="12" t="str">
        <x:f>IF(D997="","",HYPERLINK("https://wa.me/"&amp;REGEXREPLACE(D997,"[^\d]","")&amp;"?text="&amp;ENCODEURL(M997),"واتساب 2"))</x:f>
      </x:c>
      <x:c r="O997" s="12" t="str">
        <x:f>IF(A997="","","مرحبًا "&amp;C997&amp;CHAR(10)&amp;CHAR(10)&amp;"إذا كانت التحديات لديكم تحتاج حلًا أشمل، فالبرنامج الكامل المناسب لكم هو: "&amp;H997&amp;"."&amp;IF(I997&lt;&gt;"",CHAR(10)&amp;"كما يمكنكم أيضًا حجز: "&amp;I997&amp;".","")&amp;IF(J997&lt;&gt;"",CHAR(10)&amp;CHAR(10)&amp;"رابط التقرير: "&amp;J997,"")&amp;CHAR(10)&amp;CHAR(10)&amp;"يسعدنا مساعدتكم في اختيار المسار الأنسب حسب وضع العيادة الحالي.")</x:f>
      </x:c>
      <x:c r="P997" s="12" t="str">
        <x:f>IF(D997="","",HYPERLINK("https://wa.me/"&amp;REGEXREPLACE(D997,"[^\d]","")&amp;"?text="&amp;ENCODEURL(O997),"واتساب 3"))</x:f>
      </x:c>
    </x:row>
    <x:row r="998" ht="15" hidden="0" customHeight="1">
      <x:c r="A998" s="12" t="str">
        <x:f>IF(Leads!A998="","",Leads!A998)</x:f>
      </x:c>
      <x:c r="B998" s="12" t="str">
        <x:f>IF(Leads!F998="","",Leads!F998)</x:f>
      </x:c>
      <x:c r="C998" s="12" t="str">
        <x:f>IF(Leads!G998="","",Leads!G998)</x:f>
      </x:c>
      <x:c r="D998" s="12" t="str">
        <x:f>IF(Leads!O998="","",Leads!O998)</x:f>
      </x:c>
      <x:c r="E998" s="12" t="str">
        <x:f>IF(Leads!AV998="","",Leads!AV998)</x:f>
      </x:c>
      <x:c r="F998" s="12" t="str">
        <x:f>IF(Leads!AX998="","",Leads!AX998)</x:f>
      </x:c>
      <x:c r="G998" s="12" t="str">
        <x:f>IF(Leads!BC998="","",Leads!BC998)</x:f>
      </x:c>
      <x:c r="H998" s="12" t="str">
        <x:f>IF(Leads!BE998="","",Leads!BE998)</x:f>
      </x:c>
      <x:c r="I998" s="12" t="str">
        <x:f>IF(Leads!BG998="","",Leads!BG998)</x:f>
      </x:c>
      <x:c r="J998" s="12" t="str">
        <x:f>IF(Leads!BH998="","",Leads!BH998)</x:f>
      </x:c>
      <x:c r="K998" s="12" t="str">
        <x:f>IF(A998="","","مرحبًا "&amp;C998&amp;CHAR(10)&amp;CHAR(10)&amp;"شكرًا لإتمام تقييم DBD الخاص بعيادة "&amp;B998&amp;"."&amp;CHAR(10)&amp;"نتيجتكم الحالية: "&amp;E998&amp;"%."&amp;CHAR(10)&amp;"أولوية التحسين الأولى: "&amp;F998&amp;"."&amp;IF(J998&lt;&gt;"",CHAR(10)&amp;CHAR(10)&amp;"رابط التقرير: "&amp;J998,"")&amp;CHAR(10)&amp;CHAR(10)&amp;"إذا أحببت، يمكننا مساعدتك في فهم التقرير وتحديد أفضل خطوة تالية لعيادتكم.")</x:f>
      </x:c>
      <x:c r="L998" s="12" t="str">
        <x:f>IF(D998="","",HYPERLINK("https://wa.me/"&amp;REGEXREPLACE(D998,"[^\d]","")&amp;"?text="&amp;ENCODEURL(K998),"واتساب 1"))</x:f>
      </x:c>
      <x:c r="M998" s="12" t="str">
        <x:f>IF(A998="","","مرحبًا "&amp;C998&amp;CHAR(10)&amp;CHAR(10)&amp;"بناءً على نتيجة تقييم عيادة "&amp;B998&amp;"، فإن الترشيح الأقوى لكم الآن هو: "&amp;G998&amp;"."&amp;CHAR(10)&amp;"هذا الخيار يساعدكم في معالجة أكبر فجوة حالية بشكل عملي ومباشر."&amp;IF(J998&lt;&gt;"",CHAR(10)&amp;CHAR(10)&amp;"رابط التقرير: "&amp;J998,"")&amp;CHAR(10)&amp;CHAR(10)&amp;"إذا رغبت، يمكننا توضيح لماذا هذا الكورس هو الأنسب لكم الآن.")</x:f>
      </x:c>
      <x:c r="N998" s="12" t="str">
        <x:f>IF(D998="","",HYPERLINK("https://wa.me/"&amp;REGEXREPLACE(D998,"[^\d]","")&amp;"?text="&amp;ENCODEURL(M998),"واتساب 2"))</x:f>
      </x:c>
      <x:c r="O998" s="12" t="str">
        <x:f>IF(A998="","","مرحبًا "&amp;C998&amp;CHAR(10)&amp;CHAR(10)&amp;"إذا كانت التحديات لديكم تحتاج حلًا أشمل، فالبرنامج الكامل المناسب لكم هو: "&amp;H998&amp;"."&amp;IF(I998&lt;&gt;"",CHAR(10)&amp;"كما يمكنكم أيضًا حجز: "&amp;I998&amp;".","")&amp;IF(J998&lt;&gt;"",CHAR(10)&amp;CHAR(10)&amp;"رابط التقرير: "&amp;J998,"")&amp;CHAR(10)&amp;CHAR(10)&amp;"يسعدنا مساعدتكم في اختيار المسار الأنسب حسب وضع العيادة الحالي.")</x:f>
      </x:c>
      <x:c r="P998" s="12" t="str">
        <x:f>IF(D998="","",HYPERLINK("https://wa.me/"&amp;REGEXREPLACE(D998,"[^\d]","")&amp;"?text="&amp;ENCODEURL(O998),"واتساب 3"))</x:f>
      </x:c>
    </x:row>
    <x:row r="999" ht="15" hidden="0" customHeight="1">
      <x:c r="A999" s="12" t="str">
        <x:f>IF(Leads!A999="","",Leads!A999)</x:f>
      </x:c>
      <x:c r="B999" s="12" t="str">
        <x:f>IF(Leads!F999="","",Leads!F999)</x:f>
      </x:c>
      <x:c r="C999" s="12" t="str">
        <x:f>IF(Leads!G999="","",Leads!G999)</x:f>
      </x:c>
      <x:c r="D999" s="12" t="str">
        <x:f>IF(Leads!O999="","",Leads!O999)</x:f>
      </x:c>
      <x:c r="E999" s="12" t="str">
        <x:f>IF(Leads!AV999="","",Leads!AV999)</x:f>
      </x:c>
      <x:c r="F999" s="12" t="str">
        <x:f>IF(Leads!AX999="","",Leads!AX999)</x:f>
      </x:c>
      <x:c r="G999" s="12" t="str">
        <x:f>IF(Leads!BC999="","",Leads!BC999)</x:f>
      </x:c>
      <x:c r="H999" s="12" t="str">
        <x:f>IF(Leads!BE999="","",Leads!BE999)</x:f>
      </x:c>
      <x:c r="I999" s="12" t="str">
        <x:f>IF(Leads!BG999="","",Leads!BG999)</x:f>
      </x:c>
      <x:c r="J999" s="12" t="str">
        <x:f>IF(Leads!BH999="","",Leads!BH999)</x:f>
      </x:c>
      <x:c r="K999" s="12" t="str">
        <x:f>IF(A999="","","مرحبًا "&amp;C999&amp;CHAR(10)&amp;CHAR(10)&amp;"شكرًا لإتمام تقييم DBD الخاص بعيادة "&amp;B999&amp;"."&amp;CHAR(10)&amp;"نتيجتكم الحالية: "&amp;E999&amp;"%."&amp;CHAR(10)&amp;"أولوية التحسين الأولى: "&amp;F999&amp;"."&amp;IF(J999&lt;&gt;"",CHAR(10)&amp;CHAR(10)&amp;"رابط التقرير: "&amp;J999,"")&amp;CHAR(10)&amp;CHAR(10)&amp;"إذا أحببت، يمكننا مساعدتك في فهم التقرير وتحديد أفضل خطوة تالية لعيادتكم.")</x:f>
      </x:c>
      <x:c r="L999" s="12" t="str">
        <x:f>IF(D999="","",HYPERLINK("https://wa.me/"&amp;REGEXREPLACE(D999,"[^\d]","")&amp;"?text="&amp;ENCODEURL(K999),"واتساب 1"))</x:f>
      </x:c>
      <x:c r="M999" s="12" t="str">
        <x:f>IF(A999="","","مرحبًا "&amp;C999&amp;CHAR(10)&amp;CHAR(10)&amp;"بناءً على نتيجة تقييم عيادة "&amp;B999&amp;"، فإن الترشيح الأقوى لكم الآن هو: "&amp;G999&amp;"."&amp;CHAR(10)&amp;"هذا الخيار يساعدكم في معالجة أكبر فجوة حالية بشكل عملي ومباشر."&amp;IF(J999&lt;&gt;"",CHAR(10)&amp;CHAR(10)&amp;"رابط التقرير: "&amp;J999,"")&amp;CHAR(10)&amp;CHAR(10)&amp;"إذا رغبت، يمكننا توضيح لماذا هذا الكورس هو الأنسب لكم الآن.")</x:f>
      </x:c>
      <x:c r="N999" s="12" t="str">
        <x:f>IF(D999="","",HYPERLINK("https://wa.me/"&amp;REGEXREPLACE(D999,"[^\d]","")&amp;"?text="&amp;ENCODEURL(M999),"واتساب 2"))</x:f>
      </x:c>
      <x:c r="O999" s="12" t="str">
        <x:f>IF(A999="","","مرحبًا "&amp;C999&amp;CHAR(10)&amp;CHAR(10)&amp;"إذا كانت التحديات لديكم تحتاج حلًا أشمل، فالبرنامج الكامل المناسب لكم هو: "&amp;H999&amp;"."&amp;IF(I999&lt;&gt;"",CHAR(10)&amp;"كما يمكنكم أيضًا حجز: "&amp;I999&amp;".","")&amp;IF(J999&lt;&gt;"",CHAR(10)&amp;CHAR(10)&amp;"رابط التقرير: "&amp;J999,"")&amp;CHAR(10)&amp;CHAR(10)&amp;"يسعدنا مساعدتكم في اختيار المسار الأنسب حسب وضع العيادة الحالي.")</x:f>
      </x:c>
      <x:c r="P999" s="12" t="str">
        <x:f>IF(D999="","",HYPERLINK("https://wa.me/"&amp;REGEXREPLACE(D999,"[^\d]","")&amp;"?text="&amp;ENCODEURL(O999),"واتساب 3"))</x:f>
      </x:c>
    </x:row>
    <x:row r="1000" ht="15" hidden="0" customHeight="1">
      <x:c r="A1000" s="12" t="str">
        <x:f>IF(Leads!A1000="","",Leads!A1000)</x:f>
      </x:c>
      <x:c r="B1000" s="12" t="str">
        <x:f>IF(Leads!F1000="","",Leads!F1000)</x:f>
      </x:c>
      <x:c r="C1000" s="12" t="str">
        <x:f>IF(Leads!G1000="","",Leads!G1000)</x:f>
      </x:c>
      <x:c r="D1000" s="12" t="str">
        <x:f>IF(Leads!O1000="","",Leads!O1000)</x:f>
      </x:c>
      <x:c r="E1000" s="12" t="str">
        <x:f>IF(Leads!AV1000="","",Leads!AV1000)</x:f>
      </x:c>
      <x:c r="F1000" s="12" t="str">
        <x:f>IF(Leads!AX1000="","",Leads!AX1000)</x:f>
      </x:c>
      <x:c r="G1000" s="12" t="str">
        <x:f>IF(Leads!BC1000="","",Leads!BC1000)</x:f>
      </x:c>
      <x:c r="H1000" s="12" t="str">
        <x:f>IF(Leads!BE1000="","",Leads!BE1000)</x:f>
      </x:c>
      <x:c r="I1000" s="12" t="str">
        <x:f>IF(Leads!BG1000="","",Leads!BG1000)</x:f>
      </x:c>
      <x:c r="J1000" s="12" t="str">
        <x:f>IF(Leads!BH1000="","",Leads!BH1000)</x:f>
      </x:c>
      <x:c r="K1000" s="12" t="str">
        <x:f>IF(A1000="","","مرحبًا "&amp;C1000&amp;CHAR(10)&amp;CHAR(10)&amp;"شكرًا لإتمام تقييم DBD الخاص بعيادة "&amp;B1000&amp;"."&amp;CHAR(10)&amp;"نتيجتكم الحالية: "&amp;E1000&amp;"%."&amp;CHAR(10)&amp;"أولوية التحسين الأولى: "&amp;F1000&amp;"."&amp;IF(J1000&lt;&gt;"",CHAR(10)&amp;CHAR(10)&amp;"رابط التقرير: "&amp;J1000,"")&amp;CHAR(10)&amp;CHAR(10)&amp;"إذا أحببت، يمكننا مساعدتك في فهم التقرير وتحديد أفضل خطوة تالية لعيادتكم.")</x:f>
      </x:c>
      <x:c r="L1000" s="12" t="str">
        <x:f>IF(D1000="","",HYPERLINK("https://wa.me/"&amp;REGEXREPLACE(D1000,"[^\d]","")&amp;"?text="&amp;ENCODEURL(K1000),"واتساب 1"))</x:f>
      </x:c>
      <x:c r="M1000" s="12" t="str">
        <x:f>IF(A1000="","","مرحبًا "&amp;C1000&amp;CHAR(10)&amp;CHAR(10)&amp;"بناءً على نتيجة تقييم عيادة "&amp;B1000&amp;"، فإن الترشيح الأقوى لكم الآن هو: "&amp;G1000&amp;"."&amp;CHAR(10)&amp;"هذا الخيار يساعدكم في معالجة أكبر فجوة حالية بشكل عملي ومباشر."&amp;IF(J1000&lt;&gt;"",CHAR(10)&amp;CHAR(10)&amp;"رابط التقرير: "&amp;J1000,"")&amp;CHAR(10)&amp;CHAR(10)&amp;"إذا رغبت، يمكننا توضيح لماذا هذا الكورس هو الأنسب لكم الآن.")</x:f>
      </x:c>
      <x:c r="N1000" s="12" t="str">
        <x:f>IF(D1000="","",HYPERLINK("https://wa.me/"&amp;REGEXREPLACE(D1000,"[^\d]","")&amp;"?text="&amp;ENCODEURL(M1000),"واتساب 2"))</x:f>
      </x:c>
      <x:c r="O1000" s="12" t="str">
        <x:f>IF(A1000="","","مرحبًا "&amp;C1000&amp;CHAR(10)&amp;CHAR(10)&amp;"إذا كانت التحديات لديكم تحتاج حلًا أشمل، فالبرنامج الكامل المناسب لكم هو: "&amp;H1000&amp;"."&amp;IF(I1000&lt;&gt;"",CHAR(10)&amp;"كما يمكنكم أيضًا حجز: "&amp;I1000&amp;".","")&amp;IF(J1000&lt;&gt;"",CHAR(10)&amp;CHAR(10)&amp;"رابط التقرير: "&amp;J1000,"")&amp;CHAR(10)&amp;CHAR(10)&amp;"يسعدنا مساعدتكم في اختيار المسار الأنسب حسب وضع العيادة الحالي.")</x:f>
      </x:c>
      <x:c r="P1000" s="12" t="str">
        <x:f>IF(D1000="","",HYPERLINK("https://wa.me/"&amp;REGEXREPLACE(D1000,"[^\d]","")&amp;"?text="&amp;ENCODEURL(O1000),"واتساب 3"))</x:f>
      </x:c>
    </x:row>
    <x:row r="1001"/>
    <x:row r="1002" ht="15" hidden="0" customHeight="1">
      <x:c r="A1002" s="13" t="str">
        <x:v>This tab creates manual WhatsApp-ready messages and click-to-send links based on Leads data.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15.880000114440918" hidden="0" customWidth="1"/>
    <x:col min="3" max="3" width="34.04999923706055" hidden="0" customWidth="1"/>
    <x:col min="4" max="4" width="8.079999923706055" hidden="0" customWidth="1"/>
    <x:col min="5" max="5" width="6.329999923706055" hidden="0" customWidth="1"/>
    <x:col min="6" max="6" width="9.020000457763672" hidden="0" customWidth="1"/>
    <x:col min="7" max="7" width="11.4399995803833" hidden="0" customWidth="1"/>
    <x:col min="8" max="8" width="37.81999969482422" hidden="0" customWidth="1"/>
    <x:col min="9" max="9" width="9.829999923706055" hidden="0" customWidth="1"/>
    <x:col min="10" max="10" width="127.05000305175781" hidden="0" customWidth="1"/>
    <x:col min="11" max="11" width="26.239999771118164" hidden="0" customWidth="1"/>
  </x:cols>
  <x:sheetData>
    <x:row r="1" ht="15" hidden="0" customHeight="1">
      <x:c r="A1" s="9" t="str">
        <x:v>section</x:v>
      </x:c>
      <x:c r="B1" s="9" t="str">
        <x:v>question_id</x:v>
      </x:c>
      <x:c r="C1" s="9" t="str">
        <x:v>question_label_ar</x:v>
      </x:c>
      <x:c r="D1" s="9" t="str">
        <x:v>input_type</x:v>
      </x:c>
      <x:c r="E1" s="9" t="str">
        <x:v>required</x:v>
      </x:c>
      <x:c r="F1" s="9" t="str">
        <x:v>multi_select</x:v>
      </x:c>
      <x:c r="G1" s="9" t="str">
        <x:v>max_selections</x:v>
      </x:c>
      <x:c r="H1" s="9" t="str">
        <x:v>conditional_rule</x:v>
      </x:c>
      <x:c r="I1" s="9" t="str">
        <x:v>stores_as</x:v>
      </x:c>
      <x:c r="J1" s="9" t="str">
        <x:v>allowed_values_ar</x:v>
      </x:c>
      <x:c r="K1" s="9" t="str">
        <x:v>notes</x:v>
      </x:c>
    </x:row>
    <x:row r="2" ht="15" hidden="0" customHeight="1">
      <x:c r="A2" s="12" t="str">
        <x:v>profile</x:v>
      </x:c>
      <x:c r="B2" s="12" t="str">
        <x:v>clinic_name</x:v>
      </x:c>
      <x:c r="C2" s="12" t="str">
        <x:v>اسم العيادة أو المركز</x:v>
      </x:c>
      <x:c r="D2" s="12" t="str">
        <x:v>text</x:v>
      </x:c>
      <x:c r="E2" s="12" t="str">
        <x:v>yes</x:v>
      </x:c>
      <x:c r="F2" s="12" t="str">
        <x:v>no</x:v>
      </x:c>
      <x:c r="G2" s="12" t="str">
        <x:v>1</x:v>
      </x:c>
      <x:c r="H2" s="12" t="str">
        <x:v>always</x:v>
      </x:c>
      <x:c r="I2" s="12" t="str">
        <x:v>text</x:v>
      </x:c>
      <x:c r="J2" s="12" t="str">
        <x:v>أي نص باسم العيادة</x:v>
      </x:c>
      <x:c r="K2" s="12" t="str">
        <x:v>يفضل استخدام الاسم التجاري الرسمي</x:v>
      </x:c>
    </x:row>
    <x:row r="3" ht="15" hidden="0" customHeight="1">
      <x:c r="A3" s="12" t="str">
        <x:v>profile</x:v>
      </x:c>
      <x:c r="B3" s="12" t="str">
        <x:v>person_name</x:v>
      </x:c>
      <x:c r="C3" s="12" t="str">
        <x:v>اسم الشخص المسؤول عن التواصل</x:v>
      </x:c>
      <x:c r="D3" s="12" t="str">
        <x:v>text</x:v>
      </x:c>
      <x:c r="E3" s="12" t="str">
        <x:v>yes</x:v>
      </x:c>
      <x:c r="F3" s="12" t="str">
        <x:v>no</x:v>
      </x:c>
      <x:c r="G3" s="12" t="str">
        <x:v>1</x:v>
      </x:c>
      <x:c r="H3" s="12" t="str">
        <x:v>always</x:v>
      </x:c>
      <x:c r="I3" s="12" t="str">
        <x:v>text</x:v>
      </x:c>
      <x:c r="J3" s="12" t="str">
        <x:v>أي اسم شخص حقيقي</x:v>
      </x:c>
      <x:c r="K3" s="12" t="str">
        <x:v>يظهر في التقرير والمتابعة</x:v>
      </x:c>
    </x:row>
    <x:row r="4" ht="15" hidden="0" customHeight="1">
      <x:c r="A4" s="12" t="str">
        <x:v>profile</x:v>
      </x:c>
      <x:c r="B4" s="12" t="str">
        <x:v>person_role</x:v>
      </x:c>
      <x:c r="C4" s="12" t="str">
        <x:v>ما دورك داخل المركز؟</x:v>
      </x:c>
      <x:c r="D4" s="12" t="str">
        <x:v>multi</x:v>
      </x:c>
      <x:c r="E4" s="12" t="str">
        <x:v>yes</x:v>
      </x:c>
      <x:c r="F4" s="12" t="str">
        <x:v>yes</x:v>
      </x:c>
      <x:c r="G4" s="12" t="str">
        <x:v>multiple</x:v>
      </x:c>
      <x:c r="H4" s="12" t="str">
        <x:v>always</x:v>
      </x:c>
      <x:c r="I4" s="12" t="str">
        <x:v>json_array</x:v>
      </x:c>
      <x:c r="J4" s="12" t="str">
        <x:v>المالك (Owner) | مدير العيادة | شريك | طبيب | مدير تشغيل | أخرى</x:v>
      </x:c>
      <x:c r="K4" s="12" t="str">
        <x:v>يسمح بأكثر من اختيار</x:v>
      </x:c>
    </x:row>
    <x:row r="5" ht="15" hidden="0" customHeight="1">
      <x:c r="A5" s="12" t="str">
        <x:v>profile</x:v>
      </x:c>
      <x:c r="B5" s="12" t="str">
        <x:v>country</x:v>
      </x:c>
      <x:c r="C5" s="12" t="str">
        <x:v>اختر دولتك</x:v>
      </x:c>
      <x:c r="D5" s="12" t="str">
        <x:v>country</x:v>
      </x:c>
      <x:c r="E5" s="12" t="str">
        <x:v>yes</x:v>
      </x:c>
      <x:c r="F5" s="12" t="str">
        <x:v>no</x:v>
      </x:c>
      <x:c r="G5" s="12" t="str">
        <x:v>1</x:v>
      </x:c>
      <x:c r="H5" s="12" t="str">
        <x:v>always</x:v>
      </x:c>
      <x:c r="I5" s="12" t="str">
        <x:v>text</x:v>
      </x:c>
      <x:c r="J5" s="12" t="str">
        <x:v>مصر | السعودية | الإمارات | قطر | الكويت | البحرين | عمان | الأردن | لبنان | سوريا | العراق | فلسطين | اليمن | ليبيا | تونس | الجزائر | المغرب | السودان | جيبوتي</x:v>
      </x:c>
      <x:c r="K5" s="12" t="str">
        <x:v>نوعية بعض الأسئلة تختلف حسب البلد</x:v>
      </x:c>
    </x:row>
    <x:row r="6" ht="15" hidden="0" customHeight="1">
      <x:c r="A6" s="12" t="str">
        <x:v>profile</x:v>
      </x:c>
      <x:c r="B6" s="12" t="str">
        <x:v>city</x:v>
      </x:c>
      <x:c r="C6" s="12" t="str">
        <x:v>المدينة</x:v>
      </x:c>
      <x:c r="D6" s="12" t="str">
        <x:v>city</x:v>
      </x:c>
      <x:c r="E6" s="12" t="str">
        <x:v>yes</x:v>
      </x:c>
      <x:c r="F6" s="12" t="str">
        <x:v>no</x:v>
      </x:c>
      <x:c r="G6" s="12" t="str">
        <x:v>1</x:v>
      </x:c>
      <x:c r="H6" s="12" t="str">
        <x:v>always</x:v>
      </x:c>
      <x:c r="I6" s="12" t="str">
        <x:v>text</x:v>
      </x:c>
      <x:c r="J6" s="12" t="str">
        <x:v>أي مدينة من الدولة المختارة أو مدينة مخصصة</x:v>
      </x:c>
      <x:c r="K6" s="12" t="str">
        <x:v>يمكن إضافة مدينة غير موجودة</x:v>
      </x:c>
    </x:row>
    <x:row r="7" ht="15" hidden="0" customHeight="1">
      <x:c r="A7" s="12" t="str">
        <x:v>profile</x:v>
      </x:c>
      <x:c r="B7" s="12" t="str">
        <x:v>phone_number</x:v>
      </x:c>
      <x:c r="C7" s="12" t="str">
        <x:v>رقم الهاتف للتواصل (رقم واتساب)</x:v>
      </x:c>
      <x:c r="D7" s="12" t="str">
        <x:v>phone</x:v>
      </x:c>
      <x:c r="E7" s="12" t="str">
        <x:v>yes</x:v>
      </x:c>
      <x:c r="F7" s="12" t="str">
        <x:v>no</x:v>
      </x:c>
      <x:c r="G7" s="12" t="str">
        <x:v>1</x:v>
      </x:c>
      <x:c r="H7" s="12" t="str">
        <x:v>always</x:v>
      </x:c>
      <x:c r="I7" s="12" t="str">
        <x:v>text_digits</x:v>
      </x:c>
      <x:c r="J7" s="12" t="str">
        <x:v>رقم هاتف بدون كود الدولة</x:v>
      </x:c>
      <x:c r="K7" s="12" t="str">
        <x:v>يتم دمج كود الدولة تلقائيًا</x:v>
      </x:c>
    </x:row>
    <x:row r="8" ht="15" hidden="0" customHeight="1">
      <x:c r="A8" s="12" t="str">
        <x:v>profile</x:v>
      </x:c>
      <x:c r="B8" s="12" t="str">
        <x:v>clinic_type</x:v>
      </x:c>
      <x:c r="C8" s="12" t="str">
        <x:v>ما نوع المنشأة؟</x:v>
      </x:c>
      <x:c r="D8" s="12" t="str">
        <x:v>single</x:v>
      </x:c>
      <x:c r="E8" s="12" t="str">
        <x:v>yes</x:v>
      </x:c>
      <x:c r="F8" s="12" t="str">
        <x:v>no</x:v>
      </x:c>
      <x:c r="G8" s="12" t="str">
        <x:v>1</x:v>
      </x:c>
      <x:c r="H8" s="12" t="str">
        <x:v>always</x:v>
      </x:c>
      <x:c r="I8" s="12" t="str">
        <x:v>text</x:v>
      </x:c>
      <x:c r="J8" s="12" t="str">
        <x:v>عيادة فردية | مركز أسنان | مجمع طبي | عيادة تخصصية</x:v>
      </x:c>
      <x:c r="K8" s="12" t="str">
        <x:v>حقل تصنيفي</x:v>
      </x:c>
    </x:row>
    <x:row r="9" ht="15" hidden="0" customHeight="1">
      <x:c r="A9" s="12" t="str">
        <x:v>profile</x:v>
      </x:c>
      <x:c r="B9" s="12" t="str">
        <x:v>clinic_years</x:v>
      </x:c>
      <x:c r="C9" s="12" t="str">
        <x:v>منذ كم سنة تعمل العيادة؟</x:v>
      </x:c>
      <x:c r="D9" s="12" t="str">
        <x:v>single</x:v>
      </x:c>
      <x:c r="E9" s="12" t="str">
        <x:v>yes</x:v>
      </x:c>
      <x:c r="F9" s="12" t="str">
        <x:v>no</x:v>
      </x:c>
      <x:c r="G9" s="12" t="str">
        <x:v>1</x:v>
      </x:c>
      <x:c r="H9" s="12" t="str">
        <x:v>always</x:v>
      </x:c>
      <x:c r="I9" s="12" t="str">
        <x:v>text</x:v>
      </x:c>
      <x:c r="J9" s="12" t="str">
        <x:v>أقل من سنة | 1–3 سنوات | 3–7 سنوات | أكثر من 7 سنوات</x:v>
      </x:c>
      <x:c r="K9" s="12" t="str">
        <x:v>يدخل في score system</x:v>
      </x:c>
    </x:row>
    <x:row r="10" ht="15" hidden="0" customHeight="1">
      <x:c r="A10" s="12" t="str">
        <x:v>profile</x:v>
      </x:c>
      <x:c r="B10" s="12" t="str">
        <x:v>chairs</x:v>
      </x:c>
      <x:c r="C10" s="12" t="str">
        <x:v>كم عدد كراسي الأسنان / غرف العلاج؟</x:v>
      </x:c>
      <x:c r="D10" s="12" t="str">
        <x:v>single</x:v>
      </x:c>
      <x:c r="E10" s="12" t="str">
        <x:v>yes</x:v>
      </x:c>
      <x:c r="F10" s="12" t="str">
        <x:v>no</x:v>
      </x:c>
      <x:c r="G10" s="12" t="str">
        <x:v>1</x:v>
      </x:c>
      <x:c r="H10" s="12" t="str">
        <x:v>always</x:v>
      </x:c>
      <x:c r="I10" s="12" t="str">
        <x:v>text</x:v>
      </x:c>
      <x:c r="J10" s="12" t="str">
        <x:v>1 | 2–3 | 4–6 | 7+</x:v>
      </x:c>
      <x:c r="K10" s="12" t="str">
        <x:v>يؤثر على سؤال الفريق</x:v>
      </x:c>
    </x:row>
    <x:row r="11" ht="15" hidden="0" customHeight="1">
      <x:c r="A11" s="12" t="str">
        <x:v>profile</x:v>
      </x:c>
      <x:c r="B11" s="12" t="str">
        <x:v>services</x:v>
      </x:c>
      <x:c r="C11" s="12" t="str">
        <x:v>ما الخدمات التي تقدمونها حاليًا؟</x:v>
      </x:c>
      <x:c r="D11" s="12" t="str">
        <x:v>multi</x:v>
      </x:c>
      <x:c r="E11" s="12" t="str">
        <x:v>yes</x:v>
      </x:c>
      <x:c r="F11" s="12" t="str">
        <x:v>yes</x:v>
      </x:c>
      <x:c r="G11" s="12" t="str">
        <x:v>multiple</x:v>
      </x:c>
      <x:c r="H11" s="12" t="str">
        <x:v>always</x:v>
      </x:c>
      <x:c r="I11" s="12" t="str">
        <x:v>json_array</x:v>
      </x:c>
      <x:c r="J11" s="12" t="str">
        <x:v>طب الأسنان العام | تقويم الأسنان | زراعة الأسنان | تجميل الأسنان والقشور | أسنان الأطفال | علاج الجذور | علاج اللثة | جراحة الفم | التعويضات السنية</x:v>
      </x:c>
      <x:c r="K11" s="12" t="str">
        <x:v>يسمح بأكثر من اختيار</x:v>
      </x:c>
    </x:row>
    <x:row r="12" ht="15" hidden="0" customHeight="1">
      <x:c r="A12" s="12" t="str">
        <x:v>profile</x:v>
      </x:c>
      <x:c r="B12" s="12" t="str">
        <x:v>primary_challenge</x:v>
      </x:c>
      <x:c r="C12" s="12" t="str">
        <x:v>ما هي أهم التحديات لديكم الآن؟</x:v>
      </x:c>
      <x:c r="D12" s="12" t="str">
        <x:v>multi</x:v>
      </x:c>
      <x:c r="E12" s="12" t="str">
        <x:v>yes</x:v>
      </x:c>
      <x:c r="F12" s="12" t="str">
        <x:v>yes</x:v>
      </x:c>
      <x:c r="G12" s="12" t="str">
        <x:v>3</x:v>
      </x:c>
      <x:c r="H12" s="12" t="str">
        <x:v>always</x:v>
      </x:c>
      <x:c r="I12" s="12" t="str">
        <x:v>json_array</x:v>
      </x:c>
      <x:c r="J12" s="12" t="str">
        <x:v>زيادة عدد المرضى الجدد | الاحتفاظ بالمرضى الحاليين | إدارة المال والتدفق النقدي | توظيف فريق قوي والحفاظ عليه | تحسين التشغيل والكفاءة | زيادة الإيراد لكل مريض | التميّز عن المنافسين | التوسع وفتح فروع جديدة</x:v>
      </x:c>
      <x:c r="K12" s="12" t="str">
        <x:v>حتى 3 اختيارات</x:v>
      </x:c>
    </x:row>
    <x:row r="13" ht="15" hidden="0" customHeight="1">
      <x:c r="A13" s="12" t="str">
        <x:v>marketing</x:v>
      </x:c>
      <x:c r="B13" s="12" t="str">
        <x:v>marketing_plan</x:v>
      </x:c>
      <x:c r="C13" s="12" t="str">
        <x:v>هل لديكم خطة تسويقية واضحة؟</x:v>
      </x:c>
      <x:c r="D13" s="12" t="str">
        <x:v>single</x:v>
      </x:c>
      <x:c r="E13" s="12" t="str">
        <x:v>yes</x:v>
      </x:c>
      <x:c r="F13" s="12" t="str">
        <x:v>no</x:v>
      </x:c>
      <x:c r="G13" s="12" t="str">
        <x:v>1</x:v>
      </x:c>
      <x:c r="H13" s="12" t="str">
        <x:v>always</x:v>
      </x:c>
      <x:c r="I13" s="12" t="str">
        <x:v>text</x:v>
      </x:c>
      <x:c r="J13" s="12" t="str">
        <x:v>نعم | إلى حد ما | لا</x:v>
      </x:c>
      <x:c r="K13" s="12" t="str">
        <x:v>تؤثر مباشرة على marketing score</x:v>
      </x:c>
    </x:row>
    <x:row r="14" ht="15" hidden="0" customHeight="1">
      <x:c r="A14" s="12" t="str">
        <x:v>marketing</x:v>
      </x:c>
      <x:c r="B14" s="12" t="str">
        <x:v>lead_source</x:v>
      </x:c>
      <x:c r="C14" s="12" t="str">
        <x:v>ما هو المصدر الرئيسي الحالي للمرضى؟</x:v>
      </x:c>
      <x:c r="D14" s="12" t="str">
        <x:v>single</x:v>
      </x:c>
      <x:c r="E14" s="12" t="str">
        <x:v>yes</x:v>
      </x:c>
      <x:c r="F14" s="12" t="str">
        <x:v>no</x:v>
      </x:c>
      <x:c r="G14" s="12" t="str">
        <x:v>1</x:v>
      </x:c>
      <x:c r="H14" s="12" t="str">
        <x:v>always</x:v>
      </x:c>
      <x:c r="I14" s="12" t="str">
        <x:v>text</x:v>
      </x:c>
      <x:c r="J14" s="12" t="str">
        <x:v>إنستجرام / سوشيال ميديا | الإحالات (Referrals) | إعلانات ممولة مدفوعة | اللوكيشن / المرور / الخرائط | مزيج متوازن من أكثر من مصدر</x:v>
      </x:c>
      <x:c r="K14" s="12" t="str">
        <x:v>يوضح اعتماد النمو على القنوات</x:v>
      </x:c>
    </x:row>
    <x:row r="15" ht="15" hidden="0" customHeight="1">
      <x:c r="A15" s="12" t="str">
        <x:v>marketing</x:v>
      </x:c>
      <x:c r="B15" s="12" t="str">
        <x:v>marketing_roi</x:v>
      </x:c>
      <x:c r="C15" s="12" t="str">
        <x:v>هل تقيسون العائد من التسويق بشكل واضح؟</x:v>
      </x:c>
      <x:c r="D15" s="12" t="str">
        <x:v>single</x:v>
      </x:c>
      <x:c r="E15" s="12" t="str">
        <x:v>yes</x:v>
      </x:c>
      <x:c r="F15" s="12" t="str">
        <x:v>no</x:v>
      </x:c>
      <x:c r="G15" s="12" t="str">
        <x:v>1</x:v>
      </x:c>
      <x:c r="H15" s="12" t="str">
        <x:v>always</x:v>
      </x:c>
      <x:c r="I15" s="12" t="str">
        <x:v>text</x:v>
      </x:c>
      <x:c r="J15" s="12" t="str">
        <x:v>نعم | لا</x:v>
      </x:c>
      <x:c r="K15" s="12" t="str">
        <x:v>يقيس وضوح التتبع</x:v>
      </x:c>
    </x:row>
    <x:row r="16" ht="15" hidden="0" customHeight="1">
      <x:c r="A16" s="12" t="str">
        <x:v>operations</x:v>
      </x:c>
      <x:c r="B16" s="12" t="str">
        <x:v>scheduling</x:v>
      </x:c>
      <x:c r="C16" s="12" t="str">
        <x:v>كيف يتم حجز المواعيد وإدارتها؟</x:v>
      </x:c>
      <x:c r="D16" s="12" t="str">
        <x:v>single</x:v>
      </x:c>
      <x:c r="E16" s="12" t="str">
        <x:v>yes</x:v>
      </x:c>
      <x:c r="F16" s="12" t="str">
        <x:v>no</x:v>
      </x:c>
      <x:c r="G16" s="12" t="str">
        <x:v>1</x:v>
      </x:c>
      <x:c r="H16" s="12" t="str">
        <x:v>always</x:v>
      </x:c>
      <x:c r="I16" s="12" t="str">
        <x:v>text</x:v>
      </x:c>
      <x:c r="J16" s="12" t="str">
        <x:v>لدينا برنامج إدارة مواعيد | لا يوجد برنامج إدارة مواعيد | لدينا نظام آلي مدعوم بالذكاء الاصطناعي</x:v>
      </x:c>
      <x:c r="K16" s="12" t="str">
        <x:v>تؤثر على operations score</x:v>
      </x:c>
    </x:row>
    <x:row r="17" ht="15" hidden="0" customHeight="1">
      <x:c r="A17" s="12" t="str">
        <x:v>operations</x:v>
      </x:c>
      <x:c r="B17" s="12" t="str">
        <x:v>no_show</x:v>
      </x:c>
      <x:c r="C17" s="12" t="str">
        <x:v>ما وضع حالات عدم الحضور أو إلغاء المواعيد؟</x:v>
      </x:c>
      <x:c r="D17" s="12" t="str">
        <x:v>single</x:v>
      </x:c>
      <x:c r="E17" s="12" t="str">
        <x:v>yes</x:v>
      </x:c>
      <x:c r="F17" s="12" t="str">
        <x:v>no</x:v>
      </x:c>
      <x:c r="G17" s="12" t="str">
        <x:v>1</x:v>
      </x:c>
      <x:c r="H17" s="12" t="str">
        <x:v>always</x:v>
      </x:c>
      <x:c r="I17" s="12" t="str">
        <x:v>text</x:v>
      </x:c>
      <x:c r="J17" s="12" t="str">
        <x:v>منخفضة جدًا | متوسطة | مرتفعة</x:v>
      </x:c>
      <x:c r="K17" s="12" t="str">
        <x:v>تؤثر على التشغيل والإيراد</x:v>
      </x:c>
    </x:row>
    <x:row r="18" ht="15" hidden="0" customHeight="1">
      <x:c r="A18" s="12" t="str">
        <x:v>operations</x:v>
      </x:c>
      <x:c r="B18" s="12" t="str">
        <x:v>kpis</x:v>
      </x:c>
      <x:c r="C18" s="12" t="str">
        <x:v>هل تتابعون مؤشرات أداء واضحة للعيادة؟</x:v>
      </x:c>
      <x:c r="D18" s="12" t="str">
        <x:v>single</x:v>
      </x:c>
      <x:c r="E18" s="12" t="str">
        <x:v>yes</x:v>
      </x:c>
      <x:c r="F18" s="12" t="str">
        <x:v>no</x:v>
      </x:c>
      <x:c r="G18" s="12" t="str">
        <x:v>1</x:v>
      </x:c>
      <x:c r="H18" s="12" t="str">
        <x:v>always</x:v>
      </x:c>
      <x:c r="I18" s="12" t="str">
        <x:v>text</x:v>
      </x:c>
      <x:c r="J18" s="12" t="str">
        <x:v>نعم | لا</x:v>
      </x:c>
      <x:c r="K18" s="12" t="str">
        <x:v>وجود KPI tracking</x:v>
      </x:c>
    </x:row>
    <x:row r="19" ht="15" hidden="0" customHeight="1">
      <x:c r="A19" s="12" t="str">
        <x:v>finance</x:v>
      </x:c>
      <x:c r="B19" s="12" t="str">
        <x:v>monthly_revenue</x:v>
      </x:c>
      <x:c r="C19" s="12" t="str">
        <x:v>كيف تقيم مستوى الإيراد الحالي مقارنة بحجم العيادة وعمرها؟</x:v>
      </x:c>
      <x:c r="D19" s="12" t="str">
        <x:v>single</x:v>
      </x:c>
      <x:c r="E19" s="12" t="str">
        <x:v>yes</x:v>
      </x:c>
      <x:c r="F19" s="12" t="str">
        <x:v>no</x:v>
      </x:c>
      <x:c r="G19" s="12" t="str">
        <x:v>1</x:v>
      </x:c>
      <x:c r="H19" s="12" t="str">
        <x:v>always</x:v>
      </x:c>
      <x:c r="I19" s="12" t="str">
        <x:v>text</x:v>
      </x:c>
      <x:c r="J19" s="12" t="str">
        <x:v>أقل من المتوقع بوضوح | مقبول لكنه غير مستقر | جيد ومستقر | لا أستطيع التقييم بدقة</x:v>
      </x:c>
      <x:c r="K19" s="12" t="str">
        <x:v>مهم جدًا في score المالي</x:v>
      </x:c>
    </x:row>
    <x:row r="20" ht="15" hidden="0" customHeight="1">
      <x:c r="A20" s="12" t="str">
        <x:v>finance</x:v>
      </x:c>
      <x:c r="B20" s="12" t="str">
        <x:v>budget</x:v>
      </x:c>
      <x:c r="C20" s="12" t="str">
        <x:v>هل لديكم ميزانية وخطة مالية سنوية؟</x:v>
      </x:c>
      <x:c r="D20" s="12" t="str">
        <x:v>single</x:v>
      </x:c>
      <x:c r="E20" s="12" t="str">
        <x:v>yes</x:v>
      </x:c>
      <x:c r="F20" s="12" t="str">
        <x:v>no</x:v>
      </x:c>
      <x:c r="G20" s="12" t="str">
        <x:v>1</x:v>
      </x:c>
      <x:c r="H20" s="12" t="str">
        <x:v>always</x:v>
      </x:c>
      <x:c r="I20" s="12" t="str">
        <x:v>text</x:v>
      </x:c>
      <x:c r="J20" s="12" t="str">
        <x:v>نعم | لا</x:v>
      </x:c>
      <x:c r="K20" s="12" t="str">
        <x:v>تؤثر على finance score</x:v>
      </x:c>
    </x:row>
    <x:row r="21" ht="15" hidden="0" customHeight="1">
      <x:c r="A21" s="12" t="str">
        <x:v>finance</x:v>
      </x:c>
      <x:c r="B21" s="12" t="str">
        <x:v>fin_challenge</x:v>
      </x:c>
      <x:c r="C21" s="12" t="str">
        <x:v>ما أكبر تحدٍ مالي حاليًا؟</x:v>
      </x:c>
      <x:c r="D21" s="12" t="str">
        <x:v>single</x:v>
      </x:c>
      <x:c r="E21" s="12" t="str">
        <x:v>yes</x:v>
      </x:c>
      <x:c r="F21" s="12" t="str">
        <x:v>no</x:v>
      </x:c>
      <x:c r="G21" s="12" t="str">
        <x:v>1</x:v>
      </x:c>
      <x:c r="H21" s="12" t="str">
        <x:v>always</x:v>
      </x:c>
      <x:c r="I21" s="12" t="str">
        <x:v>text</x:v>
      </x:c>
      <x:c r="J21" s="12" t="str">
        <x:v>ضعف التدفق النقدي (Cash flow) | ارتفاع المصروفات | التسعير | ضعف الربحية</x:v>
      </x:c>
      <x:c r="K21" s="12" t="str">
        <x:v>أهم pain مالي</x:v>
      </x:c>
    </x:row>
    <x:row r="22" ht="15" hidden="0" customHeight="1">
      <x:c r="A22" s="12" t="str">
        <x:v>finance</x:v>
      </x:c>
      <x:c r="B22" s="12" t="str">
        <x:v>case_acceptance</x:v>
      </x:c>
      <x:c r="C22" s="12" t="str">
        <x:v>كيف ترى نسبة قبول خطط العلاج داخل العيادة؟</x:v>
      </x:c>
      <x:c r="D22" s="12" t="str">
        <x:v>single</x:v>
      </x:c>
      <x:c r="E22" s="12" t="str">
        <x:v>yes</x:v>
      </x:c>
      <x:c r="F22" s="12" t="str">
        <x:v>no</x:v>
      </x:c>
      <x:c r="G22" s="12" t="str">
        <x:v>1</x:v>
      </x:c>
      <x:c r="H22" s="12" t="str">
        <x:v>always</x:v>
      </x:c>
      <x:c r="I22" s="12" t="str">
        <x:v>text</x:v>
      </x:c>
      <x:c r="J22" s="12" t="str">
        <x:v>مرتفعة | متوسطة | ضعيفة</x:v>
      </x:c>
      <x:c r="K22" s="12" t="str">
        <x:v>مرتبطة بالإيراد والتحويل</x:v>
      </x:c>
    </x:row>
    <x:row r="23" ht="15" hidden="0" customHeight="1">
      <x:c r="A23" s="12" t="str">
        <x:v>finance</x:v>
      </x:c>
      <x:c r="B23" s="12" t="str">
        <x:v>installments</x:v>
      </x:c>
      <x:c r="C23" s="12" t="str">
        <x:v>هل تطبقون حلول تقسيط أو دفع مرن للحالات العلاجية؟</x:v>
      </x:c>
      <x:c r="D23" s="12" t="str">
        <x:v>single</x:v>
      </x:c>
      <x:c r="E23" s="12" t="str">
        <x:v>yes</x:v>
      </x:c>
      <x:c r="F23" s="12" t="str">
        <x:v>no</x:v>
      </x:c>
      <x:c r="G23" s="12" t="str">
        <x:v>1</x:v>
      </x:c>
      <x:c r="H23" s="12" t="str">
        <x:v>always</x:v>
      </x:c>
      <x:c r="I23" s="12" t="str">
        <x:v>text</x:v>
      </x:c>
      <x:c r="J23" s="12" t="str">
        <x:v>نعم بشكل واضح | بشكل محدود | لا</x:v>
      </x:c>
      <x:c r="K23" s="12" t="str">
        <x:v>مهم للقبول والبيع</x:v>
      </x:c>
    </x:row>
    <x:row r="24" ht="15" hidden="0" customHeight="1">
      <x:c r="A24" s="12" t="str">
        <x:v>finance</x:v>
      </x:c>
      <x:c r="B24" s="12" t="str">
        <x:v>insurance_model</x:v>
      </x:c>
      <x:c r="C24" s="12" t="str">
        <x:v>هل تعتمدون على التأمين أو الشبكات الطبية ضمن المبيعات؟</x:v>
      </x:c>
      <x:c r="D24" s="12" t="str">
        <x:v>single</x:v>
      </x:c>
      <x:c r="E24" s="12" t="str">
        <x:v>yes</x:v>
      </x:c>
      <x:c r="F24" s="12" t="str">
        <x:v>no</x:v>
      </x:c>
      <x:c r="G24" s="12" t="str">
        <x:v>1</x:v>
      </x:c>
      <x:c r="H24" s="12" t="str">
        <x:v>country in [السعودية, الإمارات, قطر, الكويت, البحرين, عمان]</x:v>
      </x:c>
      <x:c r="I24" s="12" t="str">
        <x:v>text</x:v>
      </x:c>
      <x:c r="J24" s="12" t="str">
        <x:v>نعم بشكل أساسي | جزئيًا | لا</x:v>
      </x:c>
      <x:c r="K24" s="12" t="str">
        <x:v>سؤال خاص بدول الخليج</x:v>
      </x:c>
    </x:row>
    <x:row r="25" ht="15" hidden="0" customHeight="1">
      <x:c r="A25" s="12" t="str">
        <x:v>finance</x:v>
      </x:c>
      <x:c r="B25" s="12" t="str">
        <x:v>gulf_pricing_mix</x:v>
      </x:c>
      <x:c r="C25" s="12" t="str">
        <x:v>هل لديكم تسعير واضح بين الكاش والتأمين والعقود؟</x:v>
      </x:c>
      <x:c r="D25" s="12" t="str">
        <x:v>single</x:v>
      </x:c>
      <x:c r="E25" s="12" t="str">
        <x:v>yes</x:v>
      </x:c>
      <x:c r="F25" s="12" t="str">
        <x:v>no</x:v>
      </x:c>
      <x:c r="G25" s="12" t="str">
        <x:v>1</x:v>
      </x:c>
      <x:c r="H25" s="12" t="str">
        <x:v>country in [السعودية, الإمارات, قطر, الكويت, البحرين, عمان]</x:v>
      </x:c>
      <x:c r="I25" s="12" t="str">
        <x:v>text</x:v>
      </x:c>
      <x:c r="J25" s="12" t="str">
        <x:v>نعم وواضح | جزئيًا | لا</x:v>
      </x:c>
      <x:c r="K25" s="12" t="str">
        <x:v>سؤال خاص بدول الخليج</x:v>
      </x:c>
    </x:row>
    <x:row r="26" ht="15" hidden="0" customHeight="1">
      <x:c r="A26" s="12" t="str">
        <x:v>team</x:v>
      </x:c>
      <x:c r="B26" s="12" t="str">
        <x:v>team_size</x:v>
      </x:c>
      <x:c r="C26" s="12" t="str">
        <x:v>ما حجم الفريق الإداري والتشغيلي؟</x:v>
      </x:c>
      <x:c r="D26" s="12" t="str">
        <x:v>single</x:v>
      </x:c>
      <x:c r="E26" s="12" t="str">
        <x:v>yes</x:v>
      </x:c>
      <x:c r="F26" s="12" t="str">
        <x:v>no</x:v>
      </x:c>
      <x:c r="G26" s="12" t="str">
        <x:v>1</x:v>
      </x:c>
      <x:c r="H26" s="12" t="str">
        <x:v>always</x:v>
      </x:c>
      <x:c r="I26" s="12" t="str">
        <x:v>text_dynamic</x:v>
      </x:c>
      <x:c r="J26" s="12" t="str">
        <x:v>يتغير حسب عدد الكراسي</x:v>
      </x:c>
      <x:c r="K26" s="12" t="str">
        <x:v>يشمل الأطباء والتمريض والاستقبال والإداريين</x:v>
      </x:c>
    </x:row>
    <x:row r="27" ht="15" hidden="0" customHeight="1">
      <x:c r="A27" s="12" t="str">
        <x:v>team</x:v>
      </x:c>
      <x:c r="B27" s="12" t="str">
        <x:v>delegation_layer</x:v>
      </x:c>
      <x:c r="C27" s="12" t="str">
        <x:v>هل يوجد مدير تشغيل / مشرف مسؤول غير الطبيب المالك؟</x:v>
      </x:c>
      <x:c r="D27" s="12" t="str">
        <x:v>single</x:v>
      </x:c>
      <x:c r="E27" s="12" t="str">
        <x:v>yes</x:v>
      </x:c>
      <x:c r="F27" s="12" t="str">
        <x:v>no</x:v>
      </x:c>
      <x:c r="G27" s="12" t="str">
        <x:v>1</x:v>
      </x:c>
      <x:c r="H27" s="12" t="str">
        <x:v>chairs in [4–6, 7+]</x:v>
      </x:c>
      <x:c r="I27" s="12" t="str">
        <x:v>text</x:v>
      </x:c>
      <x:c r="J27" s="12" t="str">
        <x:v>نعم | جزئيًا | لا</x:v>
      </x:c>
      <x:c r="K27" s="12" t="str">
        <x:v>سؤال شرطي حسب حجم التشغيل</x:v>
      </x:c>
    </x:row>
    <x:row r="28" ht="15" hidden="0" customHeight="1">
      <x:c r="A28" s="12" t="str">
        <x:v>team</x:v>
      </x:c>
      <x:c r="B28" s="12" t="str">
        <x:v>vision</x:v>
      </x:c>
      <x:c r="C28" s="12" t="str">
        <x:v>هل لديكم رؤية واضحة وأهداف محددة للعيادة؟</x:v>
      </x:c>
      <x:c r="D28" s="12" t="str">
        <x:v>single</x:v>
      </x:c>
      <x:c r="E28" s="12" t="str">
        <x:v>yes</x:v>
      </x:c>
      <x:c r="F28" s="12" t="str">
        <x:v>no</x:v>
      </x:c>
      <x:c r="G28" s="12" t="str">
        <x:v>1</x:v>
      </x:c>
      <x:c r="H28" s="12" t="str">
        <x:v>always</x:v>
      </x:c>
      <x:c r="I28" s="12" t="str">
        <x:v>text</x:v>
      </x:c>
      <x:c r="J28" s="12" t="str">
        <x:v>نعم | لا</x:v>
      </x:c>
      <x:c r="K28" s="12" t="str">
        <x:v>مثال: خطة سنوية ورؤية 5-10 سنوات</x:v>
      </x:c>
    </x:row>
    <x:row r="29" ht="15" hidden="0" customHeight="1">
      <x:c r="A29" s="12" t="str">
        <x:v>team</x:v>
      </x:c>
      <x:c r="B29" s="12" t="str">
        <x:v>leadership</x:v>
      </x:c>
      <x:c r="C29" s="12" t="str">
        <x:v>ما مستوى ثقتك في إدارة الفريق والتفويض؟</x:v>
      </x:c>
      <x:c r="D29" s="12" t="str">
        <x:v>single</x:v>
      </x:c>
      <x:c r="E29" s="12" t="str">
        <x:v>yes</x:v>
      </x:c>
      <x:c r="F29" s="12" t="str">
        <x:v>no</x:v>
      </x:c>
      <x:c r="G29" s="12" t="str">
        <x:v>1</x:v>
      </x:c>
      <x:c r="H29" s="12" t="str">
        <x:v>always</x:v>
      </x:c>
      <x:c r="I29" s="12" t="str">
        <x:v>text</x:v>
      </x:c>
      <x:c r="J29" s="12" t="str">
        <x:v>عالي | متوسط | أحتاج تطوير</x:v>
      </x:c>
      <x:c r="K29" s="12" t="str">
        <x:v>حقل إداري</x:v>
      </x:c>
    </x:row>
    <x:row r="30" ht="15" hidden="0" customHeight="1">
      <x:c r="A30" s="12" t="str">
        <x:v>patient</x:v>
      </x:c>
      <x:c r="B30" s="12" t="str">
        <x:v>feedback</x:v>
      </x:c>
      <x:c r="C30" s="12" t="str">
        <x:v>كم مرة تجمعون تقييمات أو ملاحظات من المرضى؟</x:v>
      </x:c>
      <x:c r="D30" s="12" t="str">
        <x:v>single</x:v>
      </x:c>
      <x:c r="E30" s="12" t="str">
        <x:v>yes</x:v>
      </x:c>
      <x:c r="F30" s="12" t="str">
        <x:v>no</x:v>
      </x:c>
      <x:c r="G30" s="12" t="str">
        <x:v>1</x:v>
      </x:c>
      <x:c r="H30" s="12" t="str">
        <x:v>always</x:v>
      </x:c>
      <x:c r="I30" s="12" t="str">
        <x:v>text</x:v>
      </x:c>
      <x:c r="J30" s="12" t="str">
        <x:v>بشكل منتظم | أحيانًا | نادرًا أو لا يحدث</x:v>
      </x:c>
      <x:c r="K30" s="12" t="str">
        <x:v>جزء من patient experience</x:v>
      </x:c>
    </x:row>
    <x:row r="31" ht="15" hidden="0" customHeight="1">
      <x:c r="A31" s="12" t="str">
        <x:v>patient</x:v>
      </x:c>
      <x:c r="B31" s="12" t="str">
        <x:v>loyalty</x:v>
      </x:c>
      <x:c r="C31" s="12" t="str">
        <x:v>هل لديكم نظام واضح للاحتفاظ بالمرضى والمتابعة؟</x:v>
      </x:c>
      <x:c r="D31" s="12" t="str">
        <x:v>single</x:v>
      </x:c>
      <x:c r="E31" s="12" t="str">
        <x:v>yes</x:v>
      </x:c>
      <x:c r="F31" s="12" t="str">
        <x:v>no</x:v>
      </x:c>
      <x:c r="G31" s="12" t="str">
        <x:v>1</x:v>
      </x:c>
      <x:c r="H31" s="12" t="str">
        <x:v>always</x:v>
      </x:c>
      <x:c r="I31" s="12" t="str">
        <x:v>text</x:v>
      </x:c>
      <x:c r="J31" s="12" t="str">
        <x:v>نعم | يحتاج تطوير | لا</x:v>
      </x:c>
      <x:c r="K31" s="12" t="str">
        <x:v>يرتبط بالولاء والمتابعة</x:v>
      </x:c>
    </x:row>
    <x:row r="32" ht="15" hidden="0" customHeight="1">
      <x:c r="A32" s="12" t="str">
        <x:v>patient</x:v>
      </x:c>
      <x:c r="B32" s="12" t="str">
        <x:v>notes</x:v>
      </x:c>
      <x:c r="C32" s="12" t="str">
        <x:v>هل توجد ملاحظات إضافية عن العيادة؟</x:v>
      </x:c>
      <x:c r="D32" s="12" t="str">
        <x:v>textarea</x:v>
      </x:c>
      <x:c r="E32" s="12" t="str">
        <x:v>no</x:v>
      </x:c>
      <x:c r="F32" s="12" t="str">
        <x:v>no</x:v>
      </x:c>
      <x:c r="G32" s="12" t="str">
        <x:v>1</x:v>
      </x:c>
      <x:c r="H32" s="12" t="str">
        <x:v>optional</x:v>
      </x:c>
      <x:c r="I32" s="12" t="str">
        <x:v>text</x:v>
      </x:c>
      <x:c r="J32" s="12" t="str">
        <x:v>أي ملاحظات إضافية أو يترك فارغًا</x:v>
      </x:c>
      <x:c r="K32" s="12" t="str">
        <x:v>سؤال اختياري</x:v>
      </x:c>
    </x:row>
    <x:row r="33" ht="15" hidden="0" customHeight="1">
      <x:c r="A33" s="12" t="str">
        <x:v>system</x:v>
      </x:c>
      <x:c r="B33" s="12" t="str">
        <x:v>phone_country_code</x:v>
      </x:c>
      <x:c r="C33" s="12" t="str">
        <x:v>كود الدولة</x:v>
      </x:c>
      <x:c r="D33" s="12" t="str">
        <x:v>derived</x:v>
      </x:c>
      <x:c r="E33" s="12" t="str">
        <x:v>yes</x:v>
      </x:c>
      <x:c r="F33" s="12" t="str">
        <x:v>no</x:v>
      </x:c>
      <x:c r="G33" s="12" t="str">
        <x:v>1</x:v>
      </x:c>
      <x:c r="H33" s="12" t="str">
        <x:v>derived_from_country</x:v>
      </x:c>
      <x:c r="I33" s="12" t="str">
        <x:v>text</x:v>
      </x:c>
      <x:c r="J33" s="12" t="str">
        <x:v>+20 | +966 | +971 | +974 | +965 | +973 | +968 | +962 | +961 | +963 | +964 | +970 | +967 | +218 | +216 | +213 | +212 | +249 | +253</x:v>
      </x:c>
      <x:c r="K33" s="12" t="str">
        <x:v>يشتق من الدولة المختارة</x:v>
      </x:c>
    </x:row>
    <x:row r="34" ht="15" hidden="0" customHeight="1">
      <x:c r="A34" s="12" t="str">
        <x:v>system</x:v>
      </x:c>
      <x:c r="B34" s="12" t="str">
        <x:v>phone_whatsapp_full</x:v>
      </x:c>
      <x:c r="C34" s="12" t="str">
        <x:v>رقم واتساب كامل</x:v>
      </x:c>
      <x:c r="D34" s="12" t="str">
        <x:v>derived</x:v>
      </x:c>
      <x:c r="E34" s="12" t="str">
        <x:v>yes</x:v>
      </x:c>
      <x:c r="F34" s="12" t="str">
        <x:v>no</x:v>
      </x:c>
      <x:c r="G34" s="12" t="str">
        <x:v>1</x:v>
      </x:c>
      <x:c r="H34" s="12" t="str">
        <x:v>derived_from_country_plus_phone</x:v>
      </x:c>
      <x:c r="I34" s="12" t="str">
        <x:v>text</x:v>
      </x:c>
      <x:c r="J34" s="12" t="str">
        <x:v>full international number</x:v>
      </x:c>
      <x:c r="K34" s="12" t="str">
        <x:v>يستخدم في الإرسال والمتابعة</x:v>
      </x:c>
    </x:row>
    <x:row r="35" ht="15" hidden="0" customHeight="1">
      <x:c r="A35" s="12" t="str">
        <x:v>system</x:v>
      </x:c>
      <x:c r="B35" s="12" t="str">
        <x:v>city_is_custom</x:v>
      </x:c>
      <x:c r="C35" s="12" t="str">
        <x:v>هل المدينة مضافة يدويًا؟</x:v>
      </x:c>
      <x:c r="D35" s="12" t="str">
        <x:v>derived</x:v>
      </x:c>
      <x:c r="E35" s="12" t="str">
        <x:v>yes</x:v>
      </x:c>
      <x:c r="F35" s="12" t="str">
        <x:v>no</x:v>
      </x:c>
      <x:c r="G35" s="12" t="str">
        <x:v>1</x:v>
      </x:c>
      <x:c r="H35" s="12" t="str">
        <x:v>derived</x:v>
      </x:c>
      <x:c r="I35" s="12" t="str">
        <x:v>text</x:v>
      </x:c>
      <x:c r="J35" s="12" t="str">
        <x:v>yes | no</x:v>
      </x:c>
      <x:c r="K35" s="12" t="str">
        <x:v>مفيد للمراجعة</x:v>
      </x:c>
    </x:row>
    <x:row r="36" ht="15" hidden="0" customHeight="1">
      <x:c r="A36" s="12" t="str">
        <x:v>system</x:v>
      </x:c>
      <x:c r="B36" s="12" t="str">
        <x:v>marketing_score</x:v>
      </x:c>
      <x:c r="C36" s="12" t="str">
        <x:v>درجة التسويق</x:v>
      </x:c>
      <x:c r="D36" s="12" t="str">
        <x:v>derived</x:v>
      </x:c>
      <x:c r="E36" s="12" t="str">
        <x:v>yes</x:v>
      </x:c>
      <x:c r="F36" s="12" t="str">
        <x:v>no</x:v>
      </x:c>
      <x:c r="G36" s="12" t="str">
        <x:v>1</x:v>
      </x:c>
      <x:c r="H36" s="12" t="str">
        <x:v>scored</x:v>
      </x:c>
      <x:c r="I36" s="12" t="str">
        <x:v>number</x:v>
      </x:c>
      <x:c r="J36" s="12" t="str">
        <x:v>0-100</x:v>
      </x:c>
      <x:c r="K36" s="12" t="str">
        <x:v>محتسبة في الباك إند</x:v>
      </x:c>
    </x:row>
    <x:row r="37" ht="15" hidden="0" customHeight="1">
      <x:c r="A37" s="12" t="str">
        <x:v>system</x:v>
      </x:c>
      <x:c r="B37" s="12" t="str">
        <x:v>operations_score</x:v>
      </x:c>
      <x:c r="C37" s="12" t="str">
        <x:v>درجة التشغيل</x:v>
      </x:c>
      <x:c r="D37" s="12" t="str">
        <x:v>derived</x:v>
      </x:c>
      <x:c r="E37" s="12" t="str">
        <x:v>yes</x:v>
      </x:c>
      <x:c r="F37" s="12" t="str">
        <x:v>no</x:v>
      </x:c>
      <x:c r="G37" s="12" t="str">
        <x:v>1</x:v>
      </x:c>
      <x:c r="H37" s="12" t="str">
        <x:v>scored</x:v>
      </x:c>
      <x:c r="I37" s="12" t="str">
        <x:v>number</x:v>
      </x:c>
      <x:c r="J37" s="12" t="str">
        <x:v>0-100</x:v>
      </x:c>
      <x:c r="K37" s="12" t="str">
        <x:v>محتسبة في الباك إند</x:v>
      </x:c>
    </x:row>
    <x:row r="38" ht="15" hidden="0" customHeight="1">
      <x:c r="A38" s="12" t="str">
        <x:v>system</x:v>
      </x:c>
      <x:c r="B38" s="12" t="str">
        <x:v>finance_score</x:v>
      </x:c>
      <x:c r="C38" s="12" t="str">
        <x:v>درجة المال</x:v>
      </x:c>
      <x:c r="D38" s="12" t="str">
        <x:v>derived</x:v>
      </x:c>
      <x:c r="E38" s="12" t="str">
        <x:v>yes</x:v>
      </x:c>
      <x:c r="F38" s="12" t="str">
        <x:v>no</x:v>
      </x:c>
      <x:c r="G38" s="12" t="str">
        <x:v>1</x:v>
      </x:c>
      <x:c r="H38" s="12" t="str">
        <x:v>scored</x:v>
      </x:c>
      <x:c r="I38" s="12" t="str">
        <x:v>number</x:v>
      </x:c>
      <x:c r="J38" s="12" t="str">
        <x:v>0-100</x:v>
      </x:c>
      <x:c r="K38" s="12" t="str">
        <x:v>محتسبة في الباك إند</x:v>
      </x:c>
    </x:row>
    <x:row r="39" ht="15" hidden="0" customHeight="1">
      <x:c r="A39" s="12" t="str">
        <x:v>system</x:v>
      </x:c>
      <x:c r="B39" s="12" t="str">
        <x:v>team_score</x:v>
      </x:c>
      <x:c r="C39" s="12" t="str">
        <x:v>درجة الفريق</x:v>
      </x:c>
      <x:c r="D39" s="12" t="str">
        <x:v>derived</x:v>
      </x:c>
      <x:c r="E39" s="12" t="str">
        <x:v>yes</x:v>
      </x:c>
      <x:c r="F39" s="12" t="str">
        <x:v>no</x:v>
      </x:c>
      <x:c r="G39" s="12" t="str">
        <x:v>1</x:v>
      </x:c>
      <x:c r="H39" s="12" t="str">
        <x:v>scored</x:v>
      </x:c>
      <x:c r="I39" s="12" t="str">
        <x:v>number</x:v>
      </x:c>
      <x:c r="J39" s="12" t="str">
        <x:v>0-100</x:v>
      </x:c>
      <x:c r="K39" s="12" t="str">
        <x:v>محتسبة في الباك إند</x:v>
      </x:c>
    </x:row>
    <x:row r="40" ht="15" hidden="0" customHeight="1">
      <x:c r="A40" s="12" t="str">
        <x:v>system</x:v>
      </x:c>
      <x:c r="B40" s="12" t="str">
        <x:v>patient_score</x:v>
      </x:c>
      <x:c r="C40" s="12" t="str">
        <x:v>درجة تجربة المريض</x:v>
      </x:c>
      <x:c r="D40" s="12" t="str">
        <x:v>derived</x:v>
      </x:c>
      <x:c r="E40" s="12" t="str">
        <x:v>yes</x:v>
      </x:c>
      <x:c r="F40" s="12" t="str">
        <x:v>no</x:v>
      </x:c>
      <x:c r="G40" s="12" t="str">
        <x:v>1</x:v>
      </x:c>
      <x:c r="H40" s="12" t="str">
        <x:v>scored</x:v>
      </x:c>
      <x:c r="I40" s="12" t="str">
        <x:v>number</x:v>
      </x:c>
      <x:c r="J40" s="12" t="str">
        <x:v>0-100</x:v>
      </x:c>
      <x:c r="K40" s="12" t="str">
        <x:v>محتسبة في الباك إند</x:v>
      </x:c>
    </x:row>
    <x:row r="41" ht="15" hidden="0" customHeight="1">
      <x:c r="A41" s="12" t="str">
        <x:v>system</x:v>
      </x:c>
      <x:c r="B41" s="12" t="str">
        <x:v>overall_score</x:v>
      </x:c>
      <x:c r="C41" s="12" t="str">
        <x:v>الدرجة الكلية</x:v>
      </x:c>
      <x:c r="D41" s="12" t="str">
        <x:v>derived</x:v>
      </x:c>
      <x:c r="E41" s="12" t="str">
        <x:v>yes</x:v>
      </x:c>
      <x:c r="F41" s="12" t="str">
        <x:v>no</x:v>
      </x:c>
      <x:c r="G41" s="12" t="str">
        <x:v>1</x:v>
      </x:c>
      <x:c r="H41" s="12" t="str">
        <x:v>scored</x:v>
      </x:c>
      <x:c r="I41" s="12" t="str">
        <x:v>number</x:v>
      </x:c>
      <x:c r="J41" s="12" t="str">
        <x:v>0-100</x:v>
      </x:c>
      <x:c r="K41" s="12" t="str">
        <x:v>متوسط الدرجات</x:v>
      </x:c>
    </x:row>
    <x:row r="42" ht="15" hidden="0" customHeight="1">
      <x:c r="A42" s="12" t="str">
        <x:v>system</x:v>
      </x:c>
      <x:c r="B42" s="12" t="str">
        <x:v>weakest_key</x:v>
      </x:c>
      <x:c r="C42" s="12" t="str">
        <x:v>أضعف محور</x:v>
      </x:c>
      <x:c r="D42" s="12" t="str">
        <x:v>derived</x:v>
      </x:c>
      <x:c r="E42" s="12" t="str">
        <x:v>yes</x:v>
      </x:c>
      <x:c r="F42" s="12" t="str">
        <x:v>no</x:v>
      </x:c>
      <x:c r="G42" s="12" t="str">
        <x:v>1</x:v>
      </x:c>
      <x:c r="H42" s="12" t="str">
        <x:v>diagnosis</x:v>
      </x:c>
      <x:c r="I42" s="12" t="str">
        <x:v>text</x:v>
      </x:c>
      <x:c r="J42" s="12" t="str">
        <x:v>marketing | operations | finance | team | patient</x:v>
      </x:c>
      <x:c r="K42" s="12" t="str">
        <x:v>للاستخدام البرمجي</x:v>
      </x:c>
    </x:row>
    <x:row r="43" ht="15" hidden="0" customHeight="1">
      <x:c r="A43" s="12" t="str">
        <x:v>system</x:v>
      </x:c>
      <x:c r="B43" s="12" t="str">
        <x:v>weakest_label</x:v>
      </x:c>
      <x:c r="C43" s="12" t="str">
        <x:v>اسم أضعف محور</x:v>
      </x:c>
      <x:c r="D43" s="12" t="str">
        <x:v>derived</x:v>
      </x:c>
      <x:c r="E43" s="12" t="str">
        <x:v>yes</x:v>
      </x:c>
      <x:c r="F43" s="12" t="str">
        <x:v>no</x:v>
      </x:c>
      <x:c r="G43" s="12" t="str">
        <x:v>1</x:v>
      </x:c>
      <x:c r="H43" s="12" t="str">
        <x:v>diagnosis</x:v>
      </x:c>
      <x:c r="I43" s="12" t="str">
        <x:v>text</x:v>
      </x:c>
      <x:c r="J43" s="12" t="str">
        <x:v>التسويق | التشغيل | المال | الفريق | تجربة المريض</x:v>
      </x:c>
      <x:c r="K43" s="12" t="str">
        <x:v>للعرض والتقارير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7.229999542236328" hidden="0" customWidth="1"/>
    <x:col min="3" max="3" width="16.959999084472656" hidden="0" customWidth="1"/>
  </x:cols>
  <x:sheetData>
    <x:row r="1" ht="15" hidden="0" customHeight="1">
      <x:c r="A1" s="9" t="str">
        <x:v>group_name</x:v>
      </x:c>
      <x:c r="B1" s="9" t="str">
        <x:v>key</x:v>
      </x:c>
      <x:c r="C1" s="9" t="str">
        <x:v>label</x:v>
      </x:c>
    </x:row>
    <x:row r="2" ht="15" hidden="0" customHeight="1">
      <x:c r="A2" s="12" t="str">
        <x:v>report_status</x:v>
      </x:c>
      <x:c r="B2" s="12" t="str">
        <x:v>pending</x:v>
      </x:c>
      <x:c r="C2" s="12" t="str">
        <x:v>Pending</x:v>
      </x:c>
    </x:row>
    <x:row r="3" ht="15" hidden="0" customHeight="1">
      <x:c r="A3" s="12" t="str">
        <x:v>report_status</x:v>
      </x:c>
      <x:c r="B3" s="12" t="str">
        <x:v>ready</x:v>
      </x:c>
      <x:c r="C3" s="12" t="str">
        <x:v>Ready</x:v>
      </x:c>
    </x:row>
    <x:row r="4" ht="15" hidden="0" customHeight="1">
      <x:c r="A4" s="12" t="str">
        <x:v>report_status</x:v>
      </x:c>
      <x:c r="B4" s="12" t="str">
        <x:v>failed</x:v>
      </x:c>
      <x:c r="C4" s="12" t="str">
        <x:v>Failed</x:v>
      </x:c>
    </x:row>
    <x:row r="5" ht="15" hidden="0" customHeight="1">
      <x:c r="A5" s="12" t="str">
        <x:v>whatsapp_status</x:v>
      </x:c>
      <x:c r="B5" s="12" t="str">
        <x:v>queued</x:v>
      </x:c>
      <x:c r="C5" s="12" t="str">
        <x:v>Queued</x:v>
      </x:c>
    </x:row>
    <x:row r="6" ht="15" hidden="0" customHeight="1">
      <x:c r="A6" s="12" t="str">
        <x:v>whatsapp_status</x:v>
      </x:c>
      <x:c r="B6" s="12" t="str">
        <x:v>sent</x:v>
      </x:c>
      <x:c r="C6" s="12" t="str">
        <x:v>Sent</x:v>
      </x:c>
    </x:row>
    <x:row r="7" ht="15" hidden="0" customHeight="1">
      <x:c r="A7" s="12" t="str">
        <x:v>whatsapp_status</x:v>
      </x:c>
      <x:c r="B7" s="12" t="str">
        <x:v>delivered</x:v>
      </x:c>
      <x:c r="C7" s="12" t="str">
        <x:v>Delivered</x:v>
      </x:c>
    </x:row>
    <x:row r="8" ht="15" hidden="0" customHeight="1">
      <x:c r="A8" s="12" t="str">
        <x:v>whatsapp_status</x:v>
      </x:c>
      <x:c r="B8" s="12" t="str">
        <x:v>read</x:v>
      </x:c>
      <x:c r="C8" s="12" t="str">
        <x:v>Read</x:v>
      </x:c>
    </x:row>
    <x:row r="9" ht="15" hidden="0" customHeight="1">
      <x:c r="A9" s="12" t="str">
        <x:v>whatsapp_status</x:v>
      </x:c>
      <x:c r="B9" s="12" t="str">
        <x:v>failed</x:v>
      </x:c>
      <x:c r="C9" s="12" t="str">
        <x:v>Failed</x:v>
      </x:c>
    </x:row>
    <x:row r="10" ht="15" hidden="0" customHeight="1">
      <x:c r="A10" s="12" t="str">
        <x:v>sales_status</x:v>
      </x:c>
      <x:c r="B10" s="12" t="str">
        <x:v>new</x:v>
      </x:c>
      <x:c r="C10" s="12" t="str">
        <x:v>New</x:v>
      </x:c>
    </x:row>
    <x:row r="11" ht="15" hidden="0" customHeight="1">
      <x:c r="A11" s="12" t="str">
        <x:v>sales_status</x:v>
      </x:c>
      <x:c r="B11" s="12" t="str">
        <x:v>contacted</x:v>
      </x:c>
      <x:c r="C11" s="12" t="str">
        <x:v>Contacted</x:v>
      </x:c>
    </x:row>
    <x:row r="12" ht="15" hidden="0" customHeight="1">
      <x:c r="A12" s="12" t="str">
        <x:v>sales_status</x:v>
      </x:c>
      <x:c r="B12" s="12" t="str">
        <x:v>interested_course</x:v>
      </x:c>
      <x:c r="C12" s="12" t="str">
        <x:v>Interested Course</x:v>
      </x:c>
    </x:row>
    <x:row r="13" ht="15" hidden="0" customHeight="1">
      <x:c r="A13" s="12" t="str">
        <x:v>sales_status</x:v>
      </x:c>
      <x:c r="B13" s="12" t="str">
        <x:v>interested_bundle</x:v>
      </x:c>
      <x:c r="C13" s="12" t="str">
        <x:v>Interested Bundle</x:v>
      </x:c>
    </x:row>
    <x:row r="14" ht="15" hidden="0" customHeight="1">
      <x:c r="A14" s="12" t="str">
        <x:v>sales_status</x:v>
      </x:c>
      <x:c r="B14" s="12" t="str">
        <x:v>interested_consultation</x:v>
      </x:c>
      <x:c r="C14" s="12" t="str">
        <x:v>Interested Consultation</x:v>
      </x:c>
    </x:row>
    <x:row r="15" ht="15" hidden="0" customHeight="1">
      <x:c r="A15" s="12" t="str">
        <x:v>sales_status</x:v>
      </x:c>
      <x:c r="B15" s="12" t="str">
        <x:v>won</x:v>
      </x:c>
      <x:c r="C15" s="12" t="str">
        <x:v>Won</x:v>
      </x:c>
    </x:row>
    <x:row r="16" ht="15" hidden="0" customHeight="1">
      <x:c r="A16" s="12" t="str">
        <x:v>sales_status</x:v>
      </x:c>
      <x:c r="B16" s="12" t="str">
        <x:v>lost</x:v>
      </x:c>
      <x:c r="C16" s="12" t="str">
        <x:v>Lost</x:v>
      </x:c>
    </x:row>
    <x:row r="17" ht="15" hidden="0" customHeight="1">
      <x:c r="A17" s="12" t="str">
        <x:v>sales_status</x:v>
      </x:c>
      <x:c r="B17" s="12" t="str">
        <x:v>no_response</x:v>
      </x:c>
      <x:c r="C17" s="12" t="str">
        <x:v>No Response</x:v>
      </x:c>
    </x:row>
  </x:sheetData>
  <x:pageMargins left="0.7" right="0.7" top="0.75" bottom="0.75" header="0.3" footer="0.3"/>
</x:worksheet>
</file>